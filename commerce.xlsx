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C:\Users\USER\OneDrive\Desktop\100days\excel project\"/>
    </mc:Choice>
  </mc:AlternateContent>
  <xr:revisionPtr revIDLastSave="0" documentId="13_ncr:1_{29C7BC33-E219-4BE9-8615-28A9A2D83440}" xr6:coauthVersionLast="36" xr6:coauthVersionMax="36" xr10:uidLastSave="{00000000-0000-0000-0000-000000000000}"/>
  <bookViews>
    <workbookView xWindow="0" yWindow="0" windowWidth="8630" windowHeight="4070" firstSheet="2" activeTab="2" xr2:uid="{346724B3-1C49-40AE-AA36-C77CF5D6DD09}"/>
  </bookViews>
  <sheets>
    <sheet name="Sheet2" sheetId="10" r:id="rId1"/>
    <sheet name="pivot" sheetId="5" r:id="rId2"/>
    <sheet name="dashboard1" sheetId="6" r:id="rId3"/>
    <sheet name="Questions &amp; KPIs" sheetId="2" r:id="rId4"/>
    <sheet name="matrix table" sheetId="8" r:id="rId5"/>
    <sheet name="Sheet1" sheetId="9" r:id="rId6"/>
    <sheet name="Data" sheetId="1" r:id="rId7"/>
  </sheets>
  <definedNames>
    <definedName name="_xlchart.v5.0" hidden="1">Sheet1!$I$3:$J$3</definedName>
    <definedName name="_xlchart.v5.1" hidden="1">Sheet1!$I$4:$J$61</definedName>
    <definedName name="_xlchart.v5.2" hidden="1">Sheet1!$K$3</definedName>
    <definedName name="_xlchart.v5.3" hidden="1">Sheet1!$K$4:$K$61</definedName>
    <definedName name="_xlchart.v5.4" hidden="1">Sheet1!$E$3:$F$3</definedName>
    <definedName name="_xlchart.v5.5" hidden="1">Sheet1!$E$4:$F$61</definedName>
    <definedName name="_xlchart.v5.6" hidden="1">Sheet1!$G$3</definedName>
    <definedName name="_xlchart.v5.7" hidden="1">Sheet1!$G$4:$G$61</definedName>
    <definedName name="Slicer_Gender_Value">#N/A</definedName>
    <definedName name="Slicer_Order_Mod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5" i="9" l="1"/>
  <c r="I6" i="9"/>
  <c r="I7" i="9"/>
  <c r="I8" i="9"/>
  <c r="I9" i="9"/>
  <c r="I10" i="9"/>
  <c r="I11" i="9"/>
  <c r="I12" i="9"/>
  <c r="I13" i="9"/>
  <c r="I14" i="9"/>
  <c r="I15" i="9"/>
  <c r="I16" i="9"/>
  <c r="I17" i="9"/>
  <c r="I18" i="9"/>
  <c r="I19" i="9"/>
  <c r="I20" i="9"/>
  <c r="I21" i="9"/>
  <c r="I22" i="9"/>
  <c r="I23" i="9"/>
  <c r="I24" i="9"/>
  <c r="I25" i="9"/>
  <c r="I26" i="9"/>
  <c r="I27" i="9"/>
  <c r="I28" i="9"/>
  <c r="I29" i="9"/>
  <c r="I30" i="9"/>
  <c r="I31" i="9"/>
  <c r="I32" i="9"/>
  <c r="I33" i="9"/>
  <c r="I34" i="9"/>
  <c r="I35" i="9"/>
  <c r="I36" i="9"/>
  <c r="I37" i="9"/>
  <c r="I38" i="9"/>
  <c r="I39" i="9"/>
  <c r="I40" i="9"/>
  <c r="I41" i="9"/>
  <c r="I42" i="9"/>
  <c r="I43" i="9"/>
  <c r="I44" i="9"/>
  <c r="I45" i="9"/>
  <c r="I46" i="9"/>
  <c r="I47" i="9"/>
  <c r="I48" i="9"/>
  <c r="I49" i="9"/>
  <c r="I50" i="9"/>
  <c r="I51" i="9"/>
  <c r="I52" i="9"/>
  <c r="I53" i="9"/>
  <c r="I54" i="9"/>
  <c r="I55" i="9"/>
  <c r="I56" i="9"/>
  <c r="I57" i="9"/>
  <c r="I58" i="9"/>
  <c r="I59" i="9"/>
  <c r="I60" i="9"/>
  <c r="I61" i="9"/>
  <c r="I4" i="9"/>
  <c r="E5" i="9"/>
  <c r="E6" i="9"/>
  <c r="E7" i="9"/>
  <c r="E8" i="9"/>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53" i="9"/>
  <c r="E54" i="9"/>
  <c r="E55" i="9"/>
  <c r="E56" i="9"/>
  <c r="E57" i="9"/>
  <c r="E58" i="9"/>
  <c r="E59" i="9"/>
  <c r="E60" i="9"/>
  <c r="E61" i="9"/>
  <c r="E4" i="9"/>
  <c r="K4" i="9"/>
  <c r="K5" i="9"/>
  <c r="K6" i="9"/>
  <c r="K7" i="9"/>
  <c r="K8" i="9"/>
  <c r="K9" i="9"/>
  <c r="K10" i="9"/>
  <c r="K11" i="9"/>
  <c r="K12" i="9"/>
  <c r="K13" i="9"/>
  <c r="K14" i="9"/>
  <c r="K15" i="9"/>
  <c r="K16" i="9"/>
  <c r="K17" i="9"/>
  <c r="K18" i="9"/>
  <c r="K19" i="9"/>
  <c r="K20" i="9"/>
  <c r="K21" i="9"/>
  <c r="K22" i="9"/>
  <c r="K23" i="9"/>
  <c r="K24" i="9"/>
  <c r="K25" i="9"/>
  <c r="K26" i="9"/>
  <c r="K27" i="9"/>
  <c r="K28" i="9"/>
  <c r="K29" i="9"/>
  <c r="K30" i="9"/>
  <c r="K31" i="9"/>
  <c r="K32" i="9"/>
  <c r="K33" i="9"/>
  <c r="K34" i="9"/>
  <c r="K35" i="9"/>
  <c r="K36" i="9"/>
  <c r="K37" i="9"/>
  <c r="K38" i="9"/>
  <c r="K39" i="9"/>
  <c r="K40" i="9"/>
  <c r="K41" i="9"/>
  <c r="K42" i="9"/>
  <c r="K43" i="9"/>
  <c r="K44" i="9"/>
  <c r="K45" i="9"/>
  <c r="K46" i="9"/>
  <c r="K47" i="9"/>
  <c r="K48" i="9"/>
  <c r="K49" i="9"/>
  <c r="K50" i="9"/>
  <c r="K51" i="9"/>
  <c r="K52" i="9"/>
  <c r="K53" i="9"/>
  <c r="K54" i="9"/>
  <c r="K55" i="9"/>
  <c r="K56" i="9"/>
  <c r="K57" i="9"/>
  <c r="K58" i="9"/>
  <c r="K59" i="9"/>
  <c r="K60" i="9"/>
  <c r="K61" i="9"/>
  <c r="J4" i="9"/>
  <c r="J5" i="9"/>
  <c r="J6" i="9"/>
  <c r="J7" i="9"/>
  <c r="J8" i="9"/>
  <c r="J9" i="9"/>
  <c r="J10" i="9"/>
  <c r="J11" i="9"/>
  <c r="J12" i="9"/>
  <c r="J13" i="9"/>
  <c r="J14" i="9"/>
  <c r="J15" i="9"/>
  <c r="J16" i="9"/>
  <c r="J17" i="9"/>
  <c r="J18" i="9"/>
  <c r="J19" i="9"/>
  <c r="J20" i="9"/>
  <c r="J21" i="9"/>
  <c r="J22" i="9"/>
  <c r="J23" i="9"/>
  <c r="J24" i="9"/>
  <c r="J25" i="9"/>
  <c r="J26" i="9"/>
  <c r="J27" i="9"/>
  <c r="J28" i="9"/>
  <c r="J29" i="9"/>
  <c r="J30" i="9"/>
  <c r="J31" i="9"/>
  <c r="J32" i="9"/>
  <c r="J33" i="9"/>
  <c r="J34" i="9"/>
  <c r="J35" i="9"/>
  <c r="J36" i="9"/>
  <c r="J37" i="9"/>
  <c r="J38" i="9"/>
  <c r="J39" i="9"/>
  <c r="J40" i="9"/>
  <c r="J41" i="9"/>
  <c r="J42" i="9"/>
  <c r="J43" i="9"/>
  <c r="J44" i="9"/>
  <c r="J45" i="9"/>
  <c r="J46" i="9"/>
  <c r="J47" i="9"/>
  <c r="J48" i="9"/>
  <c r="J49" i="9"/>
  <c r="J50" i="9"/>
  <c r="J51" i="9"/>
  <c r="J52" i="9"/>
  <c r="J53" i="9"/>
  <c r="J54" i="9"/>
  <c r="J55" i="9"/>
  <c r="J56" i="9"/>
  <c r="J57" i="9"/>
  <c r="J58" i="9"/>
  <c r="J59" i="9"/>
  <c r="J60" i="9"/>
  <c r="J61" i="9"/>
  <c r="K3" i="9"/>
  <c r="J3" i="9"/>
  <c r="F5" i="9"/>
  <c r="G5" i="9"/>
  <c r="F6" i="9"/>
  <c r="G6" i="9"/>
  <c r="F7" i="9"/>
  <c r="G7" i="9"/>
  <c r="F8" i="9"/>
  <c r="G8" i="9"/>
  <c r="F9" i="9"/>
  <c r="G9" i="9"/>
  <c r="F10" i="9"/>
  <c r="G10" i="9"/>
  <c r="F11" i="9"/>
  <c r="G11" i="9"/>
  <c r="F12" i="9"/>
  <c r="G12" i="9"/>
  <c r="F13" i="9"/>
  <c r="G13" i="9"/>
  <c r="F14" i="9"/>
  <c r="G14" i="9"/>
  <c r="F15" i="9"/>
  <c r="G15" i="9"/>
  <c r="F16" i="9"/>
  <c r="G16" i="9"/>
  <c r="F17" i="9"/>
  <c r="G17" i="9"/>
  <c r="F18" i="9"/>
  <c r="G18" i="9"/>
  <c r="F19" i="9"/>
  <c r="G19" i="9"/>
  <c r="F20" i="9"/>
  <c r="G20" i="9"/>
  <c r="F21" i="9"/>
  <c r="G21" i="9"/>
  <c r="F22" i="9"/>
  <c r="G22" i="9"/>
  <c r="F23" i="9"/>
  <c r="G23" i="9"/>
  <c r="F24" i="9"/>
  <c r="G24" i="9"/>
  <c r="F25" i="9"/>
  <c r="G25" i="9"/>
  <c r="F26" i="9"/>
  <c r="G26" i="9"/>
  <c r="F27" i="9"/>
  <c r="G27" i="9"/>
  <c r="F28" i="9"/>
  <c r="G28" i="9"/>
  <c r="F29" i="9"/>
  <c r="G29" i="9"/>
  <c r="F30" i="9"/>
  <c r="G30" i="9"/>
  <c r="F31" i="9"/>
  <c r="G31" i="9"/>
  <c r="F32" i="9"/>
  <c r="G32" i="9"/>
  <c r="F33" i="9"/>
  <c r="G33" i="9"/>
  <c r="F34" i="9"/>
  <c r="G34" i="9"/>
  <c r="F35" i="9"/>
  <c r="G35" i="9"/>
  <c r="F36" i="9"/>
  <c r="G36" i="9"/>
  <c r="F37" i="9"/>
  <c r="G37" i="9"/>
  <c r="F38" i="9"/>
  <c r="G38" i="9"/>
  <c r="F39" i="9"/>
  <c r="G39" i="9"/>
  <c r="F40" i="9"/>
  <c r="G40" i="9"/>
  <c r="F41" i="9"/>
  <c r="G41" i="9"/>
  <c r="F42" i="9"/>
  <c r="G42" i="9"/>
  <c r="F43" i="9"/>
  <c r="G43" i="9"/>
  <c r="F44" i="9"/>
  <c r="G44" i="9"/>
  <c r="F45" i="9"/>
  <c r="G45" i="9"/>
  <c r="F46" i="9"/>
  <c r="G46" i="9"/>
  <c r="F47" i="9"/>
  <c r="G47" i="9"/>
  <c r="F48" i="9"/>
  <c r="G48" i="9"/>
  <c r="F49" i="9"/>
  <c r="G49" i="9"/>
  <c r="F50" i="9"/>
  <c r="G50" i="9"/>
  <c r="F51" i="9"/>
  <c r="G51" i="9"/>
  <c r="F52" i="9"/>
  <c r="G52" i="9"/>
  <c r="F53" i="9"/>
  <c r="G53" i="9"/>
  <c r="F54" i="9"/>
  <c r="G54" i="9"/>
  <c r="F55" i="9"/>
  <c r="G55" i="9"/>
  <c r="F56" i="9"/>
  <c r="G56" i="9"/>
  <c r="F57" i="9"/>
  <c r="G57" i="9"/>
  <c r="F58" i="9"/>
  <c r="G58" i="9"/>
  <c r="F59" i="9"/>
  <c r="G59" i="9"/>
  <c r="F60" i="9"/>
  <c r="G60" i="9"/>
  <c r="F61" i="9"/>
  <c r="G61" i="9"/>
  <c r="G4" i="9"/>
  <c r="F4" i="9"/>
  <c r="G3" i="9"/>
  <c r="F3" i="9"/>
  <c r="K4" i="8" l="1"/>
  <c r="L4" i="8"/>
  <c r="M4" i="8"/>
  <c r="J4" i="8"/>
  <c r="K5" i="8"/>
  <c r="L5" i="8"/>
  <c r="M5" i="8"/>
  <c r="K6" i="8"/>
  <c r="L6" i="8"/>
  <c r="M6" i="8"/>
  <c r="K7" i="8"/>
  <c r="L7" i="8"/>
  <c r="M7" i="8"/>
  <c r="K8" i="8"/>
  <c r="L8" i="8"/>
  <c r="M8" i="8"/>
  <c r="K9" i="8"/>
  <c r="L9" i="8"/>
  <c r="M9" i="8"/>
  <c r="J6" i="8"/>
  <c r="J7" i="8"/>
  <c r="J8" i="8"/>
  <c r="J9" i="8"/>
  <c r="J5" i="8"/>
  <c r="I6" i="8"/>
  <c r="I7" i="8"/>
  <c r="I8" i="8"/>
  <c r="I9" i="8"/>
  <c r="I5" i="8"/>
  <c r="J4" i="5"/>
  <c r="H4" i="5"/>
  <c r="I4" i="5"/>
  <c r="K4" i="5"/>
  <c r="G4" i="5"/>
  <c r="O2401" i="1" l="1" a="1"/>
  <c r="O2401" i="1" s="1"/>
  <c r="N2401" i="1"/>
  <c r="M2401" i="1"/>
  <c r="O2400" i="1" a="1"/>
  <c r="O2400" i="1" s="1"/>
  <c r="N2400" i="1"/>
  <c r="M2400" i="1"/>
  <c r="O2399" i="1" a="1"/>
  <c r="O2399" i="1" s="1"/>
  <c r="N2399" i="1"/>
  <c r="M2399" i="1"/>
  <c r="O2398" i="1" a="1"/>
  <c r="O2398" i="1" s="1"/>
  <c r="N2398" i="1"/>
  <c r="M2398" i="1"/>
  <c r="O2397" i="1" a="1"/>
  <c r="O2397" i="1" s="1"/>
  <c r="N2397" i="1"/>
  <c r="M2397" i="1"/>
  <c r="O2396" i="1" a="1"/>
  <c r="O2396" i="1" s="1"/>
  <c r="N2396" i="1"/>
  <c r="M2396" i="1"/>
  <c r="O2395" i="1" a="1"/>
  <c r="O2395" i="1" s="1"/>
  <c r="N2395" i="1"/>
  <c r="M2395" i="1"/>
  <c r="O2394" i="1" a="1"/>
  <c r="O2394" i="1" s="1"/>
  <c r="N2394" i="1"/>
  <c r="M2394" i="1"/>
  <c r="O2393" i="1" a="1"/>
  <c r="O2393" i="1" s="1"/>
  <c r="N2393" i="1"/>
  <c r="M2393" i="1"/>
  <c r="O2392" i="1" a="1"/>
  <c r="O2392" i="1" s="1"/>
  <c r="N2392" i="1"/>
  <c r="M2392" i="1"/>
  <c r="O2391" i="1" a="1"/>
  <c r="O2391" i="1" s="1"/>
  <c r="N2391" i="1"/>
  <c r="M2391" i="1"/>
  <c r="O2390" i="1"/>
  <c r="O2390" i="1" a="1"/>
  <c r="N2390" i="1"/>
  <c r="M2390" i="1"/>
  <c r="O2389" i="1" a="1"/>
  <c r="O2389" i="1" s="1"/>
  <c r="N2389" i="1"/>
  <c r="M2389" i="1"/>
  <c r="O2388" i="1" a="1"/>
  <c r="O2388" i="1" s="1"/>
  <c r="N2388" i="1"/>
  <c r="M2388" i="1"/>
  <c r="O2387" i="1" a="1"/>
  <c r="O2387" i="1" s="1"/>
  <c r="N2387" i="1"/>
  <c r="M2387" i="1"/>
  <c r="O2386" i="1" a="1"/>
  <c r="O2386" i="1" s="1"/>
  <c r="N2386" i="1"/>
  <c r="M2386" i="1"/>
  <c r="O2385" i="1" a="1"/>
  <c r="O2385" i="1" s="1"/>
  <c r="N2385" i="1"/>
  <c r="M2385" i="1"/>
  <c r="O2384" i="1" a="1"/>
  <c r="O2384" i="1" s="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a="1"/>
  <c r="O2377" i="1" s="1"/>
  <c r="N2377" i="1"/>
  <c r="M2377" i="1"/>
  <c r="O2376" i="1" a="1"/>
  <c r="O2376" i="1" s="1"/>
  <c r="N2376" i="1"/>
  <c r="M2376" i="1"/>
  <c r="O2375" i="1"/>
  <c r="O2375" i="1" a="1"/>
  <c r="N2375" i="1"/>
  <c r="M2375" i="1"/>
  <c r="O2374" i="1" a="1"/>
  <c r="O2374" i="1" s="1"/>
  <c r="N2374" i="1"/>
  <c r="M2374" i="1"/>
  <c r="O2373" i="1" a="1"/>
  <c r="O2373" i="1" s="1"/>
  <c r="N2373" i="1"/>
  <c r="M2373" i="1"/>
  <c r="O2372" i="1" a="1"/>
  <c r="O2372" i="1" s="1"/>
  <c r="N2372" i="1"/>
  <c r="M2372" i="1"/>
  <c r="O2371" i="1" a="1"/>
  <c r="O2371" i="1" s="1"/>
  <c r="N2371" i="1"/>
  <c r="M2371" i="1"/>
  <c r="O2370" i="1" a="1"/>
  <c r="O2370" i="1" s="1"/>
  <c r="N2370" i="1"/>
  <c r="M2370" i="1"/>
  <c r="O2369" i="1" a="1"/>
  <c r="O2369" i="1" s="1"/>
  <c r="N2369" i="1"/>
  <c r="M2369" i="1"/>
  <c r="O2368" i="1" a="1"/>
  <c r="O2368" i="1" s="1"/>
  <c r="N2368" i="1"/>
  <c r="M2368" i="1"/>
  <c r="O2367" i="1" a="1"/>
  <c r="O2367" i="1" s="1"/>
  <c r="N2367" i="1"/>
  <c r="M2367" i="1"/>
  <c r="O2366" i="1" a="1"/>
  <c r="O2366" i="1" s="1"/>
  <c r="N2366" i="1"/>
  <c r="M2366" i="1"/>
  <c r="O2365" i="1" a="1"/>
  <c r="O2365" i="1" s="1"/>
  <c r="N2365" i="1"/>
  <c r="M2365" i="1"/>
  <c r="O2364" i="1" a="1"/>
  <c r="O2364" i="1" s="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a="1"/>
  <c r="O2356" i="1" s="1"/>
  <c r="N2356" i="1"/>
  <c r="M2356" i="1"/>
  <c r="O2355" i="1" a="1"/>
  <c r="O2355" i="1" s="1"/>
  <c r="N2355" i="1"/>
  <c r="M2355" i="1"/>
  <c r="O2354" i="1" a="1"/>
  <c r="O2354" i="1" s="1"/>
  <c r="N2354" i="1"/>
  <c r="M2354" i="1"/>
  <c r="O2353" i="1" a="1"/>
  <c r="O2353" i="1" s="1"/>
  <c r="N2353" i="1"/>
  <c r="M2353" i="1"/>
  <c r="O2352" i="1" a="1"/>
  <c r="O2352" i="1" s="1"/>
  <c r="N2352" i="1"/>
  <c r="M2352" i="1"/>
  <c r="O2351" i="1" a="1"/>
  <c r="O2351" i="1" s="1"/>
  <c r="N2351" i="1"/>
  <c r="M2351" i="1"/>
  <c r="O2350" i="1" a="1"/>
  <c r="O2350" i="1" s="1"/>
  <c r="N2350" i="1"/>
  <c r="M2350" i="1"/>
  <c r="O2349" i="1" a="1"/>
  <c r="O2349" i="1" s="1"/>
  <c r="N2349" i="1"/>
  <c r="M2349" i="1"/>
  <c r="O2348" i="1" a="1"/>
  <c r="O2348" i="1" s="1"/>
  <c r="N2348" i="1"/>
  <c r="M2348" i="1"/>
  <c r="O2347" i="1" a="1"/>
  <c r="O2347" i="1" s="1"/>
  <c r="N2347" i="1"/>
  <c r="M2347" i="1"/>
  <c r="O2346" i="1" a="1"/>
  <c r="O2346" i="1" s="1"/>
  <c r="N2346" i="1"/>
  <c r="M2346" i="1"/>
  <c r="O2345" i="1" a="1"/>
  <c r="O2345" i="1" s="1"/>
  <c r="N2345" i="1"/>
  <c r="M2345" i="1"/>
  <c r="O2344" i="1" a="1"/>
  <c r="O2344" i="1" s="1"/>
  <c r="N2344" i="1"/>
  <c r="M2344" i="1"/>
  <c r="O2343" i="1" a="1"/>
  <c r="O2343" i="1" s="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a="1"/>
  <c r="O2335" i="1" s="1"/>
  <c r="N2335" i="1"/>
  <c r="M2335" i="1"/>
  <c r="O2334" i="1" a="1"/>
  <c r="O2334" i="1" s="1"/>
  <c r="N2334" i="1"/>
  <c r="M2334" i="1"/>
  <c r="O2333" i="1" a="1"/>
  <c r="O2333" i="1" s="1"/>
  <c r="N2333" i="1"/>
  <c r="M2333" i="1"/>
  <c r="O2332" i="1" a="1"/>
  <c r="O2332" i="1" s="1"/>
  <c r="N2332" i="1"/>
  <c r="M2332" i="1"/>
  <c r="O2331" i="1" a="1"/>
  <c r="O2331" i="1" s="1"/>
  <c r="N2331" i="1"/>
  <c r="M2331" i="1"/>
  <c r="O2330" i="1" a="1"/>
  <c r="O2330" i="1" s="1"/>
  <c r="N2330" i="1"/>
  <c r="M2330" i="1"/>
  <c r="O2329" i="1" a="1"/>
  <c r="O2329" i="1" s="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a="1"/>
  <c r="O2321" i="1" s="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a="1"/>
  <c r="O2314" i="1" s="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a="1"/>
  <c r="O2306" i="1" s="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a="1"/>
  <c r="O2298" i="1" s="1"/>
  <c r="N2298" i="1"/>
  <c r="M2298" i="1"/>
  <c r="O2297" i="1" a="1"/>
  <c r="O2297" i="1" s="1"/>
  <c r="N2297" i="1"/>
  <c r="M2297" i="1"/>
  <c r="O2296" i="1" a="1"/>
  <c r="O2296" i="1" s="1"/>
  <c r="N2296" i="1"/>
  <c r="M2296" i="1"/>
  <c r="O2295" i="1"/>
  <c r="O2295" i="1" a="1"/>
  <c r="N2295" i="1"/>
  <c r="M2295" i="1"/>
  <c r="O2294" i="1"/>
  <c r="O2294" i="1" a="1"/>
  <c r="N2294" i="1"/>
  <c r="M2294" i="1"/>
  <c r="O2293" i="1" a="1"/>
  <c r="O2293" i="1" s="1"/>
  <c r="N2293" i="1"/>
  <c r="M2293" i="1"/>
  <c r="O2292" i="1" a="1"/>
  <c r="O2292" i="1" s="1"/>
  <c r="N2292" i="1"/>
  <c r="M2292" i="1"/>
  <c r="O2291" i="1" a="1"/>
  <c r="O2291" i="1" s="1"/>
  <c r="N2291" i="1"/>
  <c r="M2291" i="1"/>
  <c r="O2290" i="1" a="1"/>
  <c r="O2290" i="1" s="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a="1"/>
  <c r="O2279" i="1" s="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a="1"/>
  <c r="O2271" i="1" s="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a="1"/>
  <c r="O2263" i="1" s="1"/>
  <c r="N2263" i="1"/>
  <c r="M2263" i="1"/>
  <c r="O2262" i="1" a="1"/>
  <c r="O2262" i="1" s="1"/>
  <c r="N2262" i="1"/>
  <c r="M2262" i="1"/>
  <c r="O2261" i="1" a="1"/>
  <c r="O2261" i="1" s="1"/>
  <c r="N2261" i="1"/>
  <c r="M2261" i="1"/>
  <c r="O2260" i="1" a="1"/>
  <c r="O2260" i="1" s="1"/>
  <c r="N2260" i="1"/>
  <c r="M2260" i="1"/>
  <c r="O2259" i="1" a="1"/>
  <c r="O2259" i="1" s="1"/>
  <c r="N2259" i="1"/>
  <c r="M2259" i="1"/>
  <c r="O2258" i="1" a="1"/>
  <c r="O2258" i="1" s="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a="1"/>
  <c r="O2252" i="1" s="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a="1"/>
  <c r="O2239" i="1" s="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a="1"/>
  <c r="O2232" i="1" s="1"/>
  <c r="N2232" i="1"/>
  <c r="M2232" i="1"/>
  <c r="O2231" i="1" a="1"/>
  <c r="O2231" i="1" s="1"/>
  <c r="N2231" i="1"/>
  <c r="M2231" i="1"/>
  <c r="O2230" i="1" a="1"/>
  <c r="O2230" i="1" s="1"/>
  <c r="N2230" i="1"/>
  <c r="M2230" i="1"/>
  <c r="O2229" i="1" a="1"/>
  <c r="O2229" i="1" s="1"/>
  <c r="N2229" i="1"/>
  <c r="M2229" i="1"/>
  <c r="O2228" i="1" a="1"/>
  <c r="O2228" i="1" s="1"/>
  <c r="N2228" i="1"/>
  <c r="M2228" i="1"/>
  <c r="O2227" i="1" a="1"/>
  <c r="O2227" i="1" s="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a="1"/>
  <c r="O2220" i="1" s="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a="1"/>
  <c r="O2213" i="1" s="1"/>
  <c r="N2213" i="1"/>
  <c r="M2213" i="1"/>
  <c r="O2212" i="1" a="1"/>
  <c r="O2212" i="1" s="1"/>
  <c r="N2212" i="1"/>
  <c r="M2212" i="1"/>
  <c r="O2211" i="1" a="1"/>
  <c r="O2211" i="1" s="1"/>
  <c r="N2211" i="1"/>
  <c r="M2211" i="1"/>
  <c r="O2210" i="1" a="1"/>
  <c r="O2210" i="1" s="1"/>
  <c r="N2210" i="1"/>
  <c r="M2210" i="1"/>
  <c r="O2209" i="1"/>
  <c r="O2209" i="1" a="1"/>
  <c r="N2209" i="1"/>
  <c r="M2209" i="1"/>
  <c r="O2208" i="1" a="1"/>
  <c r="O2208" i="1" s="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a="1"/>
  <c r="O2200" i="1" s="1"/>
  <c r="N2200" i="1"/>
  <c r="M2200" i="1"/>
  <c r="O2199" i="1" a="1"/>
  <c r="O2199" i="1" s="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a="1"/>
  <c r="O2192" i="1" s="1"/>
  <c r="N2192" i="1"/>
  <c r="M2192" i="1"/>
  <c r="O2191" i="1" a="1"/>
  <c r="O2191" i="1" s="1"/>
  <c r="N2191" i="1"/>
  <c r="M2191" i="1"/>
  <c r="O2190" i="1" a="1"/>
  <c r="O2190" i="1" s="1"/>
  <c r="N2190" i="1"/>
  <c r="M2190" i="1"/>
  <c r="O2189" i="1" a="1"/>
  <c r="O2189" i="1" s="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a="1"/>
  <c r="O2174" i="1" s="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a="1"/>
  <c r="O2168" i="1" s="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a="1"/>
  <c r="O2159" i="1" s="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a="1"/>
  <c r="O2152" i="1" s="1"/>
  <c r="N2152" i="1"/>
  <c r="M2152" i="1"/>
  <c r="O2151" i="1" a="1"/>
  <c r="O2151" i="1" s="1"/>
  <c r="N2151" i="1"/>
  <c r="M2151" i="1"/>
  <c r="O2150" i="1" a="1"/>
  <c r="O2150" i="1" s="1"/>
  <c r="N2150" i="1"/>
  <c r="M2150" i="1"/>
  <c r="O2149" i="1" a="1"/>
  <c r="O2149" i="1" s="1"/>
  <c r="N2149" i="1"/>
  <c r="M2149" i="1"/>
  <c r="O2148" i="1" a="1"/>
  <c r="O2148" i="1" s="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a="1"/>
  <c r="O2136" i="1" s="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a="1"/>
  <c r="O2130" i="1" s="1"/>
  <c r="N2130" i="1"/>
  <c r="M2130" i="1"/>
  <c r="O2129" i="1" a="1"/>
  <c r="O2129" i="1" s="1"/>
  <c r="N2129" i="1"/>
  <c r="M2129" i="1"/>
  <c r="O2128" i="1" a="1"/>
  <c r="O2128" i="1" s="1"/>
  <c r="N2128" i="1"/>
  <c r="M2128" i="1"/>
  <c r="O2127" i="1" a="1"/>
  <c r="O2127" i="1" s="1"/>
  <c r="N2127" i="1"/>
  <c r="M2127" i="1"/>
  <c r="O2126" i="1" a="1"/>
  <c r="O2126" i="1" s="1"/>
  <c r="N2126" i="1"/>
  <c r="M2126" i="1"/>
  <c r="O2125" i="1" a="1"/>
  <c r="O2125" i="1" s="1"/>
  <c r="N2125" i="1"/>
  <c r="M2125" i="1"/>
  <c r="O2124" i="1" a="1"/>
  <c r="O2124" i="1" s="1"/>
  <c r="N2124" i="1"/>
  <c r="M2124" i="1"/>
  <c r="O2123" i="1" a="1"/>
  <c r="O2123" i="1" s="1"/>
  <c r="N2123" i="1"/>
  <c r="M2123" i="1"/>
  <c r="O2122" i="1" a="1"/>
  <c r="O2122" i="1" s="1"/>
  <c r="N2122" i="1"/>
  <c r="M2122" i="1"/>
  <c r="O2121" i="1" a="1"/>
  <c r="O2121" i="1" s="1"/>
  <c r="N2121" i="1"/>
  <c r="M2121" i="1"/>
  <c r="O2120" i="1"/>
  <c r="O2120" i="1" a="1"/>
  <c r="N2120" i="1"/>
  <c r="M2120" i="1"/>
  <c r="O2119" i="1"/>
  <c r="O2119" i="1" a="1"/>
  <c r="N2119" i="1"/>
  <c r="M2119" i="1"/>
  <c r="O2118" i="1" a="1"/>
  <c r="O2118" i="1" s="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a="1"/>
  <c r="O2110" i="1" s="1"/>
  <c r="N2110" i="1"/>
  <c r="M2110" i="1"/>
  <c r="O2109" i="1" a="1"/>
  <c r="O2109" i="1" s="1"/>
  <c r="N2109" i="1"/>
  <c r="M2109" i="1"/>
  <c r="O2108" i="1" a="1"/>
  <c r="O2108" i="1" s="1"/>
  <c r="N2108" i="1"/>
  <c r="M2108" i="1"/>
  <c r="O2107" i="1" a="1"/>
  <c r="O2107" i="1" s="1"/>
  <c r="N2107" i="1"/>
  <c r="M2107" i="1"/>
  <c r="O2106" i="1" a="1"/>
  <c r="O2106" i="1" s="1"/>
  <c r="N2106" i="1"/>
  <c r="M2106" i="1"/>
  <c r="O2105" i="1" a="1"/>
  <c r="O2105" i="1" s="1"/>
  <c r="N2105" i="1"/>
  <c r="M2105" i="1"/>
  <c r="O2104" i="1" a="1"/>
  <c r="O2104" i="1" s="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a="1"/>
  <c r="O2096" i="1" s="1"/>
  <c r="N2096" i="1"/>
  <c r="M2096" i="1"/>
  <c r="O2095" i="1" a="1"/>
  <c r="O2095" i="1" s="1"/>
  <c r="N2095" i="1"/>
  <c r="M2095" i="1"/>
  <c r="O2094" i="1" a="1"/>
  <c r="O2094" i="1" s="1"/>
  <c r="N2094" i="1"/>
  <c r="M2094" i="1"/>
  <c r="O2093" i="1" a="1"/>
  <c r="O2093" i="1" s="1"/>
  <c r="N2093" i="1"/>
  <c r="M2093" i="1"/>
  <c r="O2092" i="1"/>
  <c r="O2092" i="1" a="1"/>
  <c r="N2092" i="1"/>
  <c r="M2092" i="1"/>
  <c r="O2091" i="1"/>
  <c r="O2091" i="1" a="1"/>
  <c r="N2091" i="1"/>
  <c r="M2091" i="1"/>
  <c r="O2090" i="1" a="1"/>
  <c r="O2090" i="1" s="1"/>
  <c r="N2090" i="1"/>
  <c r="M2090" i="1"/>
  <c r="O2089" i="1"/>
  <c r="O2089" i="1" a="1"/>
  <c r="N2089" i="1"/>
  <c r="M2089" i="1"/>
  <c r="O2088" i="1" a="1"/>
  <c r="O2088" i="1" s="1"/>
  <c r="N2088" i="1"/>
  <c r="M2088" i="1"/>
  <c r="O2087" i="1" a="1"/>
  <c r="O2087" i="1" s="1"/>
  <c r="N2087" i="1"/>
  <c r="M2087" i="1"/>
  <c r="O2086" i="1" a="1"/>
  <c r="O2086" i="1" s="1"/>
  <c r="N2086" i="1"/>
  <c r="M2086" i="1"/>
  <c r="O2085" i="1" a="1"/>
  <c r="O2085" i="1" s="1"/>
  <c r="N2085" i="1"/>
  <c r="M2085" i="1"/>
  <c r="O2084" i="1" a="1"/>
  <c r="O2084" i="1" s="1"/>
  <c r="N2084" i="1"/>
  <c r="M2084" i="1"/>
  <c r="O2083" i="1" a="1"/>
  <c r="O2083" i="1" s="1"/>
  <c r="N2083" i="1"/>
  <c r="M2083" i="1"/>
  <c r="O2082" i="1"/>
  <c r="O2082" i="1" a="1"/>
  <c r="N2082" i="1"/>
  <c r="M2082" i="1"/>
  <c r="O2081" i="1" a="1"/>
  <c r="O2081" i="1" s="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a="1"/>
  <c r="O2071" i="1" s="1"/>
  <c r="N2071" i="1"/>
  <c r="M2071" i="1"/>
  <c r="O2070" i="1"/>
  <c r="O2070" i="1" a="1"/>
  <c r="N2070" i="1"/>
  <c r="M2070" i="1"/>
  <c r="O2069" i="1" a="1"/>
  <c r="O2069" i="1" s="1"/>
  <c r="N2069" i="1"/>
  <c r="M2069" i="1"/>
  <c r="O2068" i="1"/>
  <c r="O2068" i="1" a="1"/>
  <c r="N2068" i="1"/>
  <c r="M2068" i="1"/>
  <c r="O2067" i="1" a="1"/>
  <c r="O2067" i="1" s="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a="1"/>
  <c r="O2060" i="1" s="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a="1"/>
  <c r="O2053" i="1" s="1"/>
  <c r="N2053" i="1"/>
  <c r="M2053" i="1"/>
  <c r="O2052" i="1" a="1"/>
  <c r="O2052" i="1" s="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a="1"/>
  <c r="O2043" i="1" s="1"/>
  <c r="N2043" i="1"/>
  <c r="M2043" i="1"/>
  <c r="O2042" i="1"/>
  <c r="O2042" i="1" a="1"/>
  <c r="N2042" i="1"/>
  <c r="M2042" i="1"/>
  <c r="O2041" i="1" a="1"/>
  <c r="O2041" i="1" s="1"/>
  <c r="N2041" i="1"/>
  <c r="M2041" i="1"/>
  <c r="O2040" i="1" a="1"/>
  <c r="O2040" i="1" s="1"/>
  <c r="N2040" i="1"/>
  <c r="M2040" i="1"/>
  <c r="O2039" i="1" a="1"/>
  <c r="O2039" i="1" s="1"/>
  <c r="N2039" i="1"/>
  <c r="M2039" i="1"/>
  <c r="O2038" i="1" a="1"/>
  <c r="O2038" i="1" s="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a="1"/>
  <c r="O2029" i="1" s="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a="1"/>
  <c r="O2021" i="1" s="1"/>
  <c r="N2021" i="1"/>
  <c r="M2021" i="1"/>
  <c r="O2020" i="1" a="1"/>
  <c r="O2020" i="1" s="1"/>
  <c r="N2020" i="1"/>
  <c r="M2020" i="1"/>
  <c r="O2019" i="1" a="1"/>
  <c r="O2019" i="1" s="1"/>
  <c r="N2019" i="1"/>
  <c r="M2019" i="1"/>
  <c r="O2018" i="1"/>
  <c r="O2018" i="1" a="1"/>
  <c r="N2018" i="1"/>
  <c r="M2018" i="1"/>
  <c r="O2017" i="1" a="1"/>
  <c r="O2017" i="1" s="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a="1"/>
  <c r="O2001" i="1" s="1"/>
  <c r="N2001" i="1"/>
  <c r="M2001" i="1"/>
  <c r="O2000" i="1" a="1"/>
  <c r="O2000" i="1" s="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a="1"/>
  <c r="O1991" i="1" s="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a="1"/>
  <c r="O1982" i="1" s="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a="1"/>
  <c r="O1963" i="1" s="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a="1"/>
  <c r="O1956" i="1" s="1"/>
  <c r="N1956" i="1"/>
  <c r="M1956" i="1"/>
  <c r="O1955" i="1" a="1"/>
  <c r="O1955" i="1" s="1"/>
  <c r="N1955" i="1"/>
  <c r="M1955" i="1"/>
  <c r="O1954" i="1"/>
  <c r="O1954" i="1" a="1"/>
  <c r="N1954" i="1"/>
  <c r="M1954" i="1"/>
  <c r="O1953" i="1" a="1"/>
  <c r="O1953" i="1" s="1"/>
  <c r="N1953" i="1"/>
  <c r="M1953" i="1"/>
  <c r="O1952" i="1" a="1"/>
  <c r="O1952" i="1" s="1"/>
  <c r="N1952" i="1"/>
  <c r="M1952" i="1"/>
  <c r="O1951" i="1" a="1"/>
  <c r="O1951" i="1" s="1"/>
  <c r="N1951" i="1"/>
  <c r="M1951" i="1"/>
  <c r="O1950" i="1" a="1"/>
  <c r="O1950" i="1" s="1"/>
  <c r="N1950" i="1"/>
  <c r="M1950" i="1"/>
  <c r="O1949" i="1" a="1"/>
  <c r="O1949" i="1" s="1"/>
  <c r="N1949" i="1"/>
  <c r="M1949" i="1"/>
  <c r="O1948" i="1"/>
  <c r="O1948" i="1" a="1"/>
  <c r="N1948" i="1"/>
  <c r="M1948" i="1"/>
  <c r="O1947" i="1" a="1"/>
  <c r="O1947" i="1" s="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a="1"/>
  <c r="O1930" i="1" s="1"/>
  <c r="N1930" i="1"/>
  <c r="M1930" i="1"/>
  <c r="O1929" i="1" a="1"/>
  <c r="O1929" i="1" s="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a="1"/>
  <c r="O1909" i="1" s="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a="1"/>
  <c r="O1903" i="1" s="1"/>
  <c r="N1903" i="1"/>
  <c r="M1903" i="1"/>
  <c r="O1902" i="1" a="1"/>
  <c r="O1902" i="1" s="1"/>
  <c r="N1902" i="1"/>
  <c r="M1902" i="1"/>
  <c r="O1901" i="1" a="1"/>
  <c r="O1901" i="1" s="1"/>
  <c r="N1901" i="1"/>
  <c r="M1901" i="1"/>
  <c r="O1900" i="1" a="1"/>
  <c r="O1900" i="1" s="1"/>
  <c r="N1900" i="1"/>
  <c r="M1900" i="1"/>
  <c r="O1899" i="1" a="1"/>
  <c r="O1899" i="1" s="1"/>
  <c r="N1899" i="1"/>
  <c r="M1899" i="1"/>
  <c r="O1898" i="1" a="1"/>
  <c r="O1898" i="1" s="1"/>
  <c r="N1898" i="1"/>
  <c r="M1898" i="1"/>
  <c r="O1897" i="1" a="1"/>
  <c r="O1897" i="1" s="1"/>
  <c r="N1897" i="1"/>
  <c r="M1897" i="1"/>
  <c r="O1896" i="1" a="1"/>
  <c r="O1896" i="1" s="1"/>
  <c r="N1896" i="1"/>
  <c r="M1896" i="1"/>
  <c r="O1895" i="1" a="1"/>
  <c r="O1895" i="1" s="1"/>
  <c r="N1895" i="1"/>
  <c r="M1895" i="1"/>
  <c r="O1894" i="1" a="1"/>
  <c r="O1894" i="1" s="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a="1"/>
  <c r="O1846" i="1" s="1"/>
  <c r="N1846" i="1"/>
  <c r="M1846" i="1"/>
  <c r="O1845" i="1"/>
  <c r="O1845" i="1" a="1"/>
  <c r="N1845" i="1"/>
  <c r="M1845" i="1"/>
  <c r="O1844" i="1" a="1"/>
  <c r="O1844" i="1" s="1"/>
  <c r="N1844" i="1"/>
  <c r="M1844" i="1"/>
  <c r="O1843" i="1" a="1"/>
  <c r="O1843" i="1" s="1"/>
  <c r="N1843" i="1"/>
  <c r="M1843" i="1"/>
  <c r="O1842" i="1" a="1"/>
  <c r="O1842" i="1" s="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a="1"/>
  <c r="O1836" i="1" s="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a="1"/>
  <c r="O1817" i="1" s="1"/>
  <c r="N1817" i="1"/>
  <c r="M1817" i="1"/>
  <c r="O1816" i="1"/>
  <c r="O1816" i="1" a="1"/>
  <c r="N1816" i="1"/>
  <c r="M1816" i="1"/>
  <c r="O1815" i="1" a="1"/>
  <c r="O1815" i="1" s="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a="1"/>
  <c r="O1809" i="1" s="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a="1"/>
  <c r="O1803" i="1" s="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a="1"/>
  <c r="O1796" i="1" s="1"/>
  <c r="N1796" i="1"/>
  <c r="M1796" i="1"/>
  <c r="O1795" i="1"/>
  <c r="O1795" i="1" a="1"/>
  <c r="N1795" i="1"/>
  <c r="M1795" i="1"/>
  <c r="O1794" i="1" a="1"/>
  <c r="O1794" i="1" s="1"/>
  <c r="N1794" i="1"/>
  <c r="M1794" i="1"/>
  <c r="O1793" i="1"/>
  <c r="O1793" i="1" a="1"/>
  <c r="N1793" i="1"/>
  <c r="M1793" i="1"/>
  <c r="O1792" i="1" a="1"/>
  <c r="O1792" i="1" s="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a="1"/>
  <c r="O1778" i="1" s="1"/>
  <c r="N1778" i="1"/>
  <c r="M1778" i="1"/>
  <c r="O1777" i="1" a="1"/>
  <c r="O1777" i="1" s="1"/>
  <c r="N1777" i="1"/>
  <c r="M1777" i="1"/>
  <c r="O1776" i="1" a="1"/>
  <c r="O1776" i="1" s="1"/>
  <c r="N1776" i="1"/>
  <c r="M1776" i="1"/>
  <c r="O1775" i="1" a="1"/>
  <c r="O1775" i="1" s="1"/>
  <c r="N1775" i="1"/>
  <c r="M1775" i="1"/>
  <c r="O1774" i="1" a="1"/>
  <c r="O1774" i="1" s="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a="1"/>
  <c r="O1767" i="1" s="1"/>
  <c r="N1767" i="1"/>
  <c r="M1767" i="1"/>
  <c r="O1766" i="1" a="1"/>
  <c r="O1766" i="1" s="1"/>
  <c r="N1766" i="1"/>
  <c r="M1766" i="1"/>
  <c r="O1765" i="1"/>
  <c r="O1765" i="1" a="1"/>
  <c r="N1765" i="1"/>
  <c r="M1765" i="1"/>
  <c r="O1764" i="1" a="1"/>
  <c r="O1764" i="1" s="1"/>
  <c r="N1764" i="1"/>
  <c r="M1764" i="1"/>
  <c r="O1763" i="1" a="1"/>
  <c r="O1763" i="1" s="1"/>
  <c r="N1763" i="1"/>
  <c r="M1763" i="1"/>
  <c r="O1762" i="1" a="1"/>
  <c r="O1762" i="1" s="1"/>
  <c r="N1762" i="1"/>
  <c r="M1762" i="1"/>
  <c r="O1761" i="1" a="1"/>
  <c r="O1761" i="1" s="1"/>
  <c r="N1761" i="1"/>
  <c r="M1761" i="1"/>
  <c r="O1760" i="1" a="1"/>
  <c r="O1760" i="1" s="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a="1"/>
  <c r="O1754" i="1" s="1"/>
  <c r="N1754" i="1"/>
  <c r="M1754" i="1"/>
  <c r="O1753" i="1" a="1"/>
  <c r="O1753" i="1" s="1"/>
  <c r="N1753" i="1"/>
  <c r="M1753" i="1"/>
  <c r="O1752" i="1" a="1"/>
  <c r="O1752" i="1" s="1"/>
  <c r="N1752" i="1"/>
  <c r="M1752" i="1"/>
  <c r="O1751" i="1"/>
  <c r="O1751" i="1" a="1"/>
  <c r="N1751" i="1"/>
  <c r="M1751" i="1"/>
  <c r="O1750" i="1" a="1"/>
  <c r="O1750" i="1" s="1"/>
  <c r="N1750" i="1"/>
  <c r="M1750" i="1"/>
  <c r="O1749" i="1" a="1"/>
  <c r="O1749" i="1" s="1"/>
  <c r="N1749" i="1"/>
  <c r="M1749" i="1"/>
  <c r="O1748" i="1" a="1"/>
  <c r="O1748" i="1" s="1"/>
  <c r="N1748" i="1"/>
  <c r="M1748" i="1"/>
  <c r="O1747" i="1" a="1"/>
  <c r="O1747" i="1" s="1"/>
  <c r="N1747" i="1"/>
  <c r="M1747" i="1"/>
  <c r="O1746" i="1"/>
  <c r="O1746" i="1" a="1"/>
  <c r="N1746" i="1"/>
  <c r="M1746" i="1"/>
  <c r="O1745" i="1" a="1"/>
  <c r="O1745" i="1" s="1"/>
  <c r="N1745" i="1"/>
  <c r="M1745" i="1"/>
  <c r="O1744" i="1"/>
  <c r="O1744" i="1" a="1"/>
  <c r="N1744" i="1"/>
  <c r="M1744" i="1"/>
  <c r="O1743" i="1" a="1"/>
  <c r="O1743" i="1" s="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a="1"/>
  <c r="O1729" i="1" s="1"/>
  <c r="N1729" i="1"/>
  <c r="M1729" i="1"/>
  <c r="O1728" i="1" a="1"/>
  <c r="O1728" i="1" s="1"/>
  <c r="N1728" i="1"/>
  <c r="M1728" i="1"/>
  <c r="O1727" i="1" a="1"/>
  <c r="O1727" i="1" s="1"/>
  <c r="N1727" i="1"/>
  <c r="M1727" i="1"/>
  <c r="O1726" i="1" a="1"/>
  <c r="O1726" i="1" s="1"/>
  <c r="N1726" i="1"/>
  <c r="M1726" i="1"/>
  <c r="O1725" i="1"/>
  <c r="O1725" i="1" a="1"/>
  <c r="N1725" i="1"/>
  <c r="M1725" i="1"/>
  <c r="O1724" i="1" a="1"/>
  <c r="O1724" i="1" s="1"/>
  <c r="N1724" i="1"/>
  <c r="M1724" i="1"/>
  <c r="O1723" i="1" a="1"/>
  <c r="O1723" i="1" s="1"/>
  <c r="N1723" i="1"/>
  <c r="M1723" i="1"/>
  <c r="O1722" i="1" a="1"/>
  <c r="O1722" i="1" s="1"/>
  <c r="N1722" i="1"/>
  <c r="M1722" i="1"/>
  <c r="O1721" i="1" a="1"/>
  <c r="O1721" i="1" s="1"/>
  <c r="N1721" i="1"/>
  <c r="M1721" i="1"/>
  <c r="O1720" i="1" a="1"/>
  <c r="O1720" i="1" s="1"/>
  <c r="N1720" i="1"/>
  <c r="M1720" i="1"/>
  <c r="O1719" i="1" a="1"/>
  <c r="O1719" i="1" s="1"/>
  <c r="N1719" i="1"/>
  <c r="M1719" i="1"/>
  <c r="O1718" i="1" a="1"/>
  <c r="O1718" i="1" s="1"/>
  <c r="N1718" i="1"/>
  <c r="M1718" i="1"/>
  <c r="O1717" i="1"/>
  <c r="O1717" i="1" a="1"/>
  <c r="N1717" i="1"/>
  <c r="M1717" i="1"/>
  <c r="O1716" i="1" a="1"/>
  <c r="O1716" i="1" s="1"/>
  <c r="N1716" i="1"/>
  <c r="M1716" i="1"/>
  <c r="O1715" i="1" a="1"/>
  <c r="O1715" i="1" s="1"/>
  <c r="N1715" i="1"/>
  <c r="M1715" i="1"/>
  <c r="O1714" i="1" a="1"/>
  <c r="O1714" i="1" s="1"/>
  <c r="N1714" i="1"/>
  <c r="M1714" i="1"/>
  <c r="O1713" i="1" a="1"/>
  <c r="O1713" i="1" s="1"/>
  <c r="N1713" i="1"/>
  <c r="M1713" i="1"/>
  <c r="O1712" i="1" a="1"/>
  <c r="O1712" i="1" s="1"/>
  <c r="N1712" i="1"/>
  <c r="M1712" i="1"/>
  <c r="O1711" i="1" a="1"/>
  <c r="O1711" i="1" s="1"/>
  <c r="N1711" i="1"/>
  <c r="M1711" i="1"/>
  <c r="O1710" i="1" a="1"/>
  <c r="O1710" i="1" s="1"/>
  <c r="N1710" i="1"/>
  <c r="M1710" i="1"/>
  <c r="O1709" i="1" a="1"/>
  <c r="O1709" i="1" s="1"/>
  <c r="N1709" i="1"/>
  <c r="M1709" i="1"/>
  <c r="O1708" i="1" a="1"/>
  <c r="O1708" i="1" s="1"/>
  <c r="N1708" i="1"/>
  <c r="M1708" i="1"/>
  <c r="O1707" i="1" a="1"/>
  <c r="O1707" i="1" s="1"/>
  <c r="N1707" i="1"/>
  <c r="M1707" i="1"/>
  <c r="O1706" i="1" a="1"/>
  <c r="O1706" i="1" s="1"/>
  <c r="N1706" i="1"/>
  <c r="M1706" i="1"/>
  <c r="O1705" i="1" a="1"/>
  <c r="O1705" i="1" s="1"/>
  <c r="N1705" i="1"/>
  <c r="M1705" i="1"/>
  <c r="O1704" i="1" a="1"/>
  <c r="O1704" i="1" s="1"/>
  <c r="N1704" i="1"/>
  <c r="M1704" i="1"/>
  <c r="O1703" i="1" a="1"/>
  <c r="O1703" i="1" s="1"/>
  <c r="N1703" i="1"/>
  <c r="M1703" i="1"/>
  <c r="O1702" i="1" a="1"/>
  <c r="O1702" i="1" s="1"/>
  <c r="N1702" i="1"/>
  <c r="M1702" i="1"/>
  <c r="O1701" i="1" a="1"/>
  <c r="O1701" i="1" s="1"/>
  <c r="N1701" i="1"/>
  <c r="M1701" i="1"/>
  <c r="O1700" i="1" a="1"/>
  <c r="O1700" i="1" s="1"/>
  <c r="N1700" i="1"/>
  <c r="M1700" i="1"/>
  <c r="O1699" i="1" a="1"/>
  <c r="O1699" i="1" s="1"/>
  <c r="N1699" i="1"/>
  <c r="M1699" i="1"/>
  <c r="O1698" i="1" a="1"/>
  <c r="O1698" i="1" s="1"/>
  <c r="N1698" i="1"/>
  <c r="M1698" i="1"/>
  <c r="O1697" i="1" a="1"/>
  <c r="O1697" i="1" s="1"/>
  <c r="N1697" i="1"/>
  <c r="M1697" i="1"/>
  <c r="O1696" i="1" a="1"/>
  <c r="O1696" i="1" s="1"/>
  <c r="N1696" i="1"/>
  <c r="M1696" i="1"/>
  <c r="O1695" i="1" a="1"/>
  <c r="O1695" i="1" s="1"/>
  <c r="N1695" i="1"/>
  <c r="M1695" i="1"/>
  <c r="O1694" i="1" a="1"/>
  <c r="O1694" i="1" s="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a="1"/>
  <c r="O1680" i="1" s="1"/>
  <c r="N1680" i="1"/>
  <c r="M1680" i="1"/>
  <c r="O1679" i="1" a="1"/>
  <c r="O1679" i="1" s="1"/>
  <c r="N1679" i="1"/>
  <c r="M1679" i="1"/>
  <c r="O1678" i="1" a="1"/>
  <c r="O1678" i="1" s="1"/>
  <c r="N1678" i="1"/>
  <c r="M1678" i="1"/>
  <c r="O1677" i="1" a="1"/>
  <c r="O1677" i="1" s="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a="1"/>
  <c r="O1670" i="1" s="1"/>
  <c r="N1670" i="1"/>
  <c r="M1670" i="1"/>
  <c r="O1669" i="1" a="1"/>
  <c r="O1669" i="1" s="1"/>
  <c r="N1669" i="1"/>
  <c r="M1669" i="1"/>
  <c r="O1668" i="1" a="1"/>
  <c r="O1668" i="1" s="1"/>
  <c r="N1668" i="1"/>
  <c r="M1668" i="1"/>
  <c r="O1667" i="1"/>
  <c r="O1667" i="1" a="1"/>
  <c r="N1667" i="1"/>
  <c r="M1667" i="1"/>
  <c r="O1666" i="1" a="1"/>
  <c r="O1666" i="1" s="1"/>
  <c r="N1666" i="1"/>
  <c r="M1666" i="1"/>
  <c r="O1665" i="1" a="1"/>
  <c r="O1665" i="1" s="1"/>
  <c r="N1665" i="1"/>
  <c r="M1665" i="1"/>
  <c r="O1664" i="1" a="1"/>
  <c r="O1664" i="1" s="1"/>
  <c r="N1664" i="1"/>
  <c r="M1664" i="1"/>
  <c r="O1663" i="1" a="1"/>
  <c r="O1663" i="1" s="1"/>
  <c r="N1663" i="1"/>
  <c r="M1663" i="1"/>
  <c r="O1662" i="1" a="1"/>
  <c r="O1662" i="1" s="1"/>
  <c r="N1662" i="1"/>
  <c r="M1662" i="1"/>
  <c r="O1661" i="1" a="1"/>
  <c r="O1661" i="1" s="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a="1"/>
  <c r="O1639" i="1" s="1"/>
  <c r="N1639" i="1"/>
  <c r="M1639" i="1"/>
  <c r="O1638" i="1"/>
  <c r="O1638" i="1" a="1"/>
  <c r="N1638" i="1"/>
  <c r="M1638" i="1"/>
  <c r="O1637" i="1" a="1"/>
  <c r="O1637" i="1" s="1"/>
  <c r="N1637" i="1"/>
  <c r="M1637" i="1"/>
  <c r="O1636" i="1" a="1"/>
  <c r="O1636" i="1" s="1"/>
  <c r="N1636" i="1"/>
  <c r="M1636" i="1"/>
  <c r="O1635" i="1" a="1"/>
  <c r="O1635" i="1" s="1"/>
  <c r="N1635" i="1"/>
  <c r="M1635" i="1"/>
  <c r="O1634" i="1" a="1"/>
  <c r="O1634" i="1" s="1"/>
  <c r="N1634" i="1"/>
  <c r="M1634" i="1"/>
  <c r="O1633" i="1" a="1"/>
  <c r="O1633" i="1" s="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a="1"/>
  <c r="O1624" i="1" s="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a="1"/>
  <c r="O1612" i="1" s="1"/>
  <c r="N1612" i="1"/>
  <c r="M1612" i="1"/>
  <c r="O1611" i="1" a="1"/>
  <c r="O1611" i="1" s="1"/>
  <c r="N1611" i="1"/>
  <c r="M1611" i="1"/>
  <c r="O1610" i="1"/>
  <c r="O1610" i="1" a="1"/>
  <c r="N1610" i="1"/>
  <c r="M1610" i="1"/>
  <c r="O1609" i="1" a="1"/>
  <c r="O1609" i="1" s="1"/>
  <c r="N1609" i="1"/>
  <c r="M1609" i="1"/>
  <c r="O1608" i="1" a="1"/>
  <c r="O1608" i="1" s="1"/>
  <c r="N1608" i="1"/>
  <c r="M1608" i="1"/>
  <c r="O1607" i="1"/>
  <c r="O1607" i="1" a="1"/>
  <c r="N1607" i="1"/>
  <c r="M1607" i="1"/>
  <c r="O1606" i="1" a="1"/>
  <c r="O1606" i="1" s="1"/>
  <c r="N1606" i="1"/>
  <c r="M1606" i="1"/>
  <c r="O1605" i="1" a="1"/>
  <c r="O1605" i="1" s="1"/>
  <c r="N1605" i="1"/>
  <c r="M1605" i="1"/>
  <c r="O1604" i="1"/>
  <c r="O1604" i="1" a="1"/>
  <c r="N1604" i="1"/>
  <c r="M1604" i="1"/>
  <c r="O1603" i="1" a="1"/>
  <c r="O1603" i="1" s="1"/>
  <c r="N1603" i="1"/>
  <c r="M1603" i="1"/>
  <c r="O1602" i="1" a="1"/>
  <c r="O1602" i="1" s="1"/>
  <c r="N1602" i="1"/>
  <c r="M1602" i="1"/>
  <c r="O1601" i="1"/>
  <c r="O1601" i="1" a="1"/>
  <c r="N1601" i="1"/>
  <c r="M1601" i="1"/>
  <c r="O1600" i="1" a="1"/>
  <c r="O1600" i="1" s="1"/>
  <c r="N1600" i="1"/>
  <c r="M1600" i="1"/>
  <c r="O1599" i="1" a="1"/>
  <c r="O1599" i="1" s="1"/>
  <c r="N1599" i="1"/>
  <c r="M1599" i="1"/>
  <c r="O1598" i="1"/>
  <c r="O1598" i="1" a="1"/>
  <c r="N1598" i="1"/>
  <c r="M1598" i="1"/>
  <c r="O1597" i="1" a="1"/>
  <c r="O1597" i="1" s="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a="1"/>
  <c r="O1589" i="1" s="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a="1"/>
  <c r="O1578" i="1" s="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a="1"/>
  <c r="O1568" i="1" s="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a="1"/>
  <c r="O1559" i="1" s="1"/>
  <c r="N1559" i="1"/>
  <c r="M1559" i="1"/>
  <c r="O1558" i="1" a="1"/>
  <c r="O1558" i="1" s="1"/>
  <c r="N1558" i="1"/>
  <c r="M1558" i="1"/>
  <c r="O1557" i="1" a="1"/>
  <c r="O1557" i="1" s="1"/>
  <c r="N1557" i="1"/>
  <c r="M1557" i="1"/>
  <c r="O1556" i="1" a="1"/>
  <c r="O1556" i="1" s="1"/>
  <c r="N1556" i="1"/>
  <c r="M1556" i="1"/>
  <c r="O1555" i="1" a="1"/>
  <c r="O1555" i="1" s="1"/>
  <c r="N1555" i="1"/>
  <c r="M1555" i="1"/>
  <c r="O1554" i="1" a="1"/>
  <c r="O1554" i="1" s="1"/>
  <c r="N1554" i="1"/>
  <c r="M1554" i="1"/>
  <c r="O1553" i="1" a="1"/>
  <c r="O1553" i="1" s="1"/>
  <c r="N1553" i="1"/>
  <c r="M1553" i="1"/>
  <c r="O1552" i="1" a="1"/>
  <c r="O1552" i="1" s="1"/>
  <c r="N1552" i="1"/>
  <c r="M1552" i="1"/>
  <c r="O1551" i="1" a="1"/>
  <c r="O1551" i="1" s="1"/>
  <c r="N1551" i="1"/>
  <c r="M1551" i="1"/>
  <c r="O1550" i="1" a="1"/>
  <c r="O1550" i="1" s="1"/>
  <c r="N1550" i="1"/>
  <c r="M1550" i="1"/>
  <c r="O1549" i="1" a="1"/>
  <c r="O1549" i="1" s="1"/>
  <c r="N1549" i="1"/>
  <c r="M1549" i="1"/>
  <c r="O1548" i="1"/>
  <c r="O1548" i="1" a="1"/>
  <c r="N1548" i="1"/>
  <c r="M1548" i="1"/>
  <c r="O1547" i="1" a="1"/>
  <c r="O1547" i="1" s="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a="1"/>
  <c r="O1529" i="1" s="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a="1"/>
  <c r="O1523" i="1" s="1"/>
  <c r="N1523" i="1"/>
  <c r="M1523" i="1"/>
  <c r="O1522" i="1" a="1"/>
  <c r="O1522" i="1" s="1"/>
  <c r="N1522" i="1"/>
  <c r="M1522" i="1"/>
  <c r="O1521" i="1" a="1"/>
  <c r="O1521" i="1" s="1"/>
  <c r="N1521" i="1"/>
  <c r="M1521" i="1"/>
  <c r="O1520" i="1" a="1"/>
  <c r="O1520" i="1" s="1"/>
  <c r="N1520" i="1"/>
  <c r="M1520" i="1"/>
  <c r="O1519" i="1" a="1"/>
  <c r="O1519" i="1" s="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a="1"/>
  <c r="O1513" i="1" s="1"/>
  <c r="N1513" i="1"/>
  <c r="M1513" i="1"/>
  <c r="O1512" i="1" a="1"/>
  <c r="O1512" i="1" s="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a="1"/>
  <c r="O1501" i="1" s="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a="1"/>
  <c r="O1495" i="1" s="1"/>
  <c r="N1495" i="1"/>
  <c r="M1495" i="1"/>
  <c r="O1494" i="1" a="1"/>
  <c r="O1494" i="1" s="1"/>
  <c r="N1494" i="1"/>
  <c r="M1494" i="1"/>
  <c r="O1493" i="1" a="1"/>
  <c r="O1493" i="1" s="1"/>
  <c r="N1493" i="1"/>
  <c r="M1493" i="1"/>
  <c r="O1492" i="1" a="1"/>
  <c r="O1492" i="1" s="1"/>
  <c r="N1492" i="1"/>
  <c r="M1492" i="1"/>
  <c r="O1491" i="1" a="1"/>
  <c r="O1491" i="1" s="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a="1"/>
  <c r="O1484" i="1" s="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a="1"/>
  <c r="O1477" i="1" s="1"/>
  <c r="N1477" i="1"/>
  <c r="M1477" i="1"/>
  <c r="O1476" i="1" a="1"/>
  <c r="O1476" i="1" s="1"/>
  <c r="N1476" i="1"/>
  <c r="M1476" i="1"/>
  <c r="O1475" i="1" a="1"/>
  <c r="O1475" i="1" s="1"/>
  <c r="N1475" i="1"/>
  <c r="M1475" i="1"/>
  <c r="O1474" i="1" a="1"/>
  <c r="O1474" i="1" s="1"/>
  <c r="N1474" i="1"/>
  <c r="M1474" i="1"/>
  <c r="O1473" i="1" a="1"/>
  <c r="O1473" i="1" s="1"/>
  <c r="N1473" i="1"/>
  <c r="M1473" i="1"/>
  <c r="O1472" i="1" a="1"/>
  <c r="O1472" i="1" s="1"/>
  <c r="N1472" i="1"/>
  <c r="M1472" i="1"/>
  <c r="O1471" i="1"/>
  <c r="O1471" i="1" a="1"/>
  <c r="N1471" i="1"/>
  <c r="M1471" i="1"/>
  <c r="O1470" i="1" a="1"/>
  <c r="O1470" i="1" s="1"/>
  <c r="N1470" i="1"/>
  <c r="M1470" i="1"/>
  <c r="O1469" i="1" a="1"/>
  <c r="O1469" i="1" s="1"/>
  <c r="N1469" i="1"/>
  <c r="M1469" i="1"/>
  <c r="O1468" i="1" a="1"/>
  <c r="O1468" i="1" s="1"/>
  <c r="N1468" i="1"/>
  <c r="M1468" i="1"/>
  <c r="O1467" i="1" a="1"/>
  <c r="O1467" i="1" s="1"/>
  <c r="N1467" i="1"/>
  <c r="M1467" i="1"/>
  <c r="O1466" i="1" a="1"/>
  <c r="O1466" i="1" s="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a="1"/>
  <c r="O1459" i="1" s="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a="1"/>
  <c r="O1449" i="1" s="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a="1"/>
  <c r="O1442" i="1" s="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a="1"/>
  <c r="O1435" i="1" s="1"/>
  <c r="N1435" i="1"/>
  <c r="M1435" i="1"/>
  <c r="O1434" i="1" a="1"/>
  <c r="O1434" i="1" s="1"/>
  <c r="N1434" i="1"/>
  <c r="M1434" i="1"/>
  <c r="O1433" i="1" a="1"/>
  <c r="O1433" i="1" s="1"/>
  <c r="N1433" i="1"/>
  <c r="M1433" i="1"/>
  <c r="O1432" i="1"/>
  <c r="O1432" i="1" a="1"/>
  <c r="N1432" i="1"/>
  <c r="M1432" i="1"/>
  <c r="O1431" i="1"/>
  <c r="O1431" i="1" a="1"/>
  <c r="N1431" i="1"/>
  <c r="M1431" i="1"/>
  <c r="O1430" i="1" a="1"/>
  <c r="O1430" i="1" s="1"/>
  <c r="N1430" i="1"/>
  <c r="M1430" i="1"/>
  <c r="O1429" i="1" a="1"/>
  <c r="O1429" i="1" s="1"/>
  <c r="N1429" i="1"/>
  <c r="M1429" i="1"/>
  <c r="O1428" i="1"/>
  <c r="O1428" i="1" a="1"/>
  <c r="N1428" i="1"/>
  <c r="M1428" i="1"/>
  <c r="O1427" i="1" a="1"/>
  <c r="O1427" i="1" s="1"/>
  <c r="N1427" i="1"/>
  <c r="M1427" i="1"/>
  <c r="O1426" i="1" a="1"/>
  <c r="O1426" i="1" s="1"/>
  <c r="N1426" i="1"/>
  <c r="M1426" i="1"/>
  <c r="O1425" i="1" a="1"/>
  <c r="O1425" i="1" s="1"/>
  <c r="N1425" i="1"/>
  <c r="M1425" i="1"/>
  <c r="O1424" i="1" a="1"/>
  <c r="O1424" i="1" s="1"/>
  <c r="N1424" i="1"/>
  <c r="M1424" i="1"/>
  <c r="O1423" i="1" a="1"/>
  <c r="O1423" i="1" s="1"/>
  <c r="N1423" i="1"/>
  <c r="M1423" i="1"/>
  <c r="O1422" i="1" a="1"/>
  <c r="O1422" i="1" s="1"/>
  <c r="N1422" i="1"/>
  <c r="M1422" i="1"/>
  <c r="O1421" i="1" a="1"/>
  <c r="O1421" i="1" s="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a="1"/>
  <c r="O1412" i="1" s="1"/>
  <c r="N1412" i="1"/>
  <c r="M1412" i="1"/>
  <c r="O1411" i="1"/>
  <c r="O1411" i="1" a="1"/>
  <c r="N1411" i="1"/>
  <c r="M1411" i="1"/>
  <c r="O1410" i="1" a="1"/>
  <c r="O1410" i="1" s="1"/>
  <c r="N1410" i="1"/>
  <c r="M1410" i="1"/>
  <c r="O1409" i="1" a="1"/>
  <c r="O1409" i="1" s="1"/>
  <c r="N1409" i="1"/>
  <c r="M1409" i="1"/>
  <c r="O1408" i="1"/>
  <c r="O1408" i="1" a="1"/>
  <c r="N1408" i="1"/>
  <c r="M1408" i="1"/>
  <c r="O1407" i="1" a="1"/>
  <c r="O1407" i="1" s="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a="1"/>
  <c r="O1401" i="1" s="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a="1"/>
  <c r="O1391" i="1" s="1"/>
  <c r="N1391" i="1"/>
  <c r="M1391" i="1"/>
  <c r="O1390" i="1"/>
  <c r="O1390" i="1" a="1"/>
  <c r="N1390" i="1"/>
  <c r="M1390" i="1"/>
  <c r="O1389" i="1" a="1"/>
  <c r="O1389" i="1" s="1"/>
  <c r="N1389" i="1"/>
  <c r="M1389" i="1"/>
  <c r="O1388" i="1" a="1"/>
  <c r="O1388" i="1" s="1"/>
  <c r="N1388" i="1"/>
  <c r="M1388" i="1"/>
  <c r="O1387" i="1"/>
  <c r="O1387" i="1" a="1"/>
  <c r="N1387" i="1"/>
  <c r="M1387" i="1"/>
  <c r="O1386" i="1" a="1"/>
  <c r="O1386" i="1" s="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a="1"/>
  <c r="O1372" i="1" s="1"/>
  <c r="N1372" i="1"/>
  <c r="M1372" i="1"/>
  <c r="O1371" i="1" a="1"/>
  <c r="O1371" i="1" s="1"/>
  <c r="N1371" i="1"/>
  <c r="M1371" i="1"/>
  <c r="O1370" i="1" a="1"/>
  <c r="O1370" i="1" s="1"/>
  <c r="N1370" i="1"/>
  <c r="M1370" i="1"/>
  <c r="O1369" i="1" a="1"/>
  <c r="O1369" i="1" s="1"/>
  <c r="N1369" i="1"/>
  <c r="M1369" i="1"/>
  <c r="O1368" i="1" a="1"/>
  <c r="O1368" i="1" s="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a="1"/>
  <c r="O1355" i="1" s="1"/>
  <c r="N1355" i="1"/>
  <c r="M1355" i="1"/>
  <c r="O1354" i="1" a="1"/>
  <c r="O1354" i="1" s="1"/>
  <c r="N1354" i="1"/>
  <c r="M1354" i="1"/>
  <c r="O1353" i="1"/>
  <c r="O1353" i="1" a="1"/>
  <c r="N1353" i="1"/>
  <c r="M1353" i="1"/>
  <c r="O1352" i="1" a="1"/>
  <c r="O1352" i="1" s="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a="1"/>
  <c r="O1343" i="1" s="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a="1"/>
  <c r="O1336" i="1" s="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a="1"/>
  <c r="O1330" i="1" s="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a="1"/>
  <c r="O1322" i="1" s="1"/>
  <c r="N1322" i="1"/>
  <c r="M1322" i="1"/>
  <c r="O1321" i="1" a="1"/>
  <c r="O1321" i="1" s="1"/>
  <c r="N1321" i="1"/>
  <c r="M1321" i="1"/>
  <c r="O1320" i="1" a="1"/>
  <c r="O1320" i="1" s="1"/>
  <c r="N1320" i="1"/>
  <c r="M1320" i="1"/>
  <c r="O1319" i="1" a="1"/>
  <c r="O1319" i="1" s="1"/>
  <c r="N1319" i="1"/>
  <c r="M1319" i="1"/>
  <c r="O1318" i="1" a="1"/>
  <c r="O1318" i="1" s="1"/>
  <c r="N1318" i="1"/>
  <c r="M1318" i="1"/>
  <c r="O1317" i="1" a="1"/>
  <c r="O1317" i="1" s="1"/>
  <c r="N1317" i="1"/>
  <c r="M1317" i="1"/>
  <c r="O1316" i="1"/>
  <c r="O1316" i="1" a="1"/>
  <c r="N1316" i="1"/>
  <c r="M1316" i="1"/>
  <c r="O1315" i="1" a="1"/>
  <c r="O1315" i="1" s="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a="1"/>
  <c r="O1309" i="1" s="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a="1"/>
  <c r="O1302" i="1" s="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a="1"/>
  <c r="O1294" i="1" s="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a="1"/>
  <c r="O1288" i="1" s="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a="1"/>
  <c r="O1281" i="1" s="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a="1"/>
  <c r="O1273" i="1" s="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a="1"/>
  <c r="O1266" i="1" s="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a="1"/>
  <c r="O1259" i="1" s="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a="1"/>
  <c r="O1252" i="1" s="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a="1"/>
  <c r="O1246" i="1" s="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a="1"/>
  <c r="O1238" i="1" s="1"/>
  <c r="N1238" i="1"/>
  <c r="M1238" i="1"/>
  <c r="O1237" i="1" a="1"/>
  <c r="O1237" i="1" s="1"/>
  <c r="N1237" i="1"/>
  <c r="M1237" i="1"/>
  <c r="O1236" i="1" a="1"/>
  <c r="O1236" i="1" s="1"/>
  <c r="N1236" i="1"/>
  <c r="M1236" i="1"/>
  <c r="O1235" i="1" a="1"/>
  <c r="O1235" i="1" s="1"/>
  <c r="N1235" i="1"/>
  <c r="M1235" i="1"/>
  <c r="O1234" i="1" a="1"/>
  <c r="O1234" i="1" s="1"/>
  <c r="N1234" i="1"/>
  <c r="M1234" i="1"/>
  <c r="O1233" i="1" a="1"/>
  <c r="O1233" i="1" s="1"/>
  <c r="N1233" i="1"/>
  <c r="M1233" i="1"/>
  <c r="O1232" i="1"/>
  <c r="O1232" i="1" a="1"/>
  <c r="N1232" i="1"/>
  <c r="M1232" i="1"/>
  <c r="O1231" i="1" a="1"/>
  <c r="O1231" i="1" s="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a="1"/>
  <c r="O1225" i="1" s="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a="1"/>
  <c r="O1218" i="1" s="1"/>
  <c r="N1218" i="1"/>
  <c r="M1218" i="1"/>
  <c r="O1217" i="1"/>
  <c r="O1217" i="1" a="1"/>
  <c r="N1217" i="1"/>
  <c r="M1217" i="1"/>
  <c r="O1216" i="1" a="1"/>
  <c r="O1216" i="1" s="1"/>
  <c r="N1216" i="1"/>
  <c r="M1216" i="1"/>
  <c r="O1215" i="1" a="1"/>
  <c r="O1215" i="1" s="1"/>
  <c r="N1215" i="1"/>
  <c r="M1215" i="1"/>
  <c r="O1214" i="1" a="1"/>
  <c r="O1214" i="1" s="1"/>
  <c r="N1214" i="1"/>
  <c r="M1214" i="1"/>
  <c r="O1213" i="1" a="1"/>
  <c r="O1213" i="1" s="1"/>
  <c r="N1213" i="1"/>
  <c r="M1213" i="1"/>
  <c r="O1212" i="1" a="1"/>
  <c r="O1212" i="1" s="1"/>
  <c r="N1212" i="1"/>
  <c r="M1212" i="1"/>
  <c r="O1211" i="1" a="1"/>
  <c r="O1211" i="1" s="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a="1"/>
  <c r="O1203" i="1" s="1"/>
  <c r="N1203" i="1"/>
  <c r="M1203" i="1"/>
  <c r="O1202" i="1" a="1"/>
  <c r="O1202" i="1" s="1"/>
  <c r="N1202" i="1"/>
  <c r="M1202" i="1"/>
  <c r="O1201" i="1" a="1"/>
  <c r="O1201" i="1" s="1"/>
  <c r="N1201" i="1"/>
  <c r="M1201" i="1"/>
  <c r="O1200" i="1" a="1"/>
  <c r="O1200" i="1" s="1"/>
  <c r="N1200" i="1"/>
  <c r="M1200" i="1"/>
  <c r="O1199" i="1" a="1"/>
  <c r="O1199" i="1" s="1"/>
  <c r="N1199" i="1"/>
  <c r="M1199" i="1"/>
  <c r="O1198" i="1" a="1"/>
  <c r="O1198" i="1" s="1"/>
  <c r="N1198" i="1"/>
  <c r="M1198" i="1"/>
  <c r="O1197" i="1"/>
  <c r="O1197" i="1" a="1"/>
  <c r="N1197" i="1"/>
  <c r="M1197" i="1"/>
  <c r="O1196" i="1" a="1"/>
  <c r="O1196" i="1" s="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a="1"/>
  <c r="O1190" i="1" s="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a="1"/>
  <c r="O1182" i="1" s="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a="1"/>
  <c r="O1175" i="1" s="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a="1"/>
  <c r="O1169" i="1" s="1"/>
  <c r="N1169" i="1"/>
  <c r="M1169" i="1"/>
  <c r="O1168" i="1"/>
  <c r="O1168" i="1" a="1"/>
  <c r="N1168" i="1"/>
  <c r="M1168" i="1"/>
  <c r="O1167" i="1" a="1"/>
  <c r="O1167" i="1" s="1"/>
  <c r="N1167" i="1"/>
  <c r="M1167" i="1"/>
  <c r="O1166" i="1" a="1"/>
  <c r="O1166" i="1" s="1"/>
  <c r="N1166" i="1"/>
  <c r="M1166" i="1"/>
  <c r="O1165" i="1" a="1"/>
  <c r="O1165" i="1" s="1"/>
  <c r="N1165" i="1"/>
  <c r="M1165" i="1"/>
  <c r="O1164" i="1" a="1"/>
  <c r="O1164" i="1" s="1"/>
  <c r="N1164" i="1"/>
  <c r="M1164" i="1"/>
  <c r="O1163" i="1" a="1"/>
  <c r="O1163" i="1" s="1"/>
  <c r="N1163" i="1"/>
  <c r="M1163" i="1"/>
  <c r="O1162" i="1" a="1"/>
  <c r="O1162" i="1" s="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a="1"/>
  <c r="O1155" i="1" s="1"/>
  <c r="N1155" i="1"/>
  <c r="M1155" i="1"/>
  <c r="O1154" i="1" a="1"/>
  <c r="O1154" i="1" s="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a="1"/>
  <c r="O1147" i="1" s="1"/>
  <c r="N1147" i="1"/>
  <c r="M1147" i="1"/>
  <c r="O1146" i="1" a="1"/>
  <c r="O1146" i="1" s="1"/>
  <c r="N1146" i="1"/>
  <c r="M1146" i="1"/>
  <c r="O1145" i="1" a="1"/>
  <c r="O1145" i="1" s="1"/>
  <c r="N1145" i="1"/>
  <c r="M1145" i="1"/>
  <c r="O1144" i="1" a="1"/>
  <c r="O1144" i="1" s="1"/>
  <c r="N1144" i="1"/>
  <c r="M1144" i="1"/>
  <c r="O1143" i="1" a="1"/>
  <c r="O1143" i="1" s="1"/>
  <c r="N1143" i="1"/>
  <c r="M1143" i="1"/>
  <c r="O1142" i="1" a="1"/>
  <c r="O1142" i="1" s="1"/>
  <c r="N1142" i="1"/>
  <c r="M1142" i="1"/>
  <c r="O1141" i="1"/>
  <c r="O1141" i="1" a="1"/>
  <c r="N1141" i="1"/>
  <c r="M1141" i="1"/>
  <c r="O1140" i="1" a="1"/>
  <c r="O1140" i="1" s="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a="1"/>
  <c r="O1134" i="1" s="1"/>
  <c r="N1134" i="1"/>
  <c r="M1134" i="1"/>
  <c r="O1133" i="1"/>
  <c r="O1133" i="1" a="1"/>
  <c r="N1133" i="1"/>
  <c r="M1133" i="1"/>
  <c r="O1132" i="1" a="1"/>
  <c r="O1132" i="1" s="1"/>
  <c r="N1132" i="1"/>
  <c r="M1132" i="1"/>
  <c r="O1131" i="1" a="1"/>
  <c r="O1131" i="1" s="1"/>
  <c r="N1131" i="1"/>
  <c r="M1131" i="1"/>
  <c r="O1130" i="1" a="1"/>
  <c r="O1130" i="1" s="1"/>
  <c r="N1130" i="1"/>
  <c r="M1130" i="1"/>
  <c r="O1129" i="1" a="1"/>
  <c r="O1129" i="1" s="1"/>
  <c r="N1129" i="1"/>
  <c r="M1129" i="1"/>
  <c r="O1128" i="1" a="1"/>
  <c r="O1128" i="1" s="1"/>
  <c r="N1128" i="1"/>
  <c r="M1128" i="1"/>
  <c r="O1127" i="1" a="1"/>
  <c r="O1127" i="1" s="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a="1"/>
  <c r="O1115" i="1" s="1"/>
  <c r="N1115" i="1"/>
  <c r="M1115" i="1"/>
  <c r="O1114" i="1"/>
  <c r="O1114" i="1" a="1"/>
  <c r="N1114" i="1"/>
  <c r="M1114" i="1"/>
  <c r="O1113" i="1" a="1"/>
  <c r="O1113" i="1" s="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a="1"/>
  <c r="O1098" i="1" s="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a="1"/>
  <c r="O1092" i="1" s="1"/>
  <c r="N1092" i="1"/>
  <c r="M1092" i="1"/>
  <c r="O1091" i="1" a="1"/>
  <c r="O1091" i="1" s="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a="1"/>
  <c r="O1085" i="1" s="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a="1"/>
  <c r="O1078" i="1" s="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a="1"/>
  <c r="O1071" i="1" s="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a="1"/>
  <c r="O1063" i="1" s="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a="1"/>
  <c r="O1042" i="1" s="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a="1"/>
  <c r="O1035" i="1" s="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a="1"/>
  <c r="O1028" i="1" s="1"/>
  <c r="N1028" i="1"/>
  <c r="M1028" i="1"/>
  <c r="O1027" i="1" a="1"/>
  <c r="O1027" i="1" s="1"/>
  <c r="N1027" i="1"/>
  <c r="M1027" i="1"/>
  <c r="O1026" i="1" a="1"/>
  <c r="O1026" i="1" s="1"/>
  <c r="N1026" i="1"/>
  <c r="M1026" i="1"/>
  <c r="O1025" i="1" a="1"/>
  <c r="O1025" i="1" s="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a="1"/>
  <c r="O1000" i="1" s="1"/>
  <c r="N1000" i="1"/>
  <c r="M1000" i="1"/>
  <c r="O999" i="1" a="1"/>
  <c r="O999" i="1" s="1"/>
  <c r="N999" i="1"/>
  <c r="M999" i="1"/>
  <c r="O998" i="1" a="1"/>
  <c r="O998" i="1" s="1"/>
  <c r="N998" i="1"/>
  <c r="M998" i="1"/>
  <c r="O997" i="1" a="1"/>
  <c r="O997" i="1" s="1"/>
  <c r="N997" i="1"/>
  <c r="M997" i="1"/>
  <c r="O996" i="1" a="1"/>
  <c r="O996" i="1" s="1"/>
  <c r="N996" i="1"/>
  <c r="M996" i="1"/>
  <c r="O995" i="1" a="1"/>
  <c r="O995" i="1" s="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a="1"/>
  <c r="O976" i="1" s="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a="1"/>
  <c r="O968" i="1" s="1"/>
  <c r="N968" i="1"/>
  <c r="M968" i="1"/>
  <c r="O967" i="1" a="1"/>
  <c r="O967" i="1" s="1"/>
  <c r="N967" i="1"/>
  <c r="M967" i="1"/>
  <c r="O966" i="1" a="1"/>
  <c r="O966" i="1" s="1"/>
  <c r="N966" i="1"/>
  <c r="M966" i="1"/>
  <c r="O965" i="1" a="1"/>
  <c r="O965" i="1" s="1"/>
  <c r="N965" i="1"/>
  <c r="M965" i="1"/>
  <c r="O964" i="1" a="1"/>
  <c r="O964" i="1" s="1"/>
  <c r="N964" i="1"/>
  <c r="M964" i="1"/>
  <c r="O963" i="1" a="1"/>
  <c r="O963" i="1" s="1"/>
  <c r="N963" i="1"/>
  <c r="M963" i="1"/>
  <c r="O962" i="1" a="1"/>
  <c r="O962" i="1" s="1"/>
  <c r="N962" i="1"/>
  <c r="M962" i="1"/>
  <c r="O961" i="1" a="1"/>
  <c r="O961" i="1" s="1"/>
  <c r="N961" i="1"/>
  <c r="M961" i="1"/>
  <c r="O960" i="1" a="1"/>
  <c r="O960" i="1" s="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a="1"/>
  <c r="O933" i="1" s="1"/>
  <c r="N933" i="1"/>
  <c r="M933" i="1"/>
  <c r="O932" i="1" a="1"/>
  <c r="O932" i="1" s="1"/>
  <c r="N932" i="1"/>
  <c r="M932" i="1"/>
  <c r="O931" i="1" a="1"/>
  <c r="O931" i="1" s="1"/>
  <c r="N931" i="1"/>
  <c r="M931" i="1"/>
  <c r="O930" i="1" a="1"/>
  <c r="O930" i="1" s="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a="1"/>
  <c r="O923" i="1" s="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a="1"/>
  <c r="O916" i="1" s="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a="1"/>
  <c r="O904" i="1" s="1"/>
  <c r="N904" i="1"/>
  <c r="M904" i="1"/>
  <c r="O903" i="1" a="1"/>
  <c r="O903" i="1" s="1"/>
  <c r="N903" i="1"/>
  <c r="M903" i="1"/>
  <c r="O902" i="1" a="1"/>
  <c r="O902" i="1" s="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a="1"/>
  <c r="O888" i="1" s="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a="1"/>
  <c r="O878" i="1" s="1"/>
  <c r="N878" i="1"/>
  <c r="M878" i="1"/>
  <c r="O877" i="1" a="1"/>
  <c r="O877" i="1" s="1"/>
  <c r="N877" i="1"/>
  <c r="M877" i="1"/>
  <c r="O876" i="1" a="1"/>
  <c r="O876" i="1" s="1"/>
  <c r="N876" i="1"/>
  <c r="M876" i="1"/>
  <c r="O875" i="1" a="1"/>
  <c r="O875" i="1" s="1"/>
  <c r="N875" i="1"/>
  <c r="M875" i="1"/>
  <c r="O874" i="1"/>
  <c r="O874" i="1" a="1"/>
  <c r="N874" i="1"/>
  <c r="M874" i="1"/>
  <c r="O873" i="1" a="1"/>
  <c r="O873" i="1" s="1"/>
  <c r="N873" i="1"/>
  <c r="M873" i="1"/>
  <c r="O872" i="1" a="1"/>
  <c r="O872" i="1" s="1"/>
  <c r="N872" i="1"/>
  <c r="M872" i="1"/>
  <c r="O871" i="1" a="1"/>
  <c r="O871" i="1" s="1"/>
  <c r="N871" i="1"/>
  <c r="M871" i="1"/>
  <c r="O870" i="1" a="1"/>
  <c r="O870" i="1" s="1"/>
  <c r="N870" i="1"/>
  <c r="M870" i="1"/>
  <c r="O869" i="1" a="1"/>
  <c r="O869" i="1" s="1"/>
  <c r="N869" i="1"/>
  <c r="M869" i="1"/>
  <c r="O868" i="1" a="1"/>
  <c r="O868" i="1" s="1"/>
  <c r="N868" i="1"/>
  <c r="M868" i="1"/>
  <c r="O867" i="1"/>
  <c r="O867" i="1" a="1"/>
  <c r="N867" i="1"/>
  <c r="M867" i="1"/>
  <c r="O866" i="1" a="1"/>
  <c r="O866" i="1" s="1"/>
  <c r="N866" i="1"/>
  <c r="M866" i="1"/>
  <c r="O865" i="1"/>
  <c r="O865" i="1" a="1"/>
  <c r="N865" i="1"/>
  <c r="M865" i="1"/>
  <c r="O864" i="1"/>
  <c r="O864" i="1" a="1"/>
  <c r="N864" i="1"/>
  <c r="M864" i="1"/>
  <c r="O863" i="1" a="1"/>
  <c r="O863" i="1" s="1"/>
  <c r="N863" i="1"/>
  <c r="M863" i="1"/>
  <c r="O862" i="1" a="1"/>
  <c r="O862" i="1" s="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a="1"/>
  <c r="O855" i="1" s="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a="1"/>
  <c r="O849" i="1" s="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a="1"/>
  <c r="O839" i="1" s="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a="1"/>
  <c r="O833" i="1" s="1"/>
  <c r="N833" i="1"/>
  <c r="M833" i="1"/>
  <c r="O832" i="1" a="1"/>
  <c r="O832" i="1" s="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a="1"/>
  <c r="O825" i="1" s="1"/>
  <c r="N825" i="1"/>
  <c r="M825" i="1"/>
  <c r="O824" i="1" a="1"/>
  <c r="O824" i="1" s="1"/>
  <c r="N824" i="1"/>
  <c r="M824" i="1"/>
  <c r="O823" i="1"/>
  <c r="O823" i="1" a="1"/>
  <c r="N823" i="1"/>
  <c r="M823" i="1"/>
  <c r="O822" i="1" a="1"/>
  <c r="O822" i="1" s="1"/>
  <c r="N822" i="1"/>
  <c r="M822" i="1"/>
  <c r="O821" i="1" a="1"/>
  <c r="O821" i="1" s="1"/>
  <c r="N821" i="1"/>
  <c r="M821" i="1"/>
  <c r="O820" i="1" a="1"/>
  <c r="O820" i="1" s="1"/>
  <c r="N820" i="1"/>
  <c r="M820" i="1"/>
  <c r="O819" i="1" a="1"/>
  <c r="O819" i="1" s="1"/>
  <c r="N819" i="1"/>
  <c r="M819" i="1"/>
  <c r="O818" i="1"/>
  <c r="O818" i="1" a="1"/>
  <c r="N818" i="1"/>
  <c r="M818" i="1"/>
  <c r="O817" i="1" a="1"/>
  <c r="O817" i="1" s="1"/>
  <c r="N817" i="1"/>
  <c r="M817" i="1"/>
  <c r="O816" i="1" a="1"/>
  <c r="O816" i="1" s="1"/>
  <c r="N816" i="1"/>
  <c r="M816" i="1"/>
  <c r="O815" i="1" a="1"/>
  <c r="O815" i="1" s="1"/>
  <c r="N815" i="1"/>
  <c r="M815" i="1"/>
  <c r="O814" i="1"/>
  <c r="O814" i="1" a="1"/>
  <c r="N814" i="1"/>
  <c r="M814" i="1"/>
  <c r="O813" i="1"/>
  <c r="O813" i="1" a="1"/>
  <c r="N813" i="1"/>
  <c r="M813" i="1"/>
  <c r="O812" i="1" a="1"/>
  <c r="O812" i="1" s="1"/>
  <c r="N812" i="1"/>
  <c r="M812" i="1"/>
  <c r="O811" i="1" a="1"/>
  <c r="O811" i="1" s="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a="1"/>
  <c r="O800" i="1" s="1"/>
  <c r="N800" i="1"/>
  <c r="M800" i="1"/>
  <c r="O799" i="1" a="1"/>
  <c r="O799" i="1" s="1"/>
  <c r="N799" i="1"/>
  <c r="M799" i="1"/>
  <c r="O798" i="1" a="1"/>
  <c r="O798" i="1" s="1"/>
  <c r="N798" i="1"/>
  <c r="M798" i="1"/>
  <c r="O797" i="1" a="1"/>
  <c r="O797" i="1" s="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a="1"/>
  <c r="O783" i="1" s="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a="1"/>
  <c r="O776" i="1" s="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a="1"/>
  <c r="O770" i="1" s="1"/>
  <c r="N770" i="1"/>
  <c r="M770" i="1"/>
  <c r="O769" i="1"/>
  <c r="O769" i="1" a="1"/>
  <c r="N769" i="1"/>
  <c r="M769" i="1"/>
  <c r="O768" i="1" a="1"/>
  <c r="O768" i="1" s="1"/>
  <c r="N768" i="1"/>
  <c r="M768" i="1"/>
  <c r="O767" i="1"/>
  <c r="O767" i="1" a="1"/>
  <c r="N767" i="1"/>
  <c r="M767" i="1"/>
  <c r="O766" i="1" a="1"/>
  <c r="O766" i="1" s="1"/>
  <c r="N766" i="1"/>
  <c r="M766" i="1"/>
  <c r="O765" i="1"/>
  <c r="O765" i="1" a="1"/>
  <c r="N765" i="1"/>
  <c r="M765" i="1"/>
  <c r="O764" i="1" a="1"/>
  <c r="O764" i="1" s="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a="1"/>
  <c r="O755" i="1" s="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a="1"/>
  <c r="O748" i="1" s="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a="1"/>
  <c r="O735" i="1" s="1"/>
  <c r="N735" i="1"/>
  <c r="M735" i="1"/>
  <c r="O734" i="1" a="1"/>
  <c r="O734" i="1" s="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a="1"/>
  <c r="O727" i="1" s="1"/>
  <c r="N727" i="1"/>
  <c r="M727" i="1"/>
  <c r="O726" i="1" a="1"/>
  <c r="O726" i="1" s="1"/>
  <c r="N726" i="1"/>
  <c r="M726" i="1"/>
  <c r="O725" i="1" a="1"/>
  <c r="O725" i="1" s="1"/>
  <c r="N725" i="1"/>
  <c r="M725" i="1"/>
  <c r="O724" i="1" a="1"/>
  <c r="O724" i="1" s="1"/>
  <c r="N724" i="1"/>
  <c r="M724" i="1"/>
  <c r="O723" i="1" a="1"/>
  <c r="O723" i="1" s="1"/>
  <c r="N723" i="1"/>
  <c r="M723" i="1"/>
  <c r="O722" i="1" a="1"/>
  <c r="O722" i="1" s="1"/>
  <c r="N722" i="1"/>
  <c r="M722" i="1"/>
  <c r="O721" i="1" a="1"/>
  <c r="O721" i="1" s="1"/>
  <c r="N721" i="1"/>
  <c r="M721" i="1"/>
  <c r="O720" i="1" a="1"/>
  <c r="O720" i="1" s="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a="1"/>
  <c r="O713" i="1" s="1"/>
  <c r="N713" i="1"/>
  <c r="M713" i="1"/>
  <c r="O712" i="1" a="1"/>
  <c r="O712" i="1" s="1"/>
  <c r="N712" i="1"/>
  <c r="M712" i="1"/>
  <c r="O711" i="1" a="1"/>
  <c r="O711" i="1" s="1"/>
  <c r="N711" i="1"/>
  <c r="M711" i="1"/>
  <c r="O710" i="1" a="1"/>
  <c r="O710" i="1" s="1"/>
  <c r="N710" i="1"/>
  <c r="M710" i="1"/>
  <c r="O709" i="1" a="1"/>
  <c r="O709" i="1" s="1"/>
  <c r="N709" i="1"/>
  <c r="M709" i="1"/>
  <c r="O708" i="1" a="1"/>
  <c r="O708" i="1" s="1"/>
  <c r="N708" i="1"/>
  <c r="M708" i="1"/>
  <c r="O707" i="1" a="1"/>
  <c r="O707" i="1" s="1"/>
  <c r="N707" i="1"/>
  <c r="M707" i="1"/>
  <c r="O706" i="1" a="1"/>
  <c r="O706" i="1" s="1"/>
  <c r="N706" i="1"/>
  <c r="M706" i="1"/>
  <c r="O705" i="1" a="1"/>
  <c r="O705" i="1" s="1"/>
  <c r="N705" i="1"/>
  <c r="M705" i="1"/>
  <c r="O704" i="1" a="1"/>
  <c r="O704" i="1" s="1"/>
  <c r="N704" i="1"/>
  <c r="M704" i="1"/>
  <c r="O703" i="1" a="1"/>
  <c r="O703" i="1" s="1"/>
  <c r="N703" i="1"/>
  <c r="M703" i="1"/>
  <c r="O702" i="1" a="1"/>
  <c r="O702" i="1" s="1"/>
  <c r="N702" i="1"/>
  <c r="M702" i="1"/>
  <c r="O701" i="1" a="1"/>
  <c r="O701" i="1" s="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a="1"/>
  <c r="O695" i="1" s="1"/>
  <c r="N695" i="1"/>
  <c r="M695" i="1"/>
  <c r="O694" i="1" a="1"/>
  <c r="O694" i="1" s="1"/>
  <c r="N694" i="1"/>
  <c r="M694" i="1"/>
  <c r="O693" i="1" a="1"/>
  <c r="O693" i="1" s="1"/>
  <c r="N693" i="1"/>
  <c r="M693" i="1"/>
  <c r="O692" i="1" a="1"/>
  <c r="O692" i="1" s="1"/>
  <c r="N692" i="1"/>
  <c r="M692" i="1"/>
  <c r="O691" i="1" a="1"/>
  <c r="O691" i="1" s="1"/>
  <c r="N691" i="1"/>
  <c r="M691" i="1"/>
  <c r="O690" i="1" a="1"/>
  <c r="O690" i="1" s="1"/>
  <c r="N690" i="1"/>
  <c r="M690" i="1"/>
  <c r="O689" i="1" a="1"/>
  <c r="O689" i="1" s="1"/>
  <c r="N689" i="1"/>
  <c r="M689" i="1"/>
  <c r="O688" i="1"/>
  <c r="O688" i="1" a="1"/>
  <c r="N688" i="1"/>
  <c r="M688" i="1"/>
  <c r="O687" i="1" a="1"/>
  <c r="O687" i="1" s="1"/>
  <c r="N687" i="1"/>
  <c r="M687" i="1"/>
  <c r="O686" i="1" a="1"/>
  <c r="O686" i="1" s="1"/>
  <c r="N686" i="1"/>
  <c r="M686" i="1"/>
  <c r="O685" i="1" a="1"/>
  <c r="O685" i="1" s="1"/>
  <c r="N685" i="1"/>
  <c r="M685" i="1"/>
  <c r="O684" i="1" a="1"/>
  <c r="O684" i="1" s="1"/>
  <c r="N684" i="1"/>
  <c r="M684" i="1"/>
  <c r="O683" i="1" a="1"/>
  <c r="O683" i="1" s="1"/>
  <c r="N683" i="1"/>
  <c r="M683" i="1"/>
  <c r="O682" i="1"/>
  <c r="O682" i="1" a="1"/>
  <c r="N682" i="1"/>
  <c r="M682" i="1"/>
  <c r="O681" i="1" a="1"/>
  <c r="O681" i="1" s="1"/>
  <c r="N681" i="1"/>
  <c r="M681" i="1"/>
  <c r="O680" i="1" a="1"/>
  <c r="O680" i="1" s="1"/>
  <c r="N680" i="1"/>
  <c r="M680" i="1"/>
  <c r="O679" i="1" a="1"/>
  <c r="O679" i="1" s="1"/>
  <c r="N679" i="1"/>
  <c r="M679" i="1"/>
  <c r="O678" i="1" a="1"/>
  <c r="O678" i="1" s="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a="1"/>
  <c r="O668" i="1" s="1"/>
  <c r="N668" i="1"/>
  <c r="M668" i="1"/>
  <c r="O667" i="1" a="1"/>
  <c r="O667" i="1" s="1"/>
  <c r="N667" i="1"/>
  <c r="M667" i="1"/>
  <c r="O666" i="1" a="1"/>
  <c r="O666" i="1" s="1"/>
  <c r="N666" i="1"/>
  <c r="M666" i="1"/>
  <c r="O665" i="1" a="1"/>
  <c r="O665" i="1" s="1"/>
  <c r="N665" i="1"/>
  <c r="M665" i="1"/>
  <c r="O664" i="1" a="1"/>
  <c r="O664" i="1" s="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a="1"/>
  <c r="O658" i="1" s="1"/>
  <c r="N658" i="1"/>
  <c r="M658" i="1"/>
  <c r="O657" i="1" a="1"/>
  <c r="O657" i="1" s="1"/>
  <c r="N657" i="1"/>
  <c r="M657" i="1"/>
  <c r="O656" i="1" a="1"/>
  <c r="O656" i="1" s="1"/>
  <c r="N656" i="1"/>
  <c r="M656" i="1"/>
  <c r="O655" i="1" a="1"/>
  <c r="O655" i="1" s="1"/>
  <c r="N655" i="1"/>
  <c r="M655" i="1"/>
  <c r="O654" i="1" a="1"/>
  <c r="O654" i="1" s="1"/>
  <c r="N654" i="1"/>
  <c r="M654" i="1"/>
  <c r="O653" i="1"/>
  <c r="O653" i="1" a="1"/>
  <c r="N653" i="1"/>
  <c r="M653" i="1"/>
  <c r="O652" i="1"/>
  <c r="O652" i="1" a="1"/>
  <c r="N652" i="1"/>
  <c r="M652" i="1"/>
  <c r="O651" i="1" a="1"/>
  <c r="O651" i="1" s="1"/>
  <c r="N651" i="1"/>
  <c r="M651" i="1"/>
  <c r="O650" i="1" a="1"/>
  <c r="O650" i="1" s="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a="1"/>
  <c r="O643" i="1" s="1"/>
  <c r="N643" i="1"/>
  <c r="M643" i="1"/>
  <c r="O642" i="1" a="1"/>
  <c r="O642" i="1" s="1"/>
  <c r="N642" i="1"/>
  <c r="M642" i="1"/>
  <c r="O641" i="1" a="1"/>
  <c r="O641" i="1" s="1"/>
  <c r="N641" i="1"/>
  <c r="M641" i="1"/>
  <c r="O640" i="1" a="1"/>
  <c r="O640" i="1" s="1"/>
  <c r="N640" i="1"/>
  <c r="M640" i="1"/>
  <c r="O639" i="1" a="1"/>
  <c r="O639" i="1" s="1"/>
  <c r="N639" i="1"/>
  <c r="M639" i="1"/>
  <c r="O638" i="1" a="1"/>
  <c r="O638" i="1" s="1"/>
  <c r="N638" i="1"/>
  <c r="M638" i="1"/>
  <c r="O637" i="1"/>
  <c r="O637" i="1" a="1"/>
  <c r="N637" i="1"/>
  <c r="M637" i="1"/>
  <c r="O636" i="1" a="1"/>
  <c r="O636" i="1" s="1"/>
  <c r="N636" i="1"/>
  <c r="M636" i="1"/>
  <c r="O635" i="1" a="1"/>
  <c r="O635" i="1" s="1"/>
  <c r="N635" i="1"/>
  <c r="M635" i="1"/>
  <c r="O634" i="1" a="1"/>
  <c r="O634" i="1" s="1"/>
  <c r="N634" i="1"/>
  <c r="M634" i="1"/>
  <c r="O633" i="1" a="1"/>
  <c r="O633" i="1" s="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a="1"/>
  <c r="O627" i="1" s="1"/>
  <c r="N627" i="1"/>
  <c r="M627" i="1"/>
  <c r="O626" i="1" a="1"/>
  <c r="O626" i="1" s="1"/>
  <c r="N626" i="1"/>
  <c r="M626" i="1"/>
  <c r="O625" i="1" a="1"/>
  <c r="O625" i="1" s="1"/>
  <c r="N625" i="1"/>
  <c r="M625" i="1"/>
  <c r="O624" i="1" a="1"/>
  <c r="O624" i="1" s="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a="1"/>
  <c r="O615" i="1" s="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a="1"/>
  <c r="O601" i="1" s="1"/>
  <c r="N601" i="1"/>
  <c r="M601" i="1"/>
  <c r="O600" i="1" a="1"/>
  <c r="O600" i="1" s="1"/>
  <c r="N600" i="1"/>
  <c r="M600" i="1"/>
  <c r="O599" i="1"/>
  <c r="O599" i="1" a="1"/>
  <c r="N599" i="1"/>
  <c r="M599" i="1"/>
  <c r="O598" i="1" a="1"/>
  <c r="O598" i="1" s="1"/>
  <c r="N598" i="1"/>
  <c r="M598" i="1"/>
  <c r="O597" i="1" a="1"/>
  <c r="O597" i="1" s="1"/>
  <c r="N597" i="1"/>
  <c r="M597" i="1"/>
  <c r="O596" i="1"/>
  <c r="O596" i="1" a="1"/>
  <c r="N596" i="1"/>
  <c r="M596" i="1"/>
  <c r="O595" i="1" a="1"/>
  <c r="O595" i="1" s="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a="1"/>
  <c r="O587" i="1" s="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a="1"/>
  <c r="O581" i="1" s="1"/>
  <c r="N581" i="1"/>
  <c r="M581" i="1"/>
  <c r="O580" i="1"/>
  <c r="O580" i="1" a="1"/>
  <c r="N580" i="1"/>
  <c r="M580" i="1"/>
  <c r="O579" i="1" a="1"/>
  <c r="O579" i="1" s="1"/>
  <c r="N579" i="1"/>
  <c r="M579" i="1"/>
  <c r="O578" i="1" a="1"/>
  <c r="O578" i="1" s="1"/>
  <c r="N578" i="1"/>
  <c r="M578" i="1"/>
  <c r="O577" i="1" a="1"/>
  <c r="O577" i="1" s="1"/>
  <c r="N577" i="1"/>
  <c r="M577" i="1"/>
  <c r="O576" i="1" a="1"/>
  <c r="O576" i="1" s="1"/>
  <c r="N576" i="1"/>
  <c r="M576" i="1"/>
  <c r="O575" i="1" a="1"/>
  <c r="O575" i="1" s="1"/>
  <c r="N575" i="1"/>
  <c r="M575" i="1"/>
  <c r="O574" i="1" a="1"/>
  <c r="O574" i="1" s="1"/>
  <c r="N574" i="1"/>
  <c r="M574" i="1"/>
  <c r="O573" i="1"/>
  <c r="O573" i="1" a="1"/>
  <c r="N573" i="1"/>
  <c r="M573" i="1"/>
  <c r="O572" i="1" a="1"/>
  <c r="O572" i="1" s="1"/>
  <c r="N572" i="1"/>
  <c r="M572" i="1"/>
  <c r="O571" i="1" a="1"/>
  <c r="O571" i="1" s="1"/>
  <c r="N571" i="1"/>
  <c r="M571" i="1"/>
  <c r="O570" i="1"/>
  <c r="O570" i="1" a="1"/>
  <c r="N570" i="1"/>
  <c r="M570" i="1"/>
  <c r="O569" i="1" a="1"/>
  <c r="O569" i="1" s="1"/>
  <c r="N569" i="1"/>
  <c r="M569" i="1"/>
  <c r="O568" i="1" a="1"/>
  <c r="O568" i="1" s="1"/>
  <c r="N568" i="1"/>
  <c r="M568" i="1"/>
  <c r="O567" i="1" a="1"/>
  <c r="O567" i="1" s="1"/>
  <c r="N567" i="1"/>
  <c r="M567" i="1"/>
  <c r="O566" i="1" a="1"/>
  <c r="O566" i="1" s="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a="1"/>
  <c r="O559" i="1" s="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a="1"/>
  <c r="O552" i="1" s="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a="1"/>
  <c r="O545" i="1" s="1"/>
  <c r="N545" i="1"/>
  <c r="M545" i="1"/>
  <c r="O544" i="1" a="1"/>
  <c r="O544" i="1" s="1"/>
  <c r="N544" i="1"/>
  <c r="M544" i="1"/>
  <c r="O543" i="1"/>
  <c r="O543" i="1" a="1"/>
  <c r="N543" i="1"/>
  <c r="M543" i="1"/>
  <c r="O542" i="1" a="1"/>
  <c r="O542" i="1" s="1"/>
  <c r="N542" i="1"/>
  <c r="M542" i="1"/>
  <c r="O541" i="1" a="1"/>
  <c r="O541" i="1" s="1"/>
  <c r="N541" i="1"/>
  <c r="M541" i="1"/>
  <c r="O540" i="1" a="1"/>
  <c r="O540" i="1" s="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a="1"/>
  <c r="O517" i="1" s="1"/>
  <c r="N517" i="1"/>
  <c r="M517" i="1"/>
  <c r="O516" i="1" a="1"/>
  <c r="O516" i="1" s="1"/>
  <c r="N516" i="1"/>
  <c r="M516" i="1"/>
  <c r="O515" i="1" a="1"/>
  <c r="O515" i="1" s="1"/>
  <c r="N515" i="1"/>
  <c r="M515" i="1"/>
  <c r="O514" i="1" a="1"/>
  <c r="O514" i="1" s="1"/>
  <c r="N514" i="1"/>
  <c r="M514" i="1"/>
  <c r="O513" i="1" a="1"/>
  <c r="O513" i="1" s="1"/>
  <c r="N513" i="1"/>
  <c r="M513" i="1"/>
  <c r="O512" i="1"/>
  <c r="O512" i="1" a="1"/>
  <c r="N512" i="1"/>
  <c r="M512" i="1"/>
  <c r="O511" i="1" a="1"/>
  <c r="O511" i="1" s="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a="1"/>
  <c r="O503" i="1" s="1"/>
  <c r="N503" i="1"/>
  <c r="M503" i="1"/>
  <c r="O502" i="1" a="1"/>
  <c r="O502" i="1" s="1"/>
  <c r="N502" i="1"/>
  <c r="M502" i="1"/>
  <c r="O501" i="1" a="1"/>
  <c r="O501" i="1" s="1"/>
  <c r="N501" i="1"/>
  <c r="M501" i="1"/>
  <c r="O500" i="1" a="1"/>
  <c r="O500" i="1" s="1"/>
  <c r="N500" i="1"/>
  <c r="M500" i="1"/>
  <c r="O499" i="1" a="1"/>
  <c r="O499" i="1" s="1"/>
  <c r="N499" i="1"/>
  <c r="M499" i="1"/>
  <c r="O498" i="1" a="1"/>
  <c r="O498" i="1" s="1"/>
  <c r="N498" i="1"/>
  <c r="M498" i="1"/>
  <c r="O497" i="1"/>
  <c r="O497" i="1" a="1"/>
  <c r="N497" i="1"/>
  <c r="M497" i="1"/>
  <c r="O496" i="1" a="1"/>
  <c r="O496" i="1" s="1"/>
  <c r="N496" i="1"/>
  <c r="M496" i="1"/>
  <c r="O495" i="1" a="1"/>
  <c r="O495" i="1" s="1"/>
  <c r="N495" i="1"/>
  <c r="M495" i="1"/>
  <c r="O494" i="1" a="1"/>
  <c r="O494" i="1" s="1"/>
  <c r="N494" i="1"/>
  <c r="M494" i="1"/>
  <c r="O493" i="1" a="1"/>
  <c r="O493" i="1" s="1"/>
  <c r="N493" i="1"/>
  <c r="M493" i="1"/>
  <c r="O492" i="1" a="1"/>
  <c r="O492" i="1" s="1"/>
  <c r="N492" i="1"/>
  <c r="M492" i="1"/>
  <c r="O491" i="1"/>
  <c r="O491" i="1" a="1"/>
  <c r="N491" i="1"/>
  <c r="M491" i="1"/>
  <c r="O490" i="1" a="1"/>
  <c r="O490" i="1" s="1"/>
  <c r="N490" i="1"/>
  <c r="M490" i="1"/>
  <c r="O489" i="1" a="1"/>
  <c r="O489" i="1" s="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a="1"/>
  <c r="O482" i="1" s="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a="1"/>
  <c r="O475" i="1" s="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a="1"/>
  <c r="O468" i="1" s="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a="1"/>
  <c r="O454" i="1" s="1"/>
  <c r="N454" i="1"/>
  <c r="M454" i="1"/>
  <c r="O453" i="1" a="1"/>
  <c r="O453" i="1" s="1"/>
  <c r="N453" i="1"/>
  <c r="M453" i="1"/>
  <c r="O452" i="1" a="1"/>
  <c r="O452" i="1" s="1"/>
  <c r="N452" i="1"/>
  <c r="M452" i="1"/>
  <c r="O451" i="1" a="1"/>
  <c r="O451" i="1" s="1"/>
  <c r="N451" i="1"/>
  <c r="M451" i="1"/>
  <c r="O450" i="1" a="1"/>
  <c r="O450" i="1" s="1"/>
  <c r="N450" i="1"/>
  <c r="M450" i="1"/>
  <c r="O449" i="1" a="1"/>
  <c r="O449" i="1" s="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a="1"/>
  <c r="O441" i="1" s="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a="1"/>
  <c r="O433" i="1" s="1"/>
  <c r="N433" i="1"/>
  <c r="M433" i="1"/>
  <c r="O432" i="1" a="1"/>
  <c r="O432" i="1" s="1"/>
  <c r="N432" i="1"/>
  <c r="M432" i="1"/>
  <c r="O431" i="1"/>
  <c r="O431" i="1" a="1"/>
  <c r="N431" i="1"/>
  <c r="M431" i="1"/>
  <c r="O430" i="1" a="1"/>
  <c r="O430" i="1" s="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a="1"/>
  <c r="O423" i="1" s="1"/>
  <c r="N423" i="1"/>
  <c r="M423" i="1"/>
  <c r="O422" i="1" a="1"/>
  <c r="O422" i="1" s="1"/>
  <c r="N422" i="1"/>
  <c r="M422" i="1"/>
  <c r="O421" i="1"/>
  <c r="O421" i="1" a="1"/>
  <c r="N421" i="1"/>
  <c r="M421" i="1"/>
  <c r="O420" i="1" a="1"/>
  <c r="O420" i="1" s="1"/>
  <c r="N420" i="1"/>
  <c r="M420" i="1"/>
  <c r="O419" i="1" a="1"/>
  <c r="O419" i="1" s="1"/>
  <c r="N419" i="1"/>
  <c r="M419" i="1"/>
  <c r="O418" i="1" a="1"/>
  <c r="O418" i="1" s="1"/>
  <c r="N418" i="1"/>
  <c r="M418" i="1"/>
  <c r="O417" i="1" a="1"/>
  <c r="O417" i="1" s="1"/>
  <c r="N417" i="1"/>
  <c r="M417" i="1"/>
  <c r="O416" i="1" a="1"/>
  <c r="O416" i="1" s="1"/>
  <c r="N416" i="1"/>
  <c r="M416" i="1"/>
  <c r="O415" i="1" a="1"/>
  <c r="O415" i="1" s="1"/>
  <c r="N415" i="1"/>
  <c r="M415" i="1"/>
  <c r="O414" i="1" a="1"/>
  <c r="O414" i="1" s="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a="1"/>
  <c r="O403" i="1" s="1"/>
  <c r="N403" i="1"/>
  <c r="M403" i="1"/>
  <c r="O402" i="1" a="1"/>
  <c r="O402" i="1" s="1"/>
  <c r="N402" i="1"/>
  <c r="M402" i="1"/>
  <c r="O401" i="1" a="1"/>
  <c r="O401" i="1" s="1"/>
  <c r="N401" i="1"/>
  <c r="M401" i="1"/>
  <c r="O400" i="1"/>
  <c r="O400" i="1" a="1"/>
  <c r="N400" i="1"/>
  <c r="M400" i="1"/>
  <c r="O399" i="1" a="1"/>
  <c r="O399" i="1" s="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a="1"/>
  <c r="O388" i="1" s="1"/>
  <c r="N388" i="1"/>
  <c r="M388" i="1"/>
  <c r="O387" i="1" a="1"/>
  <c r="O387" i="1" s="1"/>
  <c r="N387" i="1"/>
  <c r="M387" i="1"/>
  <c r="O386" i="1"/>
  <c r="O386" i="1" a="1"/>
  <c r="N386" i="1"/>
  <c r="M386" i="1"/>
  <c r="O385" i="1" a="1"/>
  <c r="O385" i="1" s="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a="1"/>
  <c r="O377" i="1" s="1"/>
  <c r="N377" i="1"/>
  <c r="M377" i="1"/>
  <c r="O376" i="1" a="1"/>
  <c r="O376" i="1" s="1"/>
  <c r="N376" i="1"/>
  <c r="M376" i="1"/>
  <c r="O375" i="1" a="1"/>
  <c r="O375" i="1" s="1"/>
  <c r="N375" i="1"/>
  <c r="M375" i="1"/>
  <c r="O374" i="1"/>
  <c r="O374" i="1" a="1"/>
  <c r="N374" i="1"/>
  <c r="M374" i="1"/>
  <c r="O373" i="1" a="1"/>
  <c r="O373" i="1" s="1"/>
  <c r="N373" i="1"/>
  <c r="M373" i="1"/>
  <c r="O372" i="1" a="1"/>
  <c r="O372" i="1" s="1"/>
  <c r="N372" i="1"/>
  <c r="M372" i="1"/>
  <c r="O371" i="1" a="1"/>
  <c r="O371" i="1" s="1"/>
  <c r="N371" i="1"/>
  <c r="M371" i="1"/>
  <c r="O370" i="1"/>
  <c r="O370" i="1" a="1"/>
  <c r="N370" i="1"/>
  <c r="M370" i="1"/>
  <c r="O369" i="1" a="1"/>
  <c r="O369" i="1" s="1"/>
  <c r="N369" i="1"/>
  <c r="M369" i="1"/>
  <c r="O368" i="1" a="1"/>
  <c r="O368" i="1" s="1"/>
  <c r="N368" i="1"/>
  <c r="M368" i="1"/>
  <c r="O367" i="1" a="1"/>
  <c r="O367" i="1" s="1"/>
  <c r="N367" i="1"/>
  <c r="M367" i="1"/>
  <c r="O366" i="1" a="1"/>
  <c r="O366" i="1" s="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a="1"/>
  <c r="O350" i="1" s="1"/>
  <c r="N350" i="1"/>
  <c r="M350" i="1"/>
  <c r="O349" i="1"/>
  <c r="O349" i="1" a="1"/>
  <c r="N349" i="1"/>
  <c r="M349" i="1"/>
  <c r="O348" i="1" a="1"/>
  <c r="O348" i="1" s="1"/>
  <c r="N348" i="1"/>
  <c r="M348" i="1"/>
  <c r="O347" i="1" a="1"/>
  <c r="O347" i="1" s="1"/>
  <c r="N347" i="1"/>
  <c r="M347" i="1"/>
  <c r="O346" i="1" a="1"/>
  <c r="O346" i="1" s="1"/>
  <c r="N346" i="1"/>
  <c r="M346" i="1"/>
  <c r="O345" i="1" a="1"/>
  <c r="O345" i="1" s="1"/>
  <c r="N345" i="1"/>
  <c r="M345" i="1"/>
  <c r="O344" i="1"/>
  <c r="O344" i="1" a="1"/>
  <c r="N344" i="1"/>
  <c r="M344" i="1"/>
  <c r="O343" i="1" a="1"/>
  <c r="O343" i="1" s="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a="1"/>
  <c r="O336" i="1" s="1"/>
  <c r="N336" i="1"/>
  <c r="M336" i="1"/>
  <c r="O335" i="1"/>
  <c r="O335" i="1" a="1"/>
  <c r="N335" i="1"/>
  <c r="M335" i="1"/>
  <c r="O334" i="1" a="1"/>
  <c r="O334" i="1" s="1"/>
  <c r="N334" i="1"/>
  <c r="M334" i="1"/>
  <c r="O333" i="1" a="1"/>
  <c r="O333" i="1" s="1"/>
  <c r="N333" i="1"/>
  <c r="M333" i="1"/>
  <c r="O332" i="1" a="1"/>
  <c r="O332" i="1" s="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a="1"/>
  <c r="O317" i="1" s="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a="1"/>
  <c r="O303" i="1" s="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a="1"/>
  <c r="O293" i="1" s="1"/>
  <c r="N293" i="1"/>
  <c r="M293" i="1"/>
  <c r="O292" i="1" a="1"/>
  <c r="O292" i="1" s="1"/>
  <c r="N292" i="1"/>
  <c r="M292" i="1"/>
  <c r="O291" i="1" a="1"/>
  <c r="O291" i="1" s="1"/>
  <c r="N291" i="1"/>
  <c r="M291" i="1"/>
  <c r="O290" i="1"/>
  <c r="O290" i="1" a="1"/>
  <c r="N290" i="1"/>
  <c r="M290" i="1"/>
  <c r="O289" i="1" a="1"/>
  <c r="O289" i="1" s="1"/>
  <c r="N289" i="1"/>
  <c r="M289" i="1"/>
  <c r="O288" i="1" a="1"/>
  <c r="O288" i="1" s="1"/>
  <c r="N288" i="1"/>
  <c r="M288" i="1"/>
  <c r="O287" i="1" a="1"/>
  <c r="O287" i="1" s="1"/>
  <c r="N287" i="1"/>
  <c r="M287" i="1"/>
  <c r="O286" i="1" a="1"/>
  <c r="O286" i="1" s="1"/>
  <c r="N286" i="1"/>
  <c r="M286" i="1"/>
  <c r="O285" i="1" a="1"/>
  <c r="O285" i="1" s="1"/>
  <c r="N285" i="1"/>
  <c r="M285" i="1"/>
  <c r="O284" i="1" a="1"/>
  <c r="O284" i="1" s="1"/>
  <c r="N284" i="1"/>
  <c r="M284" i="1"/>
  <c r="O283" i="1" a="1"/>
  <c r="O283" i="1" s="1"/>
  <c r="N283" i="1"/>
  <c r="M283" i="1"/>
  <c r="O282" i="1" a="1"/>
  <c r="O282" i="1" s="1"/>
  <c r="N282" i="1"/>
  <c r="M282" i="1"/>
  <c r="O281" i="1" a="1"/>
  <c r="O281" i="1" s="1"/>
  <c r="N281" i="1"/>
  <c r="M281" i="1"/>
  <c r="O280" i="1" a="1"/>
  <c r="O280" i="1" s="1"/>
  <c r="N280" i="1"/>
  <c r="M280" i="1"/>
  <c r="O279" i="1" a="1"/>
  <c r="O279" i="1" s="1"/>
  <c r="N279" i="1"/>
  <c r="M279" i="1"/>
  <c r="O278" i="1" a="1"/>
  <c r="O278" i="1" s="1"/>
  <c r="N278" i="1"/>
  <c r="M278" i="1"/>
  <c r="O277" i="1" a="1"/>
  <c r="O277" i="1" s="1"/>
  <c r="N277" i="1"/>
  <c r="M277" i="1"/>
  <c r="O276" i="1" a="1"/>
  <c r="O276" i="1" s="1"/>
  <c r="N276" i="1"/>
  <c r="M276" i="1"/>
  <c r="O275" i="1"/>
  <c r="O275" i="1" a="1"/>
  <c r="N275" i="1"/>
  <c r="M275" i="1"/>
  <c r="O274" i="1" a="1"/>
  <c r="O274" i="1" s="1"/>
  <c r="N274" i="1"/>
  <c r="M274" i="1"/>
  <c r="O273" i="1" a="1"/>
  <c r="O273" i="1" s="1"/>
  <c r="N273" i="1"/>
  <c r="M273" i="1"/>
  <c r="O272" i="1" a="1"/>
  <c r="O272" i="1" s="1"/>
  <c r="N272" i="1"/>
  <c r="M272" i="1"/>
  <c r="O271" i="1" a="1"/>
  <c r="O271" i="1" s="1"/>
  <c r="N271" i="1"/>
  <c r="M271" i="1"/>
  <c r="O270" i="1" a="1"/>
  <c r="O270" i="1" s="1"/>
  <c r="N270" i="1"/>
  <c r="M270" i="1"/>
  <c r="O269" i="1" a="1"/>
  <c r="O269" i="1" s="1"/>
  <c r="N269" i="1"/>
  <c r="M269" i="1"/>
  <c r="O268" i="1" a="1"/>
  <c r="O268" i="1" s="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a="1"/>
  <c r="O260" i="1" s="1"/>
  <c r="N260" i="1"/>
  <c r="M260" i="1"/>
  <c r="O259" i="1" a="1"/>
  <c r="O259" i="1" s="1"/>
  <c r="N259" i="1"/>
  <c r="M259" i="1"/>
  <c r="O258" i="1" a="1"/>
  <c r="O258" i="1" s="1"/>
  <c r="N258" i="1"/>
  <c r="M258" i="1"/>
  <c r="O257" i="1" a="1"/>
  <c r="O257" i="1" s="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a="1"/>
  <c r="O237" i="1" s="1"/>
  <c r="N237" i="1"/>
  <c r="M237" i="1"/>
  <c r="O236" i="1" a="1"/>
  <c r="O236" i="1" s="1"/>
  <c r="N236" i="1"/>
  <c r="M236" i="1"/>
  <c r="O235" i="1" a="1"/>
  <c r="O235" i="1" s="1"/>
  <c r="N235" i="1"/>
  <c r="M235" i="1"/>
  <c r="O234" i="1" a="1"/>
  <c r="O234" i="1" s="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a="1"/>
  <c r="O216" i="1" s="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a="1"/>
  <c r="O201" i="1" s="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a="1"/>
  <c r="O195" i="1" s="1"/>
  <c r="N195" i="1"/>
  <c r="M195" i="1"/>
  <c r="O194" i="1" a="1"/>
  <c r="O194" i="1" s="1"/>
  <c r="N194" i="1"/>
  <c r="M194" i="1"/>
  <c r="O193" i="1" a="1"/>
  <c r="O193" i="1" s="1"/>
  <c r="N193" i="1"/>
  <c r="M193" i="1"/>
  <c r="O192" i="1" a="1"/>
  <c r="O192" i="1" s="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a="1"/>
  <c r="O174" i="1" s="1"/>
  <c r="N174" i="1"/>
  <c r="M174" i="1"/>
  <c r="O173" i="1" a="1"/>
  <c r="O173" i="1" s="1"/>
  <c r="N173" i="1"/>
  <c r="M173" i="1"/>
  <c r="O172" i="1" a="1"/>
  <c r="O172" i="1" s="1"/>
  <c r="N172" i="1"/>
  <c r="M172" i="1"/>
  <c r="O171" i="1" a="1"/>
  <c r="O171" i="1" s="1"/>
  <c r="N171" i="1"/>
  <c r="M171" i="1"/>
  <c r="O170" i="1" a="1"/>
  <c r="O170" i="1" s="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a="1"/>
  <c r="O159" i="1" s="1"/>
  <c r="N159" i="1"/>
  <c r="M159" i="1"/>
  <c r="O158" i="1" a="1"/>
  <c r="O158" i="1" s="1"/>
  <c r="N158" i="1"/>
  <c r="M158" i="1"/>
  <c r="O157" i="1" a="1"/>
  <c r="O157" i="1" s="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a="1"/>
  <c r="O139" i="1" s="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a="1"/>
  <c r="O124" i="1" s="1"/>
  <c r="N124" i="1"/>
  <c r="M124" i="1"/>
  <c r="O123" i="1" a="1"/>
  <c r="O123" i="1" s="1"/>
  <c r="N123" i="1"/>
  <c r="M123" i="1"/>
  <c r="O122" i="1" a="1"/>
  <c r="O122" i="1" s="1"/>
  <c r="N122" i="1"/>
  <c r="M122" i="1"/>
  <c r="O121" i="1" a="1"/>
  <c r="O121" i="1" s="1"/>
  <c r="N121" i="1"/>
  <c r="M121" i="1"/>
  <c r="O120" i="1" a="1"/>
  <c r="O120" i="1" s="1"/>
  <c r="N120" i="1"/>
  <c r="M120" i="1"/>
  <c r="O119" i="1" a="1"/>
  <c r="O119" i="1" s="1"/>
  <c r="N119" i="1"/>
  <c r="M119" i="1"/>
  <c r="O118" i="1" a="1"/>
  <c r="O118" i="1" s="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a="1"/>
  <c r="O107" i="1" s="1"/>
  <c r="N107" i="1"/>
  <c r="M107" i="1"/>
  <c r="O106" i="1" a="1"/>
  <c r="O106" i="1" s="1"/>
  <c r="N106" i="1"/>
  <c r="M106" i="1"/>
  <c r="O105" i="1" a="1"/>
  <c r="O105" i="1" s="1"/>
  <c r="N105" i="1"/>
  <c r="M105" i="1"/>
  <c r="O104" i="1" a="1"/>
  <c r="O104" i="1" s="1"/>
  <c r="N104" i="1"/>
  <c r="M104" i="1"/>
  <c r="O103" i="1" a="1"/>
  <c r="O103" i="1" s="1"/>
  <c r="N103" i="1"/>
  <c r="M103" i="1"/>
  <c r="O102" i="1" a="1"/>
  <c r="O102" i="1" s="1"/>
  <c r="N102" i="1"/>
  <c r="M102" i="1"/>
  <c r="O101" i="1" a="1"/>
  <c r="O101" i="1" s="1"/>
  <c r="N101" i="1"/>
  <c r="M101" i="1"/>
  <c r="O100" i="1" a="1"/>
  <c r="O100" i="1" s="1"/>
  <c r="N100" i="1"/>
  <c r="M100" i="1"/>
  <c r="O99" i="1" a="1"/>
  <c r="O99" i="1" s="1"/>
  <c r="N99" i="1"/>
  <c r="M99" i="1"/>
  <c r="O98" i="1" a="1"/>
  <c r="O98" i="1" s="1"/>
  <c r="N98" i="1"/>
  <c r="M98" i="1"/>
  <c r="O97" i="1" a="1"/>
  <c r="O97" i="1" s="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a="1"/>
  <c r="O79" i="1" s="1"/>
  <c r="N79" i="1"/>
  <c r="M79" i="1"/>
  <c r="O78" i="1" a="1"/>
  <c r="O78" i="1" s="1"/>
  <c r="N78" i="1"/>
  <c r="M78" i="1"/>
  <c r="O77" i="1" a="1"/>
  <c r="O77" i="1" s="1"/>
  <c r="N77" i="1"/>
  <c r="M77" i="1"/>
  <c r="O76" i="1" a="1"/>
  <c r="O76" i="1" s="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a="1"/>
  <c r="O64" i="1" s="1"/>
  <c r="N64" i="1"/>
  <c r="M64" i="1"/>
  <c r="O63" i="1" a="1"/>
  <c r="O63" i="1" s="1"/>
  <c r="N63" i="1"/>
  <c r="M63" i="1"/>
  <c r="O62" i="1" a="1"/>
  <c r="O62" i="1" s="1"/>
  <c r="N62" i="1"/>
  <c r="M62" i="1"/>
  <c r="O61" i="1" a="1"/>
  <c r="O61" i="1" s="1"/>
  <c r="N61" i="1"/>
  <c r="M61" i="1"/>
  <c r="O60" i="1" a="1"/>
  <c r="O60" i="1" s="1"/>
  <c r="N60" i="1"/>
  <c r="M60" i="1"/>
  <c r="O59" i="1"/>
  <c r="O59" i="1" a="1"/>
  <c r="N59" i="1"/>
  <c r="M59" i="1"/>
  <c r="O58" i="1" a="1"/>
  <c r="O58" i="1" s="1"/>
  <c r="N58" i="1"/>
  <c r="M58" i="1"/>
  <c r="O57" i="1" a="1"/>
  <c r="O57" i="1" s="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a="1"/>
  <c r="O44" i="1" s="1"/>
  <c r="N44" i="1"/>
  <c r="M44" i="1"/>
  <c r="O43" i="1" a="1"/>
  <c r="O43" i="1" s="1"/>
  <c r="N43" i="1"/>
  <c r="M43" i="1"/>
  <c r="O42" i="1" a="1"/>
  <c r="O42" i="1" s="1"/>
  <c r="N42" i="1"/>
  <c r="M42" i="1"/>
  <c r="O41" i="1" a="1"/>
  <c r="O41" i="1" s="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a="1"/>
  <c r="O29" i="1" s="1"/>
  <c r="N29" i="1"/>
  <c r="M29" i="1"/>
  <c r="O28" i="1" a="1"/>
  <c r="O28" i="1" s="1"/>
  <c r="N28" i="1"/>
  <c r="M28" i="1"/>
  <c r="O27" i="1" a="1"/>
  <c r="O27" i="1" s="1"/>
  <c r="N27" i="1"/>
  <c r="M27" i="1"/>
  <c r="O26" i="1" a="1"/>
  <c r="O26" i="1" s="1"/>
  <c r="N26" i="1"/>
  <c r="M26" i="1"/>
  <c r="O25" i="1" a="1"/>
  <c r="O25" i="1" s="1"/>
  <c r="N25" i="1"/>
  <c r="M25" i="1"/>
  <c r="O24" i="1" a="1"/>
  <c r="O24" i="1" s="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a="1"/>
  <c r="O9" i="1" s="1"/>
  <c r="N9" i="1"/>
  <c r="M9" i="1"/>
  <c r="O8" i="1"/>
  <c r="O8" i="1" a="1"/>
  <c r="N8" i="1"/>
  <c r="M8" i="1"/>
  <c r="O7" i="1" a="1"/>
  <c r="O7" i="1" s="1"/>
  <c r="N7" i="1"/>
  <c r="M7" i="1"/>
  <c r="O6" i="1" a="1"/>
  <c r="O6" i="1" s="1"/>
  <c r="N6" i="1"/>
  <c r="M6" i="1"/>
  <c r="O5" i="1"/>
  <c r="O5" i="1" a="1"/>
  <c r="N5" i="1"/>
  <c r="M5" i="1"/>
  <c r="O4" i="1" a="1"/>
  <c r="O4" i="1" s="1"/>
  <c r="N4" i="1"/>
  <c r="M4" i="1"/>
  <c r="O3" i="1" a="1"/>
  <c r="O3" i="1" s="1"/>
  <c r="N3" i="1"/>
  <c r="M3" i="1"/>
  <c r="O2" i="1" a="1"/>
  <c r="O2" i="1" s="1"/>
  <c r="N2" i="1"/>
  <c r="M2" i="1"/>
</calcChain>
</file>

<file path=xl/sharedStrings.xml><?xml version="1.0" encoding="utf-8"?>
<sst xmlns="http://schemas.openxmlformats.org/spreadsheetml/2006/main" count="15698" uniqueCount="2543">
  <si>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</si>
  <si>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</si>
  <si>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</si>
  <si>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</si>
  <si>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</si>
  <si>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</si>
  <si>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</si>
  <si>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</si>
  <si>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</si>
  <si>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</si>
  <si>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</si>
  <si>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</si>
  <si>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</si>
  <si>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</si>
  <si>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</si>
  <si>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</si>
  <si>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</si>
  <si>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</si>
  <si>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</si>
  <si>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</si>
  <si>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</si>
  <si>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</si>
  <si>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</si>
  <si>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</si>
  <si>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</si>
  <si>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</si>
  <si>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</si>
  <si>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</si>
  <si>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</si>
  <si>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</si>
  <si>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</si>
  <si>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</si>
  <si>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</si>
  <si>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</si>
  <si>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</si>
  <si>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</si>
  <si>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</si>
  <si>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</si>
  <si>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</si>
  <si>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</si>
  <si>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</si>
  <si>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</si>
  <si>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</si>
  <si>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</si>
  <si>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</si>
  <si>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</si>
  <si>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</si>
  <si>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</si>
  <si>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</si>
  <si>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</si>
  <si>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</si>
  <si>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</si>
  <si>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</si>
  <si>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</si>
  <si>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</si>
  <si>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</si>
  <si>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</si>
  <si>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</si>
  <si>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</si>
  <si>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</si>
  <si>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</si>
  <si>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</si>
  <si>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</si>
  <si>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</si>
  <si>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</si>
  <si>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</si>
  <si>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</si>
  <si>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</si>
  <si>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</si>
  <si>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</si>
  <si>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</si>
  <si>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</si>
  <si>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</si>
  <si>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</si>
  <si>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</si>
  <si>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</si>
  <si>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</si>
  <si>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</si>
  <si>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</si>
  <si>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</si>
  <si>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</si>
  <si>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</si>
  <si>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</si>
  <si>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</si>
  <si>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</si>
  <si>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</si>
  <si>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</si>
  <si>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</si>
  <si>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</si>
  <si>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</si>
  <si>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</si>
  <si>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</si>
  <si>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</si>
  <si>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</si>
  <si>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</si>
  <si>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</si>
  <si>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</si>
  <si>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</si>
  <si>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</si>
  <si>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</si>
  <si>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</si>
  <si>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</si>
  <si>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</si>
  <si>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</si>
  <si>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</si>
  <si>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</si>
  <si>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</si>
  <si>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</si>
  <si>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</si>
  <si>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</si>
  <si>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</si>
  <si>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</si>
  <si>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</si>
  <si>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</si>
  <si>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</si>
  <si>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</si>
  <si>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</si>
  <si>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</si>
  <si>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</si>
  <si>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</si>
  <si>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</si>
  <si>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</si>
  <si>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</si>
  <si>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</si>
  <si>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</si>
  <si>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</si>
  <si>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</si>
  <si>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</si>
  <si>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</si>
  <si>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</si>
  <si>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</si>
  <si>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</si>
  <si>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</si>
  <si>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</si>
  <si>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</si>
  <si>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</si>
  <si>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</si>
  <si>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</si>
  <si>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</si>
  <si>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</si>
  <si>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</si>
  <si>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</si>
  <si>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</si>
  <si>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</si>
  <si>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</si>
  <si>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</si>
  <si>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</si>
  <si>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</si>
  <si>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</si>
  <si>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</si>
  <si>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</si>
  <si>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</si>
  <si>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</si>
  <si>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</si>
  <si>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</si>
  <si>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</si>
  <si>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</si>
  <si>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</si>
  <si>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</si>
  <si>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</si>
  <si>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</si>
  <si>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</si>
  <si>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</si>
  <si>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</si>
  <si>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</si>
  <si>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</si>
  <si>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</si>
  <si>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</si>
  <si>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</si>
  <si>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</si>
  <si>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</si>
  <si>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</si>
  <si>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</si>
  <si>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</si>
  <si>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</si>
  <si>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</si>
  <si>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</si>
  <si>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</si>
  <si>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</si>
  <si>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</si>
  <si>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</si>
  <si>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</si>
  <si>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</si>
  <si>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</si>
  <si>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</si>
  <si>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</si>
  <si>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</si>
  <si>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</si>
  <si>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</si>
  <si>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</si>
  <si>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</si>
  <si>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</si>
  <si>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</si>
  <si>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</si>
  <si>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</si>
  <si>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</si>
  <si>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</si>
  <si>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</si>
  <si>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</si>
  <si>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</si>
  <si>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</si>
  <si>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</si>
  <si>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</si>
  <si>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</si>
  <si>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</si>
  <si>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</si>
  <si>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</si>
  <si>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</si>
  <si>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</si>
  <si>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</si>
  <si>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</si>
  <si>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</si>
  <si>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</si>
  <si>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</si>
  <si>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</si>
  <si>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</si>
  <si>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</si>
  <si>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</si>
  <si>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</si>
  <si>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</si>
  <si>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</si>
  <si>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</si>
  <si>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</si>
  <si>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</si>
  <si>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</si>
  <si>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</si>
  <si>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</si>
  <si>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</si>
  <si>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</si>
  <si>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</si>
  <si>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</si>
  <si>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</si>
  <si>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</si>
  <si>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</si>
  <si>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</si>
  <si>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</si>
  <si>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</si>
  <si>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</si>
  <si>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</si>
  <si>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</si>
  <si>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</si>
  <si>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</si>
  <si>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</si>
  <si>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</si>
  <si>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</si>
  <si>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</si>
  <si>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</si>
  <si>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</si>
  <si>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</si>
  <si>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</si>
  <si>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</si>
  <si>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</si>
  <si>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</si>
  <si>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</si>
  <si>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</si>
  <si>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</si>
  <si>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</si>
  <si>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</si>
  <si>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</si>
  <si>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</si>
  <si>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</si>
  <si>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</si>
  <si>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</si>
  <si>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</si>
  <si>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</si>
  <si>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</si>
  <si>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</si>
  <si>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</si>
  <si>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</si>
  <si>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</si>
  <si>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</si>
  <si>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</si>
  <si>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</si>
  <si>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</si>
  <si>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</si>
  <si>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</si>
  <si>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</si>
  <si>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</si>
  <si>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</si>
  <si>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</si>
  <si>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</si>
  <si>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</si>
  <si>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</si>
  <si>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</si>
  <si>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</si>
  <si>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</si>
  <si>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</si>
  <si>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</si>
  <si>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</si>
  <si>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</si>
  <si>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</si>
  <si>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</si>
  <si>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</si>
  <si>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</si>
  <si>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</si>
  <si>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</si>
  <si>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</si>
  <si>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</si>
  <si>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</si>
  <si>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</si>
  <si>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</si>
  <si>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</si>
  <si>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</si>
  <si>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</si>
  <si>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</si>
  <si>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</si>
  <si>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</si>
  <si>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</si>
  <si>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</si>
  <si>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</si>
  <si>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</si>
  <si>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</si>
  <si>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</si>
  <si>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</si>
  <si>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</si>
  <si>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</si>
  <si>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</si>
  <si>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</si>
  <si>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</si>
  <si>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</si>
  <si>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</si>
  <si>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</si>
  <si>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</si>
  <si>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</si>
  <si>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</si>
  <si>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</si>
  <si>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</si>
  <si>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</si>
  <si>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</si>
  <si>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</si>
  <si>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</si>
  <si>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</si>
  <si>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</si>
  <si>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</si>
  <si>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</si>
  <si>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</si>
  <si>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</si>
  <si>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</si>
  <si>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</si>
  <si>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</si>
  <si>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</si>
  <si>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</si>
  <si>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</si>
  <si>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</si>
  <si>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</si>
  <si>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</si>
  <si>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</si>
  <si>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</si>
  <si>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</si>
  <si>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</si>
  <si>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</si>
  <si>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</si>
  <si>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</si>
  <si>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</si>
  <si>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</si>
  <si>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</si>
  <si>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</si>
  <si>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</si>
  <si>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</si>
  <si>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</si>
  <si>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</si>
  <si>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</si>
  <si>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</si>
  <si>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</si>
  <si>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</si>
  <si>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</si>
  <si>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</si>
  <si>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</si>
  <si>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</si>
  <si>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</si>
  <si>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</si>
  <si>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</si>
  <si>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</si>
  <si>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</si>
  <si>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</si>
  <si>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</si>
  <si>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</si>
  <si>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</si>
  <si>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</si>
  <si>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</si>
  <si>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</si>
  <si>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</si>
  <si>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</si>
  <si>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</si>
  <si>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</si>
  <si>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</si>
  <si>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</si>
  <si>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</si>
  <si>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</si>
  <si>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</si>
  <si>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</si>
  <si>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</si>
  <si>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</si>
  <si>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</si>
  <si>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</si>
  <si>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</si>
  <si>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</si>
  <si>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</si>
  <si>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</si>
  <si>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</si>
  <si>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</si>
  <si>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</si>
  <si>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</si>
  <si>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</si>
  <si>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</si>
  <si>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</si>
  <si>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</si>
  <si>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</si>
  <si>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</si>
  <si>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</si>
  <si>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</si>
  <si>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</si>
  <si>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</si>
  <si>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</si>
  <si>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</si>
  <si>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</si>
  <si>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</si>
  <si>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</si>
  <si>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</si>
  <si>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</si>
  <si>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</si>
  <si>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</si>
  <si>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</si>
  <si>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</si>
  <si>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</si>
  <si>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</si>
  <si>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</si>
  <si>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</si>
  <si>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</si>
  <si>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</si>
  <si>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</si>
  <si>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</si>
  <si>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</si>
  <si>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</si>
  <si>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</si>
  <si>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</si>
  <si>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</si>
  <si>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</si>
  <si>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</si>
  <si>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</si>
  <si>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</si>
  <si>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</si>
  <si>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</si>
  <si>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</si>
  <si>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</si>
  <si>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</si>
  <si>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</si>
  <si>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</si>
  <si>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</si>
  <si>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</si>
  <si>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</si>
  <si>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</si>
  <si>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</si>
  <si>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</si>
  <si>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</si>
  <si>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</si>
  <si>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</si>
  <si>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</si>
  <si>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</si>
  <si>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</si>
  <si>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</si>
  <si>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</si>
  <si>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</si>
  <si>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</si>
  <si>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</si>
  <si>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</si>
  <si>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</si>
  <si>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</si>
  <si>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</si>
  <si>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</si>
  <si>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</si>
  <si>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</si>
  <si>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</si>
  <si>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</si>
  <si>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</si>
  <si>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</si>
  <si>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</si>
  <si>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</si>
  <si>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</si>
  <si>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</si>
  <si>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</si>
  <si>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</si>
  <si>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</si>
  <si>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</si>
  <si>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</si>
  <si>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</si>
  <si>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</si>
  <si>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</si>
  <si>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</si>
  <si>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</si>
  <si>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</si>
  <si>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</si>
  <si>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</si>
  <si>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</si>
  <si>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</si>
  <si>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</si>
  <si>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</si>
  <si>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</si>
  <si>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</si>
  <si>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</si>
  <si>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</si>
  <si>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</si>
  <si>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</si>
  <si>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</si>
  <si>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</si>
  <si>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</si>
  <si>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</si>
  <si>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</si>
  <si>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</si>
  <si>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</si>
  <si>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</si>
  <si>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</si>
  <si>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</si>
  <si>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</si>
  <si>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</si>
  <si>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</si>
  <si>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</si>
  <si>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</si>
  <si>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</si>
  <si>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</si>
  <si>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</si>
  <si>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</si>
  <si>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</si>
  <si>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</si>
  <si>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</si>
  <si>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</si>
  <si>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</si>
  <si>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</si>
  <si>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</si>
  <si>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</si>
  <si>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</si>
  <si>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</si>
  <si>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</si>
  <si>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</si>
  <si>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</si>
  <si>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</si>
  <si>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</si>
  <si>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</si>
  <si>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</si>
  <si>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</si>
  <si>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</si>
  <si>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</si>
  <si>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</si>
  <si>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</si>
  <si>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</si>
  <si>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</si>
  <si>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</si>
  <si>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</si>
  <si>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</si>
  <si>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</si>
  <si>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</si>
  <si>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</si>
  <si>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</si>
  <si>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</si>
  <si>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</si>
  <si>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</si>
  <si>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</si>
  <si>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</si>
  <si>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</si>
  <si>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</si>
  <si>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</si>
  <si>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</si>
  <si>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</si>
  <si>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</si>
  <si>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</si>
  <si>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</si>
  <si>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</si>
  <si>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</si>
  <si>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</si>
  <si>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</si>
  <si>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</si>
  <si>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</si>
  <si>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</si>
  <si>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</si>
  <si>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</si>
  <si>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</si>
  <si>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</si>
  <si>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</si>
  <si>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</si>
  <si>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</si>
  <si>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</si>
  <si>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</si>
  <si>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</si>
  <si>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</si>
  <si>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</si>
  <si>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</si>
  <si>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</si>
  <si>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</si>
  <si>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</si>
  <si>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</si>
  <si>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</si>
  <si>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</si>
  <si>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</si>
  <si>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</si>
  <si>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</si>
  <si>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</si>
  <si>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</si>
  <si>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</si>
  <si>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</si>
  <si>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</si>
  <si>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</si>
  <si>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</si>
  <si>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</si>
  <si>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</si>
  <si>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</si>
  <si>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</si>
  <si>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</si>
  <si>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</si>
  <si>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</si>
  <si>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</si>
  <si>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</si>
  <si>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</si>
  <si>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</si>
  <si>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</si>
  <si>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</si>
  <si>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</si>
  <si>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</si>
  <si>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</si>
  <si>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</si>
  <si>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</si>
  <si>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</si>
  <si>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</si>
  <si>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</si>
  <si>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</si>
  <si>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</si>
  <si>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</si>
  <si>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</si>
  <si>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</si>
  <si>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</si>
  <si>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</si>
  <si>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</si>
  <si>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</si>
  <si>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</si>
  <si>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</si>
  <si>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</si>
  <si>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</si>
  <si>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</si>
  <si>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</si>
  <si>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</si>
  <si>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</si>
  <si>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</si>
  <si>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</si>
  <si>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</si>
  <si>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</si>
  <si>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</si>
  <si>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</si>
  <si>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</si>
  <si>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</si>
  <si>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</si>
  <si>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</si>
  <si>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</si>
  <si>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</si>
  <si>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</si>
  <si>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</si>
  <si>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</si>
  <si>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</si>
  <si>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</si>
  <si>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</si>
  <si>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</si>
  <si>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</si>
  <si>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</si>
  <si>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</si>
  <si>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</si>
  <si>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</si>
  <si>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</si>
  <si>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</si>
  <si>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</si>
  <si>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</si>
  <si>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</si>
  <si>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</si>
  <si>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</si>
  <si>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</si>
  <si>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</si>
  <si>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</si>
  <si>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</si>
  <si>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</si>
  <si>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</si>
  <si>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</si>
  <si>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</si>
  <si>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</si>
  <si>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</si>
  <si>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</si>
  <si>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</si>
  <si>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</si>
  <si>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</si>
  <si>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</si>
  <si>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</si>
  <si>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</si>
  <si>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</si>
  <si>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</si>
  <si>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</si>
  <si>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</si>
  <si>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</si>
  <si>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</si>
  <si>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</si>
  <si>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</si>
  <si>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</si>
  <si>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</si>
  <si>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</si>
  <si>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</si>
  <si>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</si>
  <si>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</si>
  <si>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</si>
  <si>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</si>
  <si>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</si>
  <si>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</si>
  <si>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</si>
  <si>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</si>
  <si>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</si>
  <si>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</si>
  <si>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</si>
  <si>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</si>
  <si>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</si>
  <si>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</si>
  <si>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</si>
  <si>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</si>
  <si>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</si>
  <si>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</si>
  <si>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</si>
  <si>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</si>
  <si>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</si>
  <si>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</si>
  <si>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</si>
  <si>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</si>
  <si>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</si>
  <si>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</si>
  <si>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</si>
  <si>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</si>
  <si>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</si>
  <si>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</si>
  <si>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</si>
  <si>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</si>
  <si>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</si>
  <si>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</si>
  <si>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</si>
  <si>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</si>
  <si>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</si>
  <si>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</si>
  <si>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</si>
  <si>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</si>
  <si>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</si>
  <si>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</si>
  <si>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</si>
  <si>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</si>
  <si>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</si>
  <si>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</si>
  <si>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</si>
  <si>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</si>
  <si>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</si>
  <si>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</si>
  <si>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</si>
  <si>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</si>
  <si>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</si>
  <si>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</si>
  <si>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</si>
  <si>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</si>
  <si>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</si>
  <si>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</si>
  <si>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</si>
  <si>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</si>
  <si>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</si>
  <si>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</si>
  <si>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</si>
  <si>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</si>
  <si>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</si>
  <si>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</si>
  <si>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</si>
  <si>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</si>
  <si>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</si>
  <si>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</si>
  <si>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</si>
  <si>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</si>
  <si>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</si>
  <si>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</si>
  <si>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</si>
  <si>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</si>
  <si>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</si>
  <si>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</si>
  <si>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</si>
  <si>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</si>
  <si>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</si>
  <si>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</si>
  <si>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</si>
  <si>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</si>
  <si>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</si>
  <si>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</si>
  <si>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</si>
  <si>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</si>
  <si>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</si>
  <si>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</si>
  <si>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</si>
  <si>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</si>
  <si>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</si>
  <si>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</si>
  <si>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</si>
  <si>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</si>
  <si>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</si>
  <si>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</si>
  <si>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</si>
  <si>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</si>
  <si>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</si>
  <si>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</si>
  <si>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</si>
  <si>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</si>
  <si>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</si>
  <si>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</si>
  <si>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</si>
  <si>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</si>
  <si>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</si>
  <si>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</si>
  <si>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</si>
  <si>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</si>
  <si>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</si>
  <si>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</si>
  <si>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</si>
  <si>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</si>
  <si>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</si>
  <si>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</si>
  <si>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</si>
  <si>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</si>
  <si>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</si>
  <si>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</si>
  <si>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</si>
  <si>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</si>
  <si>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</si>
  <si>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</si>
  <si>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</si>
  <si>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</si>
  <si>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</si>
  <si>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</si>
  <si>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</si>
  <si>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</si>
  <si>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</si>
  <si>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</si>
  <si>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</si>
  <si>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</si>
  <si>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</si>
  <si>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</si>
  <si>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</si>
  <si>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</si>
  <si>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</si>
  <si>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</si>
  <si>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</si>
  <si>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</si>
  <si>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</si>
  <si>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</si>
  <si>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</si>
  <si>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</si>
  <si>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</si>
  <si>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</si>
  <si>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</si>
  <si>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</si>
  <si>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</si>
  <si>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</si>
  <si>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</si>
  <si>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</si>
  <si>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</si>
  <si>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</si>
  <si>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</si>
  <si>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</si>
  <si>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</si>
  <si>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</si>
  <si>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</si>
  <si>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</si>
  <si>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</si>
  <si>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</si>
  <si>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</si>
  <si>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</si>
  <si>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</si>
  <si>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</si>
  <si>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</si>
  <si>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</si>
  <si>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</si>
  <si>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</si>
  <si>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</si>
  <si>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</si>
  <si>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</si>
  <si>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</si>
  <si>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</si>
  <si>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</si>
  <si>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</si>
  <si>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</si>
  <si>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</si>
  <si>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</si>
  <si>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</si>
  <si>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</si>
  <si>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</si>
  <si>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</si>
  <si>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</si>
  <si>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</si>
  <si>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</si>
  <si>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</si>
  <si>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</si>
  <si>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</si>
  <si>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</si>
  <si>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</si>
  <si>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</si>
  <si>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</si>
  <si>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</si>
  <si>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</si>
  <si>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</si>
  <si>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</si>
  <si>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</si>
  <si>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</si>
  <si>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</si>
  <si>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</si>
  <si>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</si>
  <si>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</si>
  <si>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</si>
  <si>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</si>
  <si>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</si>
  <si>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</si>
  <si>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</si>
  <si>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</si>
  <si>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</si>
  <si>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</si>
  <si>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</si>
  <si>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</si>
  <si>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</si>
  <si>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</si>
  <si>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</si>
  <si>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</si>
  <si>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</si>
  <si>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</si>
  <si>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</si>
  <si>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</si>
  <si>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</si>
  <si>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</si>
  <si>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</si>
  <si>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</si>
  <si>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</si>
  <si>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</si>
  <si>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</si>
  <si>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</si>
  <si>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</si>
  <si>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</si>
  <si>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</si>
  <si>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</si>
  <si>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</si>
  <si>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</si>
  <si>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</si>
  <si>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</si>
  <si>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</si>
  <si>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</si>
  <si>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</si>
  <si>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</si>
  <si>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</si>
  <si>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</si>
  <si>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</si>
  <si>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</si>
  <si>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</si>
  <si>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</si>
  <si>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</si>
  <si>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</si>
  <si>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</si>
  <si>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</si>
  <si>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</si>
  <si>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</si>
  <si>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</si>
  <si>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</si>
  <si>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</si>
  <si>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</si>
  <si>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</si>
  <si>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</si>
  <si>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</si>
  <si>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</si>
  <si>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</si>
  <si>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</si>
  <si>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</si>
  <si>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</si>
  <si>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</si>
  <si>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</si>
  <si>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</si>
  <si>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</si>
  <si>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</si>
  <si>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</si>
  <si>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</si>
  <si>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</si>
  <si>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</si>
  <si>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</si>
  <si>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</si>
  <si>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</si>
  <si>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</si>
  <si>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</si>
  <si>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</si>
  <si>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</si>
  <si>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</si>
  <si>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</si>
  <si>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</si>
  <si>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</si>
  <si>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</si>
  <si>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</si>
  <si>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</si>
  <si>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</si>
  <si>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</si>
  <si>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</si>
  <si>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</si>
  <si>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</si>
  <si>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</si>
  <si>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</si>
  <si>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</si>
  <si>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</si>
  <si>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</si>
  <si>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</si>
  <si>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</si>
  <si>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</si>
  <si>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</si>
  <si>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</si>
  <si>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</si>
  <si>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</si>
  <si>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</si>
  <si>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</si>
  <si>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</si>
  <si>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</si>
  <si>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</si>
  <si>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</si>
  <si>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</si>
  <si>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</si>
  <si>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</si>
  <si>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</si>
  <si>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</si>
  <si>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</si>
  <si>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</si>
  <si>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</si>
  <si>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</si>
  <si>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</si>
  <si>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</si>
  <si>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</si>
  <si>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</si>
  <si>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</si>
  <si>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</si>
  <si>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</si>
  <si>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</si>
  <si>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</si>
  <si>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</si>
  <si>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</si>
  <si>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</si>
  <si>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</si>
  <si>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</si>
  <si>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</si>
  <si>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</si>
  <si>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</si>
  <si>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</si>
  <si>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</si>
  <si>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</si>
  <si>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</si>
  <si>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</si>
  <si>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</si>
  <si>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</si>
  <si>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</si>
  <si>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</si>
  <si>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</si>
  <si>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</si>
  <si>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</si>
  <si>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</si>
  <si>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</si>
  <si>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</si>
  <si>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</si>
  <si>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</si>
  <si>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</si>
  <si>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</si>
  <si>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</si>
  <si>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</si>
  <si>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</si>
  <si>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</si>
  <si>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</si>
  <si>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</si>
  <si>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</si>
  <si>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</si>
  <si>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</si>
  <si>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</si>
  <si>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</si>
  <si>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</si>
  <si>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</si>
  <si>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</si>
  <si>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</si>
  <si>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</si>
  <si>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</si>
  <si>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</si>
  <si>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</si>
  <si>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</si>
  <si>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</si>
  <si>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</si>
  <si>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</si>
  <si>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</si>
  <si>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</si>
  <si>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</si>
  <si>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</si>
  <si>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</si>
  <si>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</si>
  <si>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</si>
  <si>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</si>
  <si>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</si>
  <si>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</si>
  <si>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</si>
  <si>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</si>
  <si>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</si>
  <si>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</si>
  <si>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</si>
  <si>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</si>
  <si>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</si>
  <si>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</si>
  <si>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</si>
  <si>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</si>
  <si>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</si>
  <si>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</si>
  <si>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</si>
  <si>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</si>
  <si>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</si>
  <si>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</si>
  <si>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</si>
  <si>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</si>
  <si>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</si>
  <si>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</si>
  <si>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</si>
  <si>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</si>
  <si>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</si>
  <si>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</si>
  <si>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</si>
  <si>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</si>
  <si>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</si>
  <si>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</si>
  <si>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</si>
  <si>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</si>
  <si>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</si>
  <si>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</si>
  <si>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</si>
  <si>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</si>
  <si>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</si>
  <si>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</si>
  <si>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</si>
  <si>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</si>
  <si>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</si>
  <si>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</si>
  <si>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</si>
  <si>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</si>
  <si>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</si>
  <si>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</si>
  <si>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</si>
  <si>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</si>
  <si>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</si>
  <si>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</si>
  <si>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</si>
  <si>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</si>
  <si>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</si>
  <si>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</si>
  <si>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</si>
  <si>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</si>
  <si>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</si>
  <si>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</si>
  <si>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</si>
  <si>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</si>
  <si>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</si>
  <si>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</si>
  <si>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</si>
  <si>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</si>
  <si>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</si>
  <si>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</si>
  <si>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</si>
  <si>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</si>
  <si>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</si>
  <si>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</si>
  <si>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</si>
  <si>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</si>
  <si>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</si>
  <si>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</si>
  <si>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</si>
  <si>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</si>
  <si>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</si>
  <si>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</si>
  <si>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</si>
  <si>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</si>
  <si>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</si>
  <si>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</si>
  <si>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</si>
  <si>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</si>
  <si>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</si>
  <si>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</si>
  <si>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</si>
  <si>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</si>
  <si>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</si>
  <si>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</si>
  <si>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</si>
  <si>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</si>
  <si>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</si>
  <si>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</si>
  <si>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</si>
  <si>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</si>
  <si>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</si>
  <si>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</si>
  <si>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</si>
  <si>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</si>
  <si>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</si>
  <si>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</si>
  <si>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</si>
  <si>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</si>
  <si>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</si>
  <si>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</si>
  <si>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</si>
  <si>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</si>
  <si>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</si>
  <si>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</si>
  <si>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</si>
  <si>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</si>
  <si>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</si>
  <si>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</si>
  <si>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</si>
  <si>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</si>
  <si>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</si>
  <si>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</si>
  <si>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</si>
  <si>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</si>
  <si>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</si>
  <si>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</si>
  <si>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</si>
  <si>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</si>
  <si>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</si>
  <si>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</si>
  <si>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</si>
  <si>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</si>
  <si>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</si>
  <si>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</si>
  <si>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</si>
  <si>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</si>
  <si>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</si>
  <si>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</si>
  <si>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</si>
  <si>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</si>
  <si>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</si>
  <si>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</si>
  <si>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</si>
  <si>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</si>
  <si>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</si>
  <si>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</si>
  <si>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</si>
  <si>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</si>
  <si>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</si>
  <si>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</si>
  <si>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</si>
  <si>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</si>
  <si>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</si>
  <si>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</si>
  <si>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</si>
  <si>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</si>
  <si>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</si>
  <si>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</si>
  <si>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</si>
  <si>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</si>
  <si>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</si>
  <si>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</si>
  <si>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</si>
  <si>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</si>
  <si>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</si>
  <si>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</si>
  <si>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</si>
  <si>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</si>
  <si>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</si>
  <si>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</si>
  <si>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</si>
  <si>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</si>
  <si>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</si>
  <si>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</si>
  <si>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</si>
  <si>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</si>
  <si>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</si>
  <si>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</si>
  <si>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</si>
  <si>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</si>
  <si>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</si>
  <si>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</si>
  <si>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</si>
  <si>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</si>
  <si>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</si>
  <si>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</si>
  <si>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</si>
  <si>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</si>
  <si>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</si>
  <si>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</si>
  <si>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</si>
  <si>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</si>
  <si>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</si>
  <si>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</si>
  <si>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</si>
  <si>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</si>
  <si>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</si>
  <si>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</si>
  <si>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</si>
  <si>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</si>
  <si>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</si>
  <si>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</si>
  <si>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</si>
  <si>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</si>
  <si>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</si>
  <si>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</si>
  <si>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</si>
  <si>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</si>
  <si>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</si>
  <si>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</si>
  <si>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</si>
  <si>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</si>
  <si>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</si>
  <si>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</si>
  <si>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</si>
  <si>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</si>
  <si>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</si>
  <si>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</si>
  <si>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</si>
  <si>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</si>
  <si>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</si>
  <si>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</si>
  <si>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</si>
  <si>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</si>
  <si>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</si>
  <si>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</si>
  <si>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</si>
  <si>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</si>
  <si>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</si>
  <si>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</si>
  <si>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</si>
  <si>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</si>
  <si>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</si>
  <si>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</si>
  <si>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</si>
  <si>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</si>
  <si>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</si>
  <si>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</si>
  <si>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</si>
  <si>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</si>
  <si>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</si>
  <si>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</si>
  <si>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</si>
  <si>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</si>
  <si>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</si>
  <si>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</si>
  <si>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</si>
  <si>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</si>
  <si>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</si>
  <si>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</si>
  <si>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</si>
  <si>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</si>
  <si>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</si>
  <si>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</si>
  <si>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</si>
  <si>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</si>
  <si>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</si>
  <si>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</si>
  <si>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</si>
  <si>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</si>
  <si>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</si>
  <si>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</si>
  <si>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</si>
  <si>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</si>
  <si>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</si>
  <si>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</si>
  <si>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</si>
  <si>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</si>
  <si>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</si>
  <si>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</si>
  <si>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</si>
  <si>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</si>
  <si>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</si>
  <si>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</si>
  <si>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</si>
  <si>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</si>
  <si>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</si>
  <si>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</si>
  <si>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</si>
  <si>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</si>
  <si>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</si>
  <si>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</si>
  <si>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</si>
  <si>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</si>
  <si>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</si>
  <si>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</si>
  <si>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</si>
  <si>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</si>
  <si>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</si>
  <si>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</si>
  <si>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</si>
  <si>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</si>
  <si>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</si>
  <si>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</si>
  <si>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</si>
  <si>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</si>
  <si>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</si>
  <si>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</si>
  <si>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</si>
  <si>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</si>
  <si>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</si>
  <si>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</si>
  <si>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</si>
  <si>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</si>
  <si>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</si>
  <si>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</si>
  <si>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</si>
  <si>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</si>
  <si>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</si>
  <si>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</si>
  <si>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</si>
  <si>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</si>
  <si>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</si>
  <si>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</si>
  <si>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</si>
  <si>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</si>
  <si>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</si>
  <si>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</si>
  <si>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</si>
  <si>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</si>
  <si>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</si>
  <si>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</si>
  <si>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</si>
  <si>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</si>
  <si>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</si>
  <si>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</si>
  <si>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</si>
  <si>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</si>
  <si>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</si>
  <si>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</si>
  <si>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</si>
  <si>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</si>
  <si>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</si>
  <si>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</si>
  <si>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</si>
  <si>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</si>
  <si>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</si>
  <si>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</si>
  <si>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</si>
  <si>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</si>
  <si>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</si>
  <si>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</si>
  <si>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</si>
  <si>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</si>
  <si>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</si>
  <si>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</si>
  <si>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</si>
  <si>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</si>
  <si>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</si>
  <si>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</si>
  <si>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</si>
  <si>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</si>
  <si>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</si>
  <si>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</si>
  <si>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</si>
  <si>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</si>
  <si>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</si>
  <si>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</si>
  <si>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</si>
  <si>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</si>
  <si>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</si>
  <si>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</si>
  <si>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</si>
  <si>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</si>
  <si>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</si>
  <si>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</si>
  <si>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</si>
  <si>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</si>
  <si>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</si>
  <si>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</si>
  <si>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</si>
  <si>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</si>
  <si>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</si>
  <si>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</si>
  <si>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</si>
  <si>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</si>
  <si>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</si>
  <si>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</si>
  <si>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</si>
  <si>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</si>
  <si>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</si>
  <si>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</si>
  <si>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</si>
  <si>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</si>
  <si>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</si>
  <si>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</si>
  <si>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</si>
  <si>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</si>
  <si>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</si>
  <si>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</si>
  <si>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</si>
  <si>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</si>
  <si>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</si>
  <si>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</si>
  <si>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</si>
  <si>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</si>
  <si>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</si>
  <si>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</si>
  <si>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</si>
  <si>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</si>
  <si>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</si>
  <si>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</si>
  <si>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</si>
  <si>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</si>
  <si>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</si>
  <si>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</si>
  <si>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</si>
  <si>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</si>
  <si>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</si>
  <si>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</si>
  <si>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</si>
  <si>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</si>
  <si>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</si>
  <si>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</si>
  <si>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</si>
  <si>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</si>
  <si>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</si>
  <si>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</si>
  <si>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</si>
  <si>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</si>
  <si>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</si>
  <si>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</si>
  <si>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</si>
  <si>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</si>
  <si>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</si>
  <si>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</si>
  <si>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</si>
  <si>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</si>
  <si>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</si>
  <si>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</si>
  <si>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</si>
  <si>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</si>
  <si>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</si>
  <si>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</si>
  <si>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</si>
  <si>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</si>
  <si>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</si>
  <si>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</si>
  <si>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</si>
  <si>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</si>
  <si>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</si>
  <si>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</si>
  <si>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</si>
  <si>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</si>
  <si>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</si>
  <si>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</si>
  <si>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</si>
  <si>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</si>
  <si>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</si>
  <si>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</si>
  <si>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</si>
  <si>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</si>
  <si>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</si>
  <si>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</si>
  <si>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</si>
  <si>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</si>
  <si>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</si>
  <si>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</si>
  <si>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</si>
  <si>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</si>
  <si>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</si>
  <si>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</si>
  <si>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</si>
  <si>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</si>
  <si>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</si>
  <si>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</si>
  <si>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</si>
  <si>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</si>
  <si>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</si>
  <si>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</si>
  <si>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</si>
  <si>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</si>
  <si>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</si>
  <si>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</si>
  <si>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</si>
  <si>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</si>
  <si>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</si>
  <si>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</si>
  <si>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</si>
  <si>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</si>
  <si>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</si>
  <si>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</si>
  <si>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</si>
  <si>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</si>
  <si>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</si>
  <si>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</si>
  <si>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</si>
  <si>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</si>
  <si>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</si>
  <si>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</si>
  <si>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</si>
  <si>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</si>
  <si>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</si>
  <si>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</si>
  <si>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</si>
  <si>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</si>
  <si>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</si>
  <si>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</si>
  <si>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</si>
  <si>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</si>
  <si>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</si>
  <si>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</si>
  <si>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</si>
  <si>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</si>
  <si>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</si>
  <si>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</si>
  <si>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</si>
  <si>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</si>
  <si>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</si>
  <si>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</si>
  <si>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</si>
  <si>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</si>
  <si>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</si>
  <si>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</si>
  <si>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</si>
  <si>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</si>
  <si>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</si>
  <si>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</si>
  <si>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</si>
  <si>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</si>
  <si>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</si>
  <si>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</si>
  <si>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</si>
  <si>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</si>
  <si>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</si>
  <si>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</si>
  <si>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</si>
  <si>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</si>
  <si>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</si>
  <si>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</si>
  <si>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</si>
  <si>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</si>
  <si>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</si>
  <si>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</si>
  <si>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</si>
  <si>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</si>
  <si>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</si>
  <si>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</si>
  <si>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</si>
  <si>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</si>
  <si>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</si>
  <si>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</si>
  <si>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</si>
  <si>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</si>
  <si>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</si>
  <si>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</si>
  <si>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</si>
  <si>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</si>
  <si>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</si>
  <si>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</si>
  <si>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</si>
  <si>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</si>
  <si>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</si>
  <si>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</si>
  <si>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</si>
  <si>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</si>
  <si>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</si>
  <si>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</si>
  <si>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</si>
  <si>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</si>
  <si>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</si>
  <si>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</si>
  <si>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</si>
  <si>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</si>
  <si>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</si>
  <si>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</si>
  <si>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</si>
  <si>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</si>
  <si>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</si>
  <si>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</si>
  <si>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</si>
  <si>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</si>
  <si>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</si>
  <si>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</si>
  <si>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</si>
  <si>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</si>
  <si>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</si>
  <si>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</si>
  <si>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</si>
  <si>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</si>
  <si>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</si>
  <si>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</si>
  <si>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</si>
  <si>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</si>
  <si>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</si>
  <si>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</si>
  <si>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</si>
  <si>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</si>
  <si>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</si>
  <si>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</si>
  <si>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</si>
  <si>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</si>
  <si>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</si>
  <si>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</si>
  <si>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</si>
  <si>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</si>
  <si>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</si>
  <si>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</si>
  <si>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</si>
  <si>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</si>
  <si>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</si>
  <si>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</si>
  <si>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</si>
  <si>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</si>
  <si>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</si>
  <si>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</si>
  <si>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</si>
  <si>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</si>
  <si>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</si>
  <si>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</si>
  <si>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</si>
  <si>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</si>
  <si>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</si>
  <si>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</si>
  <si>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</si>
  <si>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</si>
  <si>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</si>
  <si>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</si>
  <si>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</si>
  <si>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</si>
  <si>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</si>
  <si>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</si>
  <si>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</si>
  <si>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</si>
  <si>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</si>
  <si>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</si>
  <si>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</si>
  <si>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</si>
  <si>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</si>
  <si>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</si>
  <si>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</si>
  <si>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</si>
  <si>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</si>
  <si>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</si>
  <si>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</si>
  <si>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</si>
  <si>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</si>
  <si>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</si>
  <si>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</si>
  <si>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</si>
  <si>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</si>
  <si>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</si>
  <si>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</si>
  <si>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</si>
  <si>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</si>
  <si>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</si>
  <si>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</si>
  <si>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</si>
  <si>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</si>
  <si>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</si>
  <si>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</si>
  <si>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</si>
  <si>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</si>
  <si>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</si>
  <si>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</si>
  <si>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</si>
  <si>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</si>
  <si>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</si>
  <si>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</si>
  <si>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</si>
  <si>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</si>
  <si>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</si>
  <si>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</si>
  <si>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</si>
  <si>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</si>
  <si>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</si>
  <si>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</si>
  <si>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</si>
  <si>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</si>
  <si>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</si>
  <si>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</si>
  <si>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</si>
  <si>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</si>
  <si>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</si>
  <si>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</si>
  <si>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</si>
  <si>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</si>
  <si>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</si>
  <si>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</si>
  <si>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</si>
  <si>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</si>
  <si>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</si>
  <si>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</si>
  <si>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</si>
  <si>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</si>
  <si>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</si>
  <si>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</si>
  <si>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</si>
  <si>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</si>
  <si>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</si>
  <si>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</si>
  <si>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</si>
  <si>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</si>
  <si>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</si>
  <si>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</si>
  <si>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</si>
  <si>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</si>
  <si>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</si>
  <si>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</si>
  <si>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</si>
  <si>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</si>
  <si>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</si>
  <si>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</si>
  <si>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</si>
  <si>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</si>
  <si>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</si>
  <si>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</si>
  <si>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</si>
  <si>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</si>
  <si>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</si>
  <si>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</si>
  <si>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</si>
  <si>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</si>
  <si>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</si>
  <si>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</si>
  <si>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</si>
  <si>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</si>
  <si>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</si>
  <si>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</si>
  <si>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</si>
  <si>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</si>
  <si>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</si>
  <si>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</si>
  <si>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</si>
  <si>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</si>
  <si>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</si>
  <si>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</si>
  <si>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</si>
  <si>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</si>
  <si>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</si>
  <si>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</si>
  <si>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</si>
  <si>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</si>
  <si>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</si>
  <si>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</si>
  <si>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</si>
  <si>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</si>
  <si>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</si>
  <si>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</si>
  <si>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</si>
  <si>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</si>
  <si>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</si>
  <si>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</si>
  <si>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</si>
  <si>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</si>
  <si>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</si>
  <si>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</si>
  <si>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</si>
  <si>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</si>
  <si>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</si>
  <si>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</si>
  <si>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</si>
  <si>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</si>
  <si>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</si>
  <si>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</si>
  <si>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</si>
  <si>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</si>
  <si>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</si>
  <si>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</si>
  <si>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</si>
  <si>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</si>
  <si>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</si>
  <si>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</si>
  <si>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</si>
  <si>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</si>
  <si>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</si>
  <si>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</si>
  <si>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</si>
  <si>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</si>
  <si>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</si>
  <si>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</si>
  <si>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</si>
  <si>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</si>
  <si>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</si>
  <si>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</si>
  <si>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</si>
  <si>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</si>
  <si>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</si>
  <si>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</si>
  <si>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</si>
  <si>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</si>
  <si>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</si>
  <si>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</si>
  <si>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</si>
  <si>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</si>
  <si>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</si>
  <si>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</si>
  <si>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</si>
  <si>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</si>
  <si>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</si>
  <si>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</si>
  <si>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</si>
  <si>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</si>
  <si>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</si>
  <si>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</si>
  <si>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</si>
  <si>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</si>
  <si>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</si>
  <si>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</si>
  <si>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</si>
  <si>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</si>
  <si>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</si>
  <si>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</si>
  <si>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</si>
  <si>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</si>
  <si>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</si>
  <si>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</si>
  <si>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</si>
  <si>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</si>
  <si>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</si>
  <si>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</si>
  <si>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</si>
  <si>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</si>
  <si>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</si>
  <si>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</si>
  <si>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</si>
  <si>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</si>
  <si>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</si>
  <si>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</si>
  <si>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</si>
  <si>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</si>
  <si>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</si>
  <si>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</si>
  <si>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</si>
  <si>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</si>
  <si>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</si>
  <si>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</si>
  <si>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</si>
  <si>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</si>
  <si>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</si>
  <si>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</si>
  <si>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</si>
  <si>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</si>
  <si>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</si>
  <si>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</si>
  <si>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</si>
  <si>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</si>
  <si>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</si>
  <si>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</si>
  <si>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</si>
  <si>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</si>
  <si>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</si>
  <si>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</si>
  <si>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</si>
  <si>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</si>
  <si>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</si>
  <si>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</si>
  <si>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</si>
  <si>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</si>
  <si>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</si>
  <si>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</si>
  <si>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</si>
  <si>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</si>
  <si>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</si>
  <si>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</si>
  <si>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</si>
  <si>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</si>
  <si>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</si>
  <si>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</si>
  <si>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</si>
  <si>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</si>
  <si>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</si>
  <si>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</si>
  <si>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</si>
  <si>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</si>
  <si>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</si>
  <si>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</si>
  <si>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</si>
  <si>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</si>
  <si>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</si>
  <si>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</si>
  <si>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</si>
  <si>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</si>
  <si>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</si>
  <si>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</si>
  <si>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</si>
  <si>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</si>
  <si>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</si>
  <si>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</si>
  <si>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</si>
  <si>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</si>
  <si>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</si>
  <si>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</si>
  <si>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</si>
  <si>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</si>
  <si>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</si>
  <si>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</si>
  <si>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</si>
  <si>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</si>
  <si>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</si>
  <si>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</si>
  <si>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</si>
  <si>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</si>
  <si>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</si>
  <si>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</si>
  <si>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</si>
  <si>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</si>
  <si>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</si>
  <si>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</si>
  <si>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</si>
  <si>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</si>
  <si>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</si>
  <si>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</si>
  <si>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</si>
  <si>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</si>
  <si>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</si>
  <si>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</si>
  <si>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</si>
  <si>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</si>
  <si>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</si>
  <si>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</si>
  <si>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</si>
  <si>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</si>
  <si>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</si>
  <si>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</si>
  <si>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</si>
  <si>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</si>
  <si>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</si>
  <si>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</si>
  <si>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</si>
  <si>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</si>
  <si>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</si>
  <si>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</si>
  <si>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</si>
  <si>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</si>
  <si>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</si>
  <si>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</si>
  <si>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</si>
  <si>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</si>
  <si>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</si>
  <si>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</si>
  <si>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</si>
  <si>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</si>
  <si>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</si>
  <si>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</si>
  <si>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</si>
  <si>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</si>
  <si>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</si>
  <si>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</si>
  <si>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</si>
  <si>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</si>
  <si>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</si>
  <si>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</si>
  <si>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</si>
  <si>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</si>
  <si>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</si>
  <si>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</si>
  <si>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</si>
  <si>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</si>
  <si>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</si>
  <si>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</si>
  <si>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</si>
  <si>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</si>
  <si>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</si>
  <si>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</si>
  <si>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</si>
  <si>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</si>
  <si>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</si>
  <si>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</si>
  <si>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</si>
  <si>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</si>
  <si>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</si>
  <si>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</si>
  <si>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</si>
  <si>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</si>
  <si>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</si>
  <si>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</si>
  <si>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</si>
  <si>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</si>
  <si>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</si>
  <si>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</si>
  <si>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</si>
  <si>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</si>
  <si>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</si>
  <si>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</si>
  <si>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</si>
  <si>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</si>
  <si>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</si>
  <si>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</si>
  <si>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</si>
  <si>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</si>
  <si>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</si>
  <si>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</si>
  <si>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</si>
  <si>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</si>
  <si>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</si>
  <si>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</si>
  <si>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</si>
  <si>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</si>
  <si>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</si>
  <si>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</si>
  <si>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</si>
  <si>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</si>
  <si>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</si>
  <si>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</si>
  <si>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</si>
  <si>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</si>
  <si>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</si>
  <si>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</si>
  <si>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</si>
  <si>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</si>
  <si>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</si>
  <si>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</si>
  <si>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</si>
  <si>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</si>
  <si>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</si>
  <si>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</si>
  <si>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</si>
  <si>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</si>
  <si>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</si>
  <si>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</si>
  <si>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</si>
  <si>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</si>
  <si>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</si>
  <si>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</si>
  <si>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</si>
  <si>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</si>
  <si>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</si>
  <si>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</si>
  <si>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</si>
  <si>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</si>
  <si>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</si>
  <si>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</si>
  <si>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</si>
  <si>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</si>
  <si>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</si>
  <si>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</si>
  <si>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</si>
  <si>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</si>
  <si>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</si>
  <si>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</si>
  <si>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</si>
  <si>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</si>
  <si>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</si>
  <si>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</si>
  <si>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</si>
  <si>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</si>
  <si>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</si>
  <si>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</si>
  <si>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</si>
  <si>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</si>
  <si>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</si>
  <si>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</si>
  <si>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</si>
  <si>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</si>
  <si>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</si>
  <si>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</si>
  <si>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</si>
  <si>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</si>
  <si>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</si>
  <si>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</si>
  <si>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</si>
  <si>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</si>
  <si>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</si>
  <si>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</si>
  <si>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</si>
  <si>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</si>
  <si>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</si>
  <si>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</si>
  <si>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</si>
  <si>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</si>
  <si>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</si>
  <si>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</si>
  <si>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</si>
  <si>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</si>
  <si>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</si>
  <si>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</si>
  <si>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</si>
  <si>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</si>
  <si>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</si>
  <si>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</si>
  <si>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</si>
  <si>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</si>
  <si>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</si>
  <si>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</si>
  <si>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</si>
  <si>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</si>
  <si>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</si>
  <si>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</si>
  <si>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</si>
  <si>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</si>
  <si>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</si>
  <si>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</si>
  <si>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</si>
  <si>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</si>
  <si>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</si>
  <si>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</si>
  <si>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</si>
  <si>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</si>
  <si>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</si>
  <si>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</si>
  <si>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</si>
  <si>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</si>
  <si>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</si>
  <si>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</si>
  <si>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</si>
  <si>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</si>
  <si>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</si>
  <si>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</si>
  <si>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</si>
  <si>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</si>
  <si>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</si>
  <si>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</si>
  <si>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</si>
  <si>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</si>
  <si>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</si>
  <si>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</si>
  <si>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</si>
  <si>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</si>
  <si>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</si>
  <si>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</si>
  <si>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</si>
  <si>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</si>
  <si>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</si>
  <si>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</si>
  <si>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</si>
  <si>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</si>
  <si>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</si>
  <si>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</si>
  <si>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</si>
  <si>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</si>
  <si>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</si>
  <si>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</si>
  <si>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</si>
  <si>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</si>
  <si>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</si>
  <si>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</si>
  <si>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</si>
  <si>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</si>
  <si>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</si>
  <si>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</si>
  <si>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</si>
  <si>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</si>
  <si>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</si>
  <si>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</si>
  <si>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</si>
  <si>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</si>
  <si>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</si>
  <si>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</si>
  <si>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</si>
  <si>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</si>
  <si>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</si>
  <si>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</si>
  <si>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</si>
  <si>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</si>
  <si>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</si>
  <si>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</si>
  <si>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</si>
  <si>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</si>
  <si>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</si>
  <si>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</si>
  <si>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</si>
  <si>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</si>
  <si>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</si>
  <si>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</si>
  <si>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</si>
  <si>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</si>
  <si>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</si>
  <si>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</si>
  <si>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</si>
  <si>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</si>
  <si>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</si>
  <si>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</si>
  <si>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</si>
  <si>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</si>
  <si>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</si>
  <si>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</si>
  <si>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</si>
  <si>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</si>
  <si>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</si>
  <si>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</si>
  <si>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</si>
  <si>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</si>
  <si>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</si>
  <si>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</si>
  <si>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</si>
  <si>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</si>
  <si>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</si>
  <si>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</si>
  <si>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</si>
  <si>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</si>
  <si>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</si>
  <si>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</si>
  <si>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</si>
  <si>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</si>
  <si>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</si>
  <si>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</si>
  <si>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</si>
  <si>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</si>
  <si>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</si>
  <si>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</si>
  <si>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</si>
  <si>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</si>
  <si>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</si>
  <si>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</si>
  <si>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</si>
  <si>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</si>
  <si>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</si>
  <si>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</si>
  <si>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</si>
  <si>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</si>
  <si>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</si>
  <si>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</si>
  <si>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</si>
  <si>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</si>
  <si>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</si>
  <si>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</si>
  <si>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</si>
  <si>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</si>
  <si>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</si>
  <si>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</si>
  <si>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</si>
  <si>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</si>
  <si>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</si>
  <si>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</si>
  <si>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</si>
  <si>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</si>
  <si>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</si>
  <si>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</si>
  <si>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</si>
  <si>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</si>
  <si>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</si>
  <si>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</si>
  <si>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</si>
  <si>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</si>
  <si>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</si>
  <si>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</si>
  <si>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</si>
  <si>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</si>
  <si>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</si>
  <si>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</si>
  <si>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</si>
  <si>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</si>
  <si>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</si>
  <si>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</si>
  <si>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</si>
  <si>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</si>
  <si>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</si>
  <si>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</si>
  <si>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</si>
  <si>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</si>
  <si>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</si>
  <si>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</si>
  <si>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</si>
  <si>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</si>
  <si>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</si>
  <si>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</si>
  <si>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</si>
  <si>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</si>
  <si>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</si>
  <si>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</si>
  <si>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</si>
  <si>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</si>
  <si>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</si>
  <si>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</si>
  <si>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</si>
  <si>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</si>
  <si>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</si>
  <si>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</si>
  <si>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</si>
  <si>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</si>
  <si>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</si>
  <si>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</si>
  <si>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</si>
  <si>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</si>
  <si>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</si>
  <si>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</si>
  <si>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</si>
  <si>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</si>
  <si>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</si>
  <si>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</si>
  <si>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</si>
  <si>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</si>
  <si>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</si>
  <si>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</si>
  <si>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</si>
  <si>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</si>
  <si>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</si>
  <si>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</si>
  <si>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</si>
  <si>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</si>
  <si>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</si>
  <si>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</si>
  <si>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</si>
  <si>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</si>
  <si>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</si>
  <si>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</si>
  <si>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</si>
  <si>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</si>
  <si>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</si>
  <si>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</si>
  <si>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</si>
  <si>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</si>
  <si>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</si>
  <si>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</si>
  <si>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</si>
  <si>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</si>
  <si>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</si>
  <si>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</si>
  <si>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</si>
  <si>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</si>
  <si>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</si>
  <si>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</si>
  <si>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</si>
  <si>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</si>
  <si>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</si>
  <si>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</si>
  <si>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</si>
  <si>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</si>
  <si>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</si>
  <si>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</si>
  <si>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</si>
  <si>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</si>
  <si>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</si>
  <si>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</si>
  <si>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</si>
  <si>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</si>
  <si>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</si>
  <si>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</si>
  <si>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</si>
  <si>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</si>
  <si>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</si>
  <si>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</si>
  <si>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</si>
  <si>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</si>
  <si>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</si>
  <si>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</si>
  <si>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</si>
  <si>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</si>
  <si>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</si>
  <si>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</si>
  <si>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</si>
  <si>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</si>
  <si>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</si>
  <si>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</si>
  <si>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</si>
  <si>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</si>
  <si>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</si>
  <si>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</si>
  <si>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</si>
  <si>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</si>
  <si>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</si>
  <si>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</si>
  <si>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</si>
  <si>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</si>
  <si>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</si>
  <si>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</si>
  <si>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</si>
  <si>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</si>
  <si>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</si>
  <si>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</si>
  <si>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</si>
  <si>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</si>
  <si>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</si>
  <si>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</si>
  <si>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</si>
  <si>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</si>
  <si>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</si>
  <si>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</si>
  <si>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</si>
  <si>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</si>
  <si>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</si>
  <si>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</si>
  <si>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</si>
  <si>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</si>
  <si>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</si>
  <si>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</si>
  <si>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</si>
  <si>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</si>
  <si>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</si>
  <si>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</si>
  <si>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</si>
  <si>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</si>
  <si>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</si>
  <si>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</si>
  <si>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</si>
  <si>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</si>
  <si>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</si>
  <si>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</si>
  <si>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</si>
  <si>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</si>
  <si>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</si>
  <si>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</si>
  <si>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</si>
  <si>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</si>
  <si>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</si>
  <si>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</si>
  <si>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</si>
  <si>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</si>
  <si>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</si>
  <si>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</si>
  <si>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</si>
  <si>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</si>
  <si>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</si>
  <si>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</si>
  <si>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</si>
  <si>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</si>
  <si>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</si>
  <si>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</si>
  <si>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</si>
  <si>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</si>
  <si>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</si>
  <si>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</si>
  <si>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</si>
  <si>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</si>
  <si>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</si>
  <si>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</si>
  <si>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</si>
  <si>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</si>
  <si>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</si>
  <si>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</si>
  <si>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</si>
  <si>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</si>
  <si>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</si>
  <si>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</si>
  <si>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</si>
  <si>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</si>
  <si>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</si>
  <si>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</si>
  <si>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</si>
  <si>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</si>
  <si>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</si>
  <si>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</si>
  <si>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</si>
  <si>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</si>
  <si>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</si>
  <si>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</si>
  <si>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</si>
  <si>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</si>
  <si>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</si>
  <si>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Count of TX ID</t>
  </si>
  <si>
    <t>Sum of Quantity</t>
  </si>
  <si>
    <t>Sum of Amount</t>
  </si>
  <si>
    <t>Average of Rating C</t>
  </si>
  <si>
    <t>Average of Days to Deliver</t>
  </si>
  <si>
    <t>values for display</t>
  </si>
  <si>
    <t>Order</t>
  </si>
  <si>
    <t>Qty</t>
  </si>
  <si>
    <t>Avg rating</t>
  </si>
  <si>
    <t>Avg Days</t>
  </si>
  <si>
    <t xml:space="preserve">Amount </t>
  </si>
  <si>
    <t>Row Labels</t>
  </si>
  <si>
    <t>Grand Total</t>
  </si>
  <si>
    <t>Female</t>
  </si>
  <si>
    <t>Male</t>
  </si>
  <si>
    <t>Unknown</t>
  </si>
  <si>
    <t>Other</t>
  </si>
  <si>
    <t>Column Labels</t>
  </si>
  <si>
    <t>For Matrix</t>
  </si>
  <si>
    <t>6-10</t>
  </si>
  <si>
    <t>11-87</t>
  </si>
  <si>
    <t>California Total</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</si>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</sst>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9"/>
        <bgColor indexed="64"/>
      </patternFill>
    </fill>
    <fill>
      <patternFill patternType="solid">
        <fgColor theme="0"/>
        <bgColor indexed="64"/>
      </patternFill>
    </fill>
    <fill>
      <patternFill patternType="solid">
        <fgColor theme="0" tint="-0.249977111117893"/>
        <bgColor indexed="64"/>
      </patternFill>
    </fill>
  </fills>
  <borders count="2">
    <border>
      <left/>
      <right/>
      <top/>
      <bottom/>
      <diagonal/>
    </border>
    <border>
      <left style="thick">
        <color indexed="64"/>
      </left>
      <right style="thick">
        <color indexed="64"/>
      </right>
      <top style="thick">
        <color indexed="64"/>
      </top>
      <bottom style="thick">
        <color indexed="64"/>
      </bottom>
      <diagonal/>
    </border>
  </borders>
  <cellStyleXfs count="1">
    <xf numFmtId="0" fontId="0" fillId="0" borderId="0"/>
  </cellStyleXfs>
  <cellXfs count="15">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9" fontId="0" fillId="0" borderId="0" xfId="0" pivotButton="1" applyNumberFormat="1"/>
    <xf numFmtId="10" fontId="0" fillId="0" borderId="0" xfId="0" applyNumberFormat="1"/>
    <xf numFmtId="0" fontId="0" fillId="3" borderId="1" xfId="0" applyFill="1" applyBorder="1"/>
    <xf numFmtId="10" fontId="0" fillId="3" borderId="1" xfId="0" applyNumberFormat="1" applyFill="1" applyBorder="1"/>
    <xf numFmtId="14" fontId="0" fillId="0" borderId="0" xfId="0" applyNumberFormat="1"/>
    <xf numFmtId="0" fontId="0" fillId="4" borderId="0" xfId="0" applyFill="1"/>
  </cellXfs>
  <cellStyles count="1">
    <cellStyle name="Normal" xfId="0" builtinId="0"/>
  </cellStyles>
  <dxfs count="9">
    <dxf>
      <numFmt numFmtId="0" formatCode="General"/>
    </dxf>
    <dxf>
      <numFmt numFmtId="0" formatCode="General"/>
    </dxf>
    <dxf>
      <numFmt numFmtId="0" formatCode="General"/>
    </dxf>
    <dxf>
      <numFmt numFmtId="20" formatCode="d\-mmm\-yy"/>
    </dxf>
    <dxf>
      <numFmt numFmtId="20" formatCode="d\-mmm\-yy"/>
    </dxf>
    <dxf>
      <numFmt numFmtId="14" formatCode="0.00%"/>
    </dxf>
    <dxf>
      <numFmt numFmtId="13" formatCode="0%"/>
    </dxf>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[commerce.xlsx]pivot!amount sold</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600" b="1">
                <a:solidFill>
                  <a:schemeClr val="accent3"/>
                </a:solidFill>
              </a:rPr>
              <a:t>Trend in the last 13 weeks</a:t>
            </a: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5">
                <a:lumMod val="20000"/>
                <a:lumOff val="80000"/>
              </a:schemeClr>
            </a:solidFill>
            <a:round/>
          </a:ln>
          <a:effectLst/>
        </c:spPr>
        <c:marker>
          <c:symbol val="none"/>
        </c:marker>
      </c:pivotFmt>
    </c:pivotFmts>
    <c:plotArea>
      <c:layout/>
      <c:lineChart>
        <c:grouping val="standard"/>
        <c:varyColors val="0"/>
        <c:ser>
          <c:idx val="1"/>
          <c:order val="1"/>
          <c:tx>
            <c:strRef>
              <c:f>pivot!$C$10</c:f>
              <c:strCache>
                <c:ptCount val="1"/>
                <c:pt idx="0">
                  <c:v>Sum of Amount</c:v>
                </c:pt>
              </c:strCache>
            </c:strRef>
          </c:tx>
          <c:spPr>
            <a:ln w="28575" cap="rnd">
              <a:solidFill>
                <a:schemeClr val="accent2"/>
              </a:solidFill>
              <a:round/>
            </a:ln>
            <a:effectLst/>
          </c:spPr>
          <c:marker>
            <c:symbol val="none"/>
          </c:marker>
          <c:cat>
            <c:strRef>
              <c:f>pivot!$A$11:$A$24</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pivot!$C$11:$C$24</c:f>
              <c:numCache>
                <c:formatCode>"$"#,##0.00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0-A544-47F7-8919-7BF32220C038}"/>
            </c:ext>
          </c:extLst>
        </c:ser>
        <c:dLbls>
          <c:showLegendKey val="0"/>
          <c:showVal val="0"/>
          <c:showCatName val="0"/>
          <c:showSerName val="0"/>
          <c:showPercent val="0"/>
          <c:showBubbleSize val="0"/>
        </c:dLbls>
        <c:marker val="1"/>
        <c:smooth val="0"/>
        <c:axId val="1237478959"/>
        <c:axId val="1352724767"/>
      </c:lineChart>
      <c:lineChart>
        <c:grouping val="standard"/>
        <c:varyColors val="0"/>
        <c:ser>
          <c:idx val="0"/>
          <c:order val="0"/>
          <c:tx>
            <c:strRef>
              <c:f>pivot!$B$10</c:f>
              <c:strCache>
                <c:ptCount val="1"/>
                <c:pt idx="0">
                  <c:v>Sum of Quantity</c:v>
                </c:pt>
              </c:strCache>
            </c:strRef>
          </c:tx>
          <c:spPr>
            <a:ln w="28575" cap="rnd">
              <a:solidFill>
                <a:schemeClr val="accent5">
                  <a:lumMod val="20000"/>
                  <a:lumOff val="80000"/>
                </a:schemeClr>
              </a:solidFill>
              <a:round/>
            </a:ln>
            <a:effectLst/>
          </c:spPr>
          <c:marker>
            <c:symbol val="none"/>
          </c:marker>
          <c:cat>
            <c:strRef>
              <c:f>pivot!$A$11:$A$24</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pivot!$B$11:$B$24</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1-A544-47F7-8919-7BF32220C038}"/>
            </c:ext>
          </c:extLst>
        </c:ser>
        <c:dLbls>
          <c:showLegendKey val="0"/>
          <c:showVal val="0"/>
          <c:showCatName val="0"/>
          <c:showSerName val="0"/>
          <c:showPercent val="0"/>
          <c:showBubbleSize val="0"/>
        </c:dLbls>
        <c:marker val="1"/>
        <c:smooth val="0"/>
        <c:axId val="1351418223"/>
        <c:axId val="1352734335"/>
      </c:lineChart>
      <c:catAx>
        <c:axId val="1237478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52724767"/>
        <c:crosses val="autoZero"/>
        <c:auto val="1"/>
        <c:lblAlgn val="ctr"/>
        <c:lblOffset val="100"/>
        <c:noMultiLvlLbl val="0"/>
      </c:catAx>
      <c:valAx>
        <c:axId val="13527247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237478959"/>
        <c:crosses val="autoZero"/>
        <c:crossBetween val="between"/>
      </c:valAx>
      <c:valAx>
        <c:axId val="135273433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351418223"/>
        <c:crosses val="max"/>
        <c:crossBetween val="between"/>
      </c:valAx>
      <c:catAx>
        <c:axId val="1351418223"/>
        <c:scaling>
          <c:orientation val="minMax"/>
        </c:scaling>
        <c:delete val="1"/>
        <c:axPos val="b"/>
        <c:numFmt formatCode="General" sourceLinked="1"/>
        <c:majorTickMark val="out"/>
        <c:minorTickMark val="none"/>
        <c:tickLblPos val="nextTo"/>
        <c:crossAx val="135273433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[commerce.xlsx]pivot!popular product</c:name>
    <c:fmtId val="8"/>
  </c:pivotSource>
  <c:chart>
    <c:title>
      <c:tx>
        <c:rich>
          <a:bodyPr rot="0" spcFirstLastPara="1" vertOverflow="ellipsis" vert="horz" wrap="square" anchor="ctr" anchorCtr="1"/>
          <a:lstStyle/>
          <a:p>
            <a:pPr>
              <a:defRPr sz="1320" b="0" i="0" u="none" strike="noStrike" kern="1200" spc="0" baseline="0">
                <a:solidFill>
                  <a:schemeClr val="bg1"/>
                </a:solidFill>
                <a:latin typeface="+mn-lt"/>
                <a:ea typeface="+mn-ea"/>
                <a:cs typeface="+mn-cs"/>
              </a:defRPr>
            </a:pPr>
            <a:r>
              <a:rPr lang="en-US" b="1">
                <a:solidFill>
                  <a:schemeClr val="accent3"/>
                </a:solidFill>
              </a:rPr>
              <a:t>Which products are popular?</a:t>
            </a:r>
          </a:p>
        </c:rich>
      </c:tx>
      <c:overlay val="0"/>
      <c:spPr>
        <a:solidFill>
          <a:schemeClr val="bg1"/>
        </a:solidFill>
        <a:ln>
          <a:noFill/>
        </a:ln>
        <a:effectLst/>
      </c:spPr>
      <c:txPr>
        <a:bodyPr rot="0" spcFirstLastPara="1" vertOverflow="ellipsis" vert="horz" wrap="square" anchor="ctr" anchorCtr="1"/>
        <a:lstStyle/>
        <a:p>
          <a:pPr>
            <a:defRPr sz="132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6">
              <a:lumMod val="60000"/>
              <a:lumOff val="40000"/>
            </a:schemeClr>
          </a:solidFill>
          <a:ln>
            <a:noFill/>
          </a:ln>
          <a:effectLst/>
        </c:spPr>
        <c:marker>
          <c:symbol val="none"/>
        </c:marker>
      </c:pivotFmt>
      <c:pivotFmt>
        <c:idx val="11"/>
        <c:spPr>
          <a:solidFill>
            <a:schemeClr val="accent1"/>
          </a:solidFill>
          <a:ln>
            <a:noFill/>
          </a:ln>
          <a:effectLst/>
        </c:spPr>
        <c:marker>
          <c:symbol val="none"/>
        </c:marker>
      </c:pivotFmt>
    </c:pivotFmts>
    <c:plotArea>
      <c:layout>
        <c:manualLayout>
          <c:layoutTarget val="inner"/>
          <c:xMode val="edge"/>
          <c:yMode val="edge"/>
          <c:x val="4.3446284702711023E-2"/>
          <c:y val="0.17734883587554282"/>
          <c:w val="0.77697108922256242"/>
          <c:h val="0.71145112128835175"/>
        </c:manualLayout>
      </c:layout>
      <c:barChart>
        <c:barDir val="bar"/>
        <c:grouping val="stacked"/>
        <c:varyColors val="0"/>
        <c:ser>
          <c:idx val="0"/>
          <c:order val="0"/>
          <c:tx>
            <c:strRef>
              <c:f>pivot!$I$10:$I$11</c:f>
              <c:strCache>
                <c:ptCount val="1"/>
              </c:strCache>
            </c:strRef>
          </c:tx>
          <c:spPr>
            <a:solidFill>
              <a:schemeClr val="accent1"/>
            </a:solidFill>
            <a:ln>
              <a:noFill/>
            </a:ln>
            <a:effectLst/>
          </c:spPr>
          <c:invertIfNegative val="0"/>
          <c:cat>
            <c:strRef>
              <c:f>pivot!$H$12:$H$32</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pivot!$I$12:$I$32</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0-A793-409F-A1EE-19D1D1FF9130}"/>
            </c:ext>
          </c:extLst>
        </c:ser>
        <c:ser>
          <c:idx val="1"/>
          <c:order val="1"/>
          <c:tx>
            <c:strRef>
              <c:f>pivot!$J$10:$J$11</c:f>
              <c:strCache>
                <c:ptCount val="1"/>
                <c:pt idx="0">
                  <c:v>F</c:v>
                </c:pt>
              </c:strCache>
            </c:strRef>
          </c:tx>
          <c:spPr>
            <a:solidFill>
              <a:schemeClr val="accent2"/>
            </a:solidFill>
            <a:ln>
              <a:noFill/>
            </a:ln>
            <a:effectLst/>
          </c:spPr>
          <c:invertIfNegative val="0"/>
          <c:cat>
            <c:strRef>
              <c:f>pivot!$H$12:$H$32</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pivot!$J$12:$J$32</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F-DC91-41FD-9A21-11F8893B2986}"/>
            </c:ext>
          </c:extLst>
        </c:ser>
        <c:ser>
          <c:idx val="2"/>
          <c:order val="2"/>
          <c:tx>
            <c:strRef>
              <c:f>pivot!$K$10:$K$11</c:f>
              <c:strCache>
                <c:ptCount val="1"/>
                <c:pt idx="0">
                  <c:v>M</c:v>
                </c:pt>
              </c:strCache>
            </c:strRef>
          </c:tx>
          <c:spPr>
            <a:solidFill>
              <a:schemeClr val="accent6">
                <a:lumMod val="60000"/>
                <a:lumOff val="40000"/>
              </a:schemeClr>
            </a:solidFill>
            <a:ln>
              <a:noFill/>
            </a:ln>
            <a:effectLst/>
          </c:spPr>
          <c:invertIfNegative val="0"/>
          <c:cat>
            <c:strRef>
              <c:f>pivot!$H$12:$H$32</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pivot!$K$12:$K$32</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10-DC91-41FD-9A21-11F8893B2986}"/>
            </c:ext>
          </c:extLst>
        </c:ser>
        <c:ser>
          <c:idx val="3"/>
          <c:order val="3"/>
          <c:tx>
            <c:strRef>
              <c:f>pivot!$L$10:$L$11</c:f>
              <c:strCache>
                <c:ptCount val="1"/>
                <c:pt idx="0">
                  <c:v>O</c:v>
                </c:pt>
              </c:strCache>
            </c:strRef>
          </c:tx>
          <c:spPr>
            <a:solidFill>
              <a:schemeClr val="accent4"/>
            </a:solidFill>
            <a:ln>
              <a:noFill/>
            </a:ln>
            <a:effectLst/>
          </c:spPr>
          <c:invertIfNegative val="0"/>
          <c:cat>
            <c:strRef>
              <c:f>pivot!$H$12:$H$32</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pivot!$L$12:$L$32</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11-DC91-41FD-9A21-11F8893B2986}"/>
            </c:ext>
          </c:extLst>
        </c:ser>
        <c:dLbls>
          <c:showLegendKey val="0"/>
          <c:showVal val="0"/>
          <c:showCatName val="0"/>
          <c:showSerName val="0"/>
          <c:showPercent val="0"/>
          <c:showBubbleSize val="0"/>
        </c:dLbls>
        <c:gapWidth val="46"/>
        <c:overlap val="100"/>
        <c:axId val="1358635343"/>
        <c:axId val="1230948527"/>
      </c:barChart>
      <c:catAx>
        <c:axId val="1358635343"/>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230948527"/>
        <c:crosses val="autoZero"/>
        <c:auto val="1"/>
        <c:lblAlgn val="ctr"/>
        <c:lblOffset val="100"/>
        <c:noMultiLvlLbl val="0"/>
      </c:catAx>
      <c:valAx>
        <c:axId val="1230948527"/>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3586353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sz="110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[commerce.xlsx]pivot!Gender</c:name>
    <c:fmtId val="1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800" b="0" i="0" baseline="0">
                <a:solidFill>
                  <a:schemeClr val="bg1"/>
                </a:solidFill>
                <a:effectLst/>
              </a:rPr>
              <a:t>Overall gender split</a:t>
            </a:r>
            <a:endParaRPr lang="en-US">
              <a:solidFill>
                <a:schemeClr val="bg1"/>
              </a:solidFill>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effectLst/>
            </a:endParaRPr>
          </a:p>
        </c:rich>
      </c:tx>
      <c:layout>
        <c:manualLayout>
          <c:xMode val="edge"/>
          <c:yMode val="edge"/>
          <c:x val="0.36927790087361623"/>
          <c:y val="0"/>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7.2222222222222215E-2"/>
              <c:y val="-8.79629629629629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4"/>
          </a:solidFill>
          <a:ln w="19050">
            <a:solidFill>
              <a:schemeClr val="lt1"/>
            </a:solidFill>
          </a:ln>
          <a:effectLst/>
        </c:spPr>
        <c:dLbl>
          <c:idx val="0"/>
          <c:layout>
            <c:manualLayout>
              <c:x val="-4.1666666666666664E-2"/>
              <c:y val="-0.1064814814814814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3"/>
          </a:solidFill>
          <a:ln w="19050">
            <a:solidFill>
              <a:schemeClr val="lt1"/>
            </a:solidFill>
          </a:ln>
          <a:effectLst/>
        </c:spPr>
        <c:dLbl>
          <c:idx val="0"/>
          <c:layout>
            <c:manualLayout>
              <c:x val="-5.555555555555558E-2"/>
              <c:y val="-7.407407407407402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2"/>
          </a:solidFill>
          <a:ln w="19050">
            <a:solidFill>
              <a:schemeClr val="lt1"/>
            </a:solidFill>
          </a:ln>
          <a:effectLst/>
        </c:spPr>
        <c:dLbl>
          <c:idx val="0"/>
          <c:layout>
            <c:manualLayout>
              <c:x val="4.4444444444444446E-2"/>
              <c:y val="7.407407407407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7.2222222222222215E-2"/>
              <c:y val="-8.79629629629629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4.4444444444444446E-2"/>
              <c:y val="7.407407407407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5.555555555555558E-2"/>
              <c:y val="-7.407407407407402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4.1666666666666664E-2"/>
              <c:y val="-0.1064814814814814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dLbl>
          <c:idx val="0"/>
          <c:layout>
            <c:manualLayout>
              <c:x val="-0.10833333333333334"/>
              <c:y val="-0.18215713222265684"/>
            </c:manualLayout>
          </c:layout>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pivot!$P$10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6D7-4523-97ED-FB5C8B74573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6D7-4523-97ED-FB5C8B74573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6D7-4523-97ED-FB5C8B74573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6D7-4523-97ED-FB5C8B74573B}"/>
              </c:ext>
            </c:extLst>
          </c:dPt>
          <c:dLbls>
            <c:dLbl>
              <c:idx val="3"/>
              <c:layout>
                <c:manualLayout>
                  <c:x val="-0.10833333333333334"/>
                  <c:y val="-0.1821571322226568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26D7-4523-97ED-FB5C8B74573B}"/>
                </c:ext>
              </c:extLst>
            </c:dLbl>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pivot!$O$11:$O$15</c:f>
              <c:strCache>
                <c:ptCount val="4"/>
                <c:pt idx="1">
                  <c:v>F</c:v>
                </c:pt>
                <c:pt idx="2">
                  <c:v>M</c:v>
                </c:pt>
                <c:pt idx="3">
                  <c:v>O</c:v>
                </c:pt>
              </c:strCache>
            </c:strRef>
          </c:cat>
          <c:val>
            <c:numRef>
              <c:f>pivot!$P$11:$P$15</c:f>
              <c:numCache>
                <c:formatCode>General</c:formatCode>
                <c:ptCount val="4"/>
                <c:pt idx="0">
                  <c:v>736</c:v>
                </c:pt>
                <c:pt idx="1">
                  <c:v>6272</c:v>
                </c:pt>
                <c:pt idx="2">
                  <c:v>4672</c:v>
                </c:pt>
                <c:pt idx="3">
                  <c:v>317</c:v>
                </c:pt>
              </c:numCache>
            </c:numRef>
          </c:val>
          <c:extLst>
            <c:ext xmlns:c16="http://schemas.microsoft.com/office/drawing/2014/chart" uri="{C3380CC4-5D6E-409C-BE32-E72D297353CC}">
              <c16:uniqueId val="{00000008-26D7-4523-97ED-FB5C8B74573B}"/>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[commerce.xlsx]pivot!delivery days</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How long we take to ship the orders</a:t>
            </a: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5">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pivot!$C$29</c:f>
              <c:strCache>
                <c:ptCount val="1"/>
                <c:pt idx="0">
                  <c:v>Total</c:v>
                </c:pt>
              </c:strCache>
            </c:strRef>
          </c:tx>
          <c:spPr>
            <a:solidFill>
              <a:schemeClr val="accent5">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pivot!$B$30:$B$45</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pivot!$C$30:$C$45</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6342-4128-850D-7887FD3370B5}"/>
            </c:ext>
          </c:extLst>
        </c:ser>
        <c:dLbls>
          <c:dLblPos val="outEnd"/>
          <c:showLegendKey val="0"/>
          <c:showVal val="1"/>
          <c:showCatName val="0"/>
          <c:showSerName val="0"/>
          <c:showPercent val="0"/>
          <c:showBubbleSize val="0"/>
        </c:dLbls>
        <c:gapWidth val="30"/>
        <c:overlap val="-49"/>
        <c:axId val="782472288"/>
        <c:axId val="531754928"/>
      </c:barChart>
      <c:catAx>
        <c:axId val="782472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531754928"/>
        <c:crosses val="autoZero"/>
        <c:auto val="1"/>
        <c:lblAlgn val="ctr"/>
        <c:lblOffset val="100"/>
        <c:noMultiLvlLbl val="0"/>
      </c:catAx>
      <c:valAx>
        <c:axId val="531754928"/>
        <c:scaling>
          <c:orientation val="minMax"/>
        </c:scaling>
        <c:delete val="1"/>
        <c:axPos val="l"/>
        <c:numFmt formatCode="General" sourceLinked="1"/>
        <c:majorTickMark val="none"/>
        <c:minorTickMark val="none"/>
        <c:tickLblPos val="nextTo"/>
        <c:crossAx val="7824722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accent1">
          <a:shade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[commerce.xlsx]pivot!rating</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How happy are our customers?</a:t>
            </a: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pivot!$F$35:$F$36</c:f>
              <c:strCache>
                <c:ptCount val="1"/>
                <c:pt idx="0">
                  <c:v>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pivot!$E$37:$E$40</c:f>
              <c:strCache>
                <c:ptCount val="3"/>
                <c:pt idx="0">
                  <c:v>Jan</c:v>
                </c:pt>
                <c:pt idx="1">
                  <c:v>Feb</c:v>
                </c:pt>
                <c:pt idx="2">
                  <c:v>Mar</c:v>
                </c:pt>
              </c:strCache>
            </c:strRef>
          </c:cat>
          <c:val>
            <c:numRef>
              <c:f>pivot!$F$37:$F$40</c:f>
              <c:numCache>
                <c:formatCode>General</c:formatCode>
                <c:ptCount val="3"/>
                <c:pt idx="0">
                  <c:v>7</c:v>
                </c:pt>
                <c:pt idx="1">
                  <c:v>8</c:v>
                </c:pt>
                <c:pt idx="2">
                  <c:v>6</c:v>
                </c:pt>
              </c:numCache>
            </c:numRef>
          </c:val>
          <c:extLst>
            <c:ext xmlns:c16="http://schemas.microsoft.com/office/drawing/2014/chart" uri="{C3380CC4-5D6E-409C-BE32-E72D297353CC}">
              <c16:uniqueId val="{00000000-8C5B-4A26-A8B5-D447237731B4}"/>
            </c:ext>
          </c:extLst>
        </c:ser>
        <c:ser>
          <c:idx val="1"/>
          <c:order val="1"/>
          <c:tx>
            <c:strRef>
              <c:f>pivot!$G$35:$G$36</c:f>
              <c:strCache>
                <c:ptCount val="1"/>
                <c:pt idx="0">
                  <c:v>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pivot!$E$37:$E$40</c:f>
              <c:strCache>
                <c:ptCount val="3"/>
                <c:pt idx="0">
                  <c:v>Jan</c:v>
                </c:pt>
                <c:pt idx="1">
                  <c:v>Feb</c:v>
                </c:pt>
                <c:pt idx="2">
                  <c:v>Mar</c:v>
                </c:pt>
              </c:strCache>
            </c:strRef>
          </c:cat>
          <c:val>
            <c:numRef>
              <c:f>pivot!$G$37:$G$40</c:f>
              <c:numCache>
                <c:formatCode>General</c:formatCode>
                <c:ptCount val="3"/>
                <c:pt idx="0">
                  <c:v>37</c:v>
                </c:pt>
                <c:pt idx="1">
                  <c:v>51</c:v>
                </c:pt>
                <c:pt idx="2">
                  <c:v>39</c:v>
                </c:pt>
              </c:numCache>
            </c:numRef>
          </c:val>
          <c:extLst>
            <c:ext xmlns:c16="http://schemas.microsoft.com/office/drawing/2014/chart" uri="{C3380CC4-5D6E-409C-BE32-E72D297353CC}">
              <c16:uniqueId val="{00000001-8C5B-4A26-A8B5-D447237731B4}"/>
            </c:ext>
          </c:extLst>
        </c:ser>
        <c:ser>
          <c:idx val="2"/>
          <c:order val="2"/>
          <c:tx>
            <c:strRef>
              <c:f>pivot!$H$35:$H$36</c:f>
              <c:strCache>
                <c:ptCount val="1"/>
                <c:pt idx="0">
                  <c:v>3</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pivot!$E$37:$E$40</c:f>
              <c:strCache>
                <c:ptCount val="3"/>
                <c:pt idx="0">
                  <c:v>Jan</c:v>
                </c:pt>
                <c:pt idx="1">
                  <c:v>Feb</c:v>
                </c:pt>
                <c:pt idx="2">
                  <c:v>Mar</c:v>
                </c:pt>
              </c:strCache>
            </c:strRef>
          </c:cat>
          <c:val>
            <c:numRef>
              <c:f>pivot!$H$37:$H$40</c:f>
              <c:numCache>
                <c:formatCode>General</c:formatCode>
                <c:ptCount val="3"/>
                <c:pt idx="0">
                  <c:v>150</c:v>
                </c:pt>
                <c:pt idx="1">
                  <c:v>182</c:v>
                </c:pt>
                <c:pt idx="2">
                  <c:v>163</c:v>
                </c:pt>
              </c:numCache>
            </c:numRef>
          </c:val>
          <c:extLst>
            <c:ext xmlns:c16="http://schemas.microsoft.com/office/drawing/2014/chart" uri="{C3380CC4-5D6E-409C-BE32-E72D297353CC}">
              <c16:uniqueId val="{00000002-8C5B-4A26-A8B5-D447237731B4}"/>
            </c:ext>
          </c:extLst>
        </c:ser>
        <c:ser>
          <c:idx val="3"/>
          <c:order val="3"/>
          <c:tx>
            <c:strRef>
              <c:f>pivot!$I$35:$I$36</c:f>
              <c:strCache>
                <c:ptCount val="1"/>
                <c:pt idx="0">
                  <c:v>4</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pivot!$E$37:$E$40</c:f>
              <c:strCache>
                <c:ptCount val="3"/>
                <c:pt idx="0">
                  <c:v>Jan</c:v>
                </c:pt>
                <c:pt idx="1">
                  <c:v>Feb</c:v>
                </c:pt>
                <c:pt idx="2">
                  <c:v>Mar</c:v>
                </c:pt>
              </c:strCache>
            </c:strRef>
          </c:cat>
          <c:val>
            <c:numRef>
              <c:f>pivot!$I$37:$I$40</c:f>
              <c:numCache>
                <c:formatCode>General</c:formatCode>
                <c:ptCount val="3"/>
                <c:pt idx="0">
                  <c:v>312</c:v>
                </c:pt>
                <c:pt idx="1">
                  <c:v>373</c:v>
                </c:pt>
                <c:pt idx="2">
                  <c:v>351</c:v>
                </c:pt>
              </c:numCache>
            </c:numRef>
          </c:val>
          <c:extLst>
            <c:ext xmlns:c16="http://schemas.microsoft.com/office/drawing/2014/chart" uri="{C3380CC4-5D6E-409C-BE32-E72D297353CC}">
              <c16:uniqueId val="{00000003-8C5B-4A26-A8B5-D447237731B4}"/>
            </c:ext>
          </c:extLst>
        </c:ser>
        <c:ser>
          <c:idx val="4"/>
          <c:order val="4"/>
          <c:tx>
            <c:strRef>
              <c:f>pivot!$J$35:$J$36</c:f>
              <c:strCache>
                <c:ptCount val="1"/>
                <c:pt idx="0">
                  <c:v>5</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pivot!$E$37:$E$40</c:f>
              <c:strCache>
                <c:ptCount val="3"/>
                <c:pt idx="0">
                  <c:v>Jan</c:v>
                </c:pt>
                <c:pt idx="1">
                  <c:v>Feb</c:v>
                </c:pt>
                <c:pt idx="2">
                  <c:v>Mar</c:v>
                </c:pt>
              </c:strCache>
            </c:strRef>
          </c:cat>
          <c:val>
            <c:numRef>
              <c:f>pivot!$J$37:$J$40</c:f>
              <c:numCache>
                <c:formatCode>General</c:formatCode>
                <c:ptCount val="3"/>
                <c:pt idx="0">
                  <c:v>224</c:v>
                </c:pt>
                <c:pt idx="1">
                  <c:v>247</c:v>
                </c:pt>
                <c:pt idx="2">
                  <c:v>250</c:v>
                </c:pt>
              </c:numCache>
            </c:numRef>
          </c:val>
          <c:extLst>
            <c:ext xmlns:c16="http://schemas.microsoft.com/office/drawing/2014/chart" uri="{C3380CC4-5D6E-409C-BE32-E72D297353CC}">
              <c16:uniqueId val="{00000004-8C5B-4A26-A8B5-D447237731B4}"/>
            </c:ext>
          </c:extLst>
        </c:ser>
        <c:dLbls>
          <c:dLblPos val="outEnd"/>
          <c:showLegendKey val="0"/>
          <c:showVal val="1"/>
          <c:showCatName val="0"/>
          <c:showSerName val="0"/>
          <c:showPercent val="0"/>
          <c:showBubbleSize val="0"/>
        </c:dLbls>
        <c:gapWidth val="219"/>
        <c:overlap val="-27"/>
        <c:axId val="782471088"/>
        <c:axId val="536390096"/>
      </c:barChart>
      <c:catAx>
        <c:axId val="782471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536390096"/>
        <c:crosses val="autoZero"/>
        <c:auto val="1"/>
        <c:lblAlgn val="ctr"/>
        <c:lblOffset val="100"/>
        <c:noMultiLvlLbl val="0"/>
      </c:catAx>
      <c:valAx>
        <c:axId val="536390096"/>
        <c:scaling>
          <c:orientation val="minMax"/>
        </c:scaling>
        <c:delete val="1"/>
        <c:axPos val="l"/>
        <c:numFmt formatCode="General" sourceLinked="1"/>
        <c:majorTickMark val="none"/>
        <c:minorTickMark val="none"/>
        <c:tickLblPos val="nextTo"/>
        <c:crossAx val="782471088"/>
        <c:crosses val="autoZero"/>
        <c:crossBetween val="between"/>
      </c:valAx>
      <c:spPr>
        <a:noFill/>
        <a:ln>
          <a:noFill/>
        </a:ln>
        <a:effectLst/>
      </c:spPr>
    </c:plotArea>
    <c:legend>
      <c:legendPos val="b"/>
      <c:layout>
        <c:manualLayout>
          <c:xMode val="edge"/>
          <c:yMode val="edge"/>
          <c:x val="0.1798086878807805"/>
          <c:y val="0.7853089140196241"/>
          <c:w val="0.2666591585318448"/>
          <c:h val="0.1926901435778036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accent1">
          <a:shade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[commerce.xlsx]pivot!quantity</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How many Quantity customers tend to buy?</a:t>
            </a: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5">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pivot!$F$10</c:f>
              <c:strCache>
                <c:ptCount val="1"/>
                <c:pt idx="0">
                  <c:v>Total</c:v>
                </c:pt>
              </c:strCache>
            </c:strRef>
          </c:tx>
          <c:spPr>
            <a:solidFill>
              <a:schemeClr val="accent5">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pivot!$E$11:$E$18</c:f>
              <c:strCache>
                <c:ptCount val="7"/>
                <c:pt idx="0">
                  <c:v>1</c:v>
                </c:pt>
                <c:pt idx="1">
                  <c:v>2</c:v>
                </c:pt>
                <c:pt idx="2">
                  <c:v>3</c:v>
                </c:pt>
                <c:pt idx="3">
                  <c:v>4</c:v>
                </c:pt>
                <c:pt idx="4">
                  <c:v>5</c:v>
                </c:pt>
                <c:pt idx="5">
                  <c:v>6-10</c:v>
                </c:pt>
                <c:pt idx="6">
                  <c:v>11-87</c:v>
                </c:pt>
              </c:strCache>
            </c:strRef>
          </c:cat>
          <c:val>
            <c:numRef>
              <c:f>pivot!$F$11:$F$18</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FFE2-4C06-A39B-D8C3C909ED3D}"/>
            </c:ext>
          </c:extLst>
        </c:ser>
        <c:dLbls>
          <c:dLblPos val="outEnd"/>
          <c:showLegendKey val="0"/>
          <c:showVal val="1"/>
          <c:showCatName val="0"/>
          <c:showSerName val="0"/>
          <c:showPercent val="0"/>
          <c:showBubbleSize val="0"/>
        </c:dLbls>
        <c:gapWidth val="29"/>
        <c:overlap val="-27"/>
        <c:axId val="1314470895"/>
        <c:axId val="1352728927"/>
      </c:barChart>
      <c:catAx>
        <c:axId val="1314470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1352728927"/>
        <c:crosses val="autoZero"/>
        <c:auto val="1"/>
        <c:lblAlgn val="ctr"/>
        <c:lblOffset val="100"/>
        <c:noMultiLvlLbl val="0"/>
      </c:catAx>
      <c:valAx>
        <c:axId val="1352728927"/>
        <c:scaling>
          <c:orientation val="minMax"/>
        </c:scaling>
        <c:delete val="1"/>
        <c:axPos val="l"/>
        <c:numFmt formatCode="General" sourceLinked="1"/>
        <c:majorTickMark val="none"/>
        <c:minorTickMark val="none"/>
        <c:tickLblPos val="nextTo"/>
        <c:crossAx val="13144708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accent1">
          <a:shade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Where do our customers live?</cx:v>
        </cx:txData>
      </cx:tx>
      <cx:spPr>
        <a:solidFill>
          <a:schemeClr val="bg1"/>
        </a:solidFill>
      </cx:spPr>
      <cx:txPr>
        <a:bodyPr spcFirstLastPara="1" vertOverflow="ellipsis" horzOverflow="overflow" wrap="square" lIns="0" tIns="0" rIns="0" bIns="0" anchor="ctr" anchorCtr="1"/>
        <a:lstStyle/>
        <a:p>
          <a:pPr algn="ctr" rtl="0">
            <a:defRPr>
              <a:solidFill>
                <a:schemeClr val="bg1"/>
              </a:solidFill>
            </a:defRPr>
          </a:pPr>
          <a:r>
            <a:rPr lang="en-US" sz="1400" b="1" i="0" u="none" strike="noStrike" baseline="0">
              <a:solidFill>
                <a:schemeClr val="bg1"/>
              </a:solidFill>
              <a:latin typeface="Aptos Narrow" panose="02110004020202020204"/>
            </a:rPr>
            <a:t>Where do our customers live?</a:t>
          </a:r>
        </a:p>
      </cx:txPr>
    </cx:title>
    <cx:plotArea>
      <cx:plotAreaRegion>
        <cx:series layoutId="regionMap" uniqueId="{46302D2D-4B4B-41BA-9836-A44C6AB667FB}">
          <cx:spPr>
            <a:ln>
              <a:solidFill>
                <a:schemeClr val="accent5">
                  <a:lumMod val="60000"/>
                  <a:lumOff val="40000"/>
                </a:schemeClr>
              </a:solidFill>
            </a:ln>
          </cx:spPr>
          <cx:dataLabels>
            <cx:visibility seriesName="0" categoryName="0" value="1"/>
          </cx:dataLabels>
          <cx:dataId val="0"/>
          <cx:layoutPr>
            <cx:geography cultureLanguage="en-US" cultureRegion="US" attribution="Powered by Bing">
              <cx:geoCache provider="{E9337A44-BEBE-4D9F-B70C-5C5E7DAFC167}">
                <cx:binary>7H1rc9s4Eu1fSeXzpYcASILY2tmqIamX34nzmOQLS7EVvl/gm7/+HtpO1qLkrHwrrlurWs3MbiVS
k00eoNF9utH45233j9t4s5ZvuiROy3/cdn++9asq/8cff5S3/iZZlydJcCuzMvtendxmyR/Z9+/B
7eaPO7lug9T7g6pE++PWX8tq07391z9xNW+TnWe36yrI0nf1RvbvN2UdV+Uvvtv71Zv1XRKkTlBW
MrityJ9v7XUcfM9kGqzfbn9H/3z7Pmg2sgzuNm/srE6r/u2bTVoFVf+hzzd/vt26En375o/pDXeU
exND/6q+gzBjJ8JUdcYM9eFD3r6Js9R7/FohhJ8wzlVKuPhx28t1AskXKXWv0vruTm7KEo93///7
LrH1LHgpfx3yMm7HlzIi4QGUP99+TINqc/fmplpXm/Ltm6DM7t+a7O1sfOKPN/ev6I9tLP/1z8lf
4KVN/uYJ3NM3/J++2kb0P6Bt1VX1GkiLE51Qpqm6Ju4/5gRpSk50XTMIoRgDDwPsAemDFdqP8rb4
AQhvCxwZupjna8zmdfkKc9k8IcKghGK+3n9gDLbmMlVPDFMVGATGNsIvUmo/yruXOADpXaEjQ/uv
GLbybv0KWPMTU9VMahrsYTbzKdb0hHKqcQOD4OlkfoFG+4GeXuAAmKciRwbyRXaX3f5+iDVyoglV
6IIYDxBj0k6ns65RmHPCtjE+WKH9CG+LH4DvtsCxobu+g7n+/fAy4wTGmumU6/s9L1hr1WCaqZGJ
53VxsEbP4LstfwjA2xJHhvAsfuNkcn2XvQLI5gmnwtDpo5UWgHI6h7kQRDP1Bwd84nq9SLX9aO9e
4gDAd4WODPObLF6nrwM41QEn5+yZWU1PVE2Yujr1wQ7XaD/OE/kDQJ5IHBnCf8V5kL5GHGWeGILp
BnkujiLihOOj61zbXpYP12g/whP5AxCeSBwbwglstnwVo83gOKvUBIA71ppTKpgq7mf3xFr/dbBC
zwC8LX8IwNsSRwawncV1+RqulzihYxiMOfxgpHcCZRhp1WSG0PTtKXy4RvsRnsgfgPBE4sgQBkmX
BmW8rl+DDuEnhqZymOrHpXgHZQKUqcYYBxX2NEZ+mVb7kd5zjQPQ3iN1bIiv0zfWRqZreRe8igOm
nRBMXWKyR9QRG2/ZcBDaVGiqmPLZNy9W7Bng91/nEPD3Sx7ZAHA28ZvLDAmV379wgzHhusY5JeYz
pJgGw68xkGITVuxFSu3HffcSB0C+K3RkaH+osYYnr+KHc2SuMJM1kGQ/nLGtiQ7+hJmUEJNO6LGX
6LQf650rHAD1jsyRIW1nSMKNzlpZvYbLZp6o46zGYv0wtXeyV/SEgCzTOZks5i/Vaz/ie69yAOp7
5Y4M+Tmyuq+ylBsnnBFD1wl5wHxKno2RtqnjHzJx0w/XaD/aE/kDcJ5IHBnCi3iTpr9/vWZISVNV
J4LupDYwm4VJ4LxPFuqDNdkP7Lb4AbhuCxwZrOfr6BW8MKAKH4twFTTJ/Wcn7qIngujEMPkkDX2o
Pvux3ZI+ANqt3x8Zsss6+ZbFd9Xvn7OaCptrEE3bnbOIvAzCVCSlH8z1dlD9EpX2A7xzhQNA3pE5
MqARtcLdstby2/pVkpTaiUZV0+Di+SXYECbTCMiy+8826C9Wbz/y+y9zAPz7BY9sDKySfCODdfz7
JzujJ1xQU4c5fzDlO2SKfqLDQdMJ6PLxMyHEX6LZfuR3rnAA6Dsyx4Z32r9G5tJARRGFP8Yf6wN3
vO2xvEwYhmlOIqzVgfo8g/BT6UPQffr7I0P2DMToK8xiHSW894Wfj0W+mKVbTAniqDG4Joyiiuwp
EX6oPvuR3ZI+ANmt3x8bsqgmf40ch3EC0FDnp+nPhsgGvkNN7xTaQxV6Btst8UPA3RI4MnQv1jJ4
jYkLipNrOgrEHsuH9pBeOlIdcM8mJvlghfajuy1+ALrbAkeG7vm6LDevAC9CKQ1VJKagD86VOvWu
xnptfK0B4G27fLhG+/GdyB8A8ETiyBC+Ccoo6LP696+9Y0qKEd2kP+q0p14VpScGUtQ6Sj23MX6J
TvtR3rnCATjvyBwZ0udZ+eav1NvEm9dYjbUTVaeUmT9W46m9JubJWG+gcbBje8KlFyq3H/V9FzkA
+H1iR4b9uEjl2asUFPET1Gmjktt8NOV7PGxhaNykYEX30CQv0Ww/6jtXOADyHZkjw/smS7PkdXKR
GhOG4EDz/rOzboM2IbqhYUxMbPrBGu1HefJEB2A8kTgyhC82KbbevE4dkTghIxHC+SP1NZ3SlKGW
hBuMiYlz9iKl9uO8e4kDoN4VOjq05S029tq/fQ80tjirhjBM4zFxMV224YdrJhFYtbV9y/bF5lC9
nkN7S/4gqLckjg1nWMlXQBm+F2ryf4I8TtspC0apaQos0dtW++JAfZ5B96n0Idg+/f2RIXsdr283
r1OxD9zGbVSPtWA7KzJKffmYxaA/abKnPOfheu3HeCJ/AMoTiSPDGTOm2shN/wqz2DgxuDHurnrO
9yInBlwvg003Pr9Ep/0o71zhAJx3ZI4M6Q8gPtGJ5PcDPdYZgNoG+fmYWJ6aaxAnKOPWkXieJB1f
oNJ+nKcXOADmqciRoXy5zl8njqIIojQkJ56No1BLApDNSRXYofrsx3dL+gBwt35/ZMiiQOLNeR2U
b66+BWX+Gm6XfkLBfhKw2A8g78RRILmRl0TbmYnb9f+g2n68n7vQAdA/J3pko+By06xfpUsJNtoZ
lJtMfdxot88vw9DAVtpJKeDhGu3HfCJ/ANQTiSND+EquwXr//mUa/cPu/W7TeKarFLZbmTr2yxrT
2qDDNdqP8ET+AIQnEkeG8DX22bxKVylxIpjB0cLisQRwxxFT4YiZ6FPDJlX4h2u0H+GJ/AEITySO
DOGb9a1EO6m0eo1l2jzROfoaYJV+iJB3UB67EY3/oJBo/Eyc7pfpth/vPdc4APM9UkeH+7hlFmHW
a+COqj8dHUvQiOgnM7LFiqEroKZSFRXfkxV6dI0O1+o5xHeucRDiO1JHiLgTbLzXAPw+N8V1lPVO
+U+O+n1mYuf041DYZkFHvA/W6Xm4ty9xINrbQscGdrCRr1K7j91VhootsOaDxd5XXoQvUd2PbkT7
TPrBej2D9rb8IVBvSxwbzphAc7jht0F5m/2YW7+jhS/HjhxV5ajLfsaE03ETB4qQ2J4I+6dGh8QG
zwD99MF+XuYQvPcKHh/s44ZoWQ8/X81D6uF3QI8eglwjmvqjReTUpoMkRRsjjI5pfA1r/gKtnsV9
eo3DQJ9KHR/ib06zdVG/Vk0wSHGNYkrff/ZQKlSgIFyI/VYdc+4Fyj2L/M5FDoN+R+wIsb9A4/HX
8Nzui8w4R5z9TIiGlr/URNWKthOcpW8OVup5xLcvcSDe20LHh/Zoy+LX2XuJshSUimIX9XNlKeQE
az4BezohXh6N+6FqPYv4zrMdhvmO2LGh7q9fpccJUp7oGYkQjD3Xv52iow26WyGf8sN/fOjQf3Ow
Rs9gvS1/CMzbEseG8HgEw2vUqaCokFGKFv2PXOqOv4bqhbF/7E4+5OZgjZ5BeFv+EIS3JY4M4Q8b
f/0atcGYw9gLbWAbwDMb5uGR4/wFsGnkwX+bLNWH67Uf54n8AThPJP4LcP61iluPPB618tcPW7kn
4HrpaTnoHYgjUgx0Q3hwvoHeFluKnbQGQV04QdP2+8+Pez/YaZx38fOQn2eDwIdzhnYOy3kqu/WM
D4/465fyX3cIzoca3str5CuxYZap49x7HkEqRrdKR2D1tEbwcI2emZnbT7QHwq2/wrFPkzseGcKf
8HLrV+E90eQRrCZTn2sVh0mKFs5ENVQsv08hfoFK+zGeXmAL0f3HWU1FjgzlL1n8GqEwerBz9KlA
adjEACNdhS84QSeibWwPVWQ/sFvSB6C69ftjg7T+hpj3t2/CGPfbEHSSQf39/WenaxiOJ0PHMBMB
0gTZA/V5Btmn0ocg+/T3/z+Qff5Uup/n/Dnraj27PyHwycF0v/72/uXgbMOJ6KN53Os5PVjO1d2f
b3UQUk88qfEaW3b1qesyldoglv7zLc4ZRPewceOsit68Ono64oLt5uEriiZUYwEZunmbcL1GditF
A2H/z7ca6G0ybulQR38LbX9h0MusHr9C6yKcamhizyXiZXT4FuTn+Y3XWdx7WfrzhTz++U1aJ9dZ
kFbln28J7pE//Oz+AVVdwGFHyzoDlecM5CvsTn67fj82tcCv/081sCwv6rq7TFsmZk3r+rmVsZBH
dsTb5p2h6P1p2DVpNFPVqPpSZVrzMdLKrrBKkRafn7y9fdqgGGOqDTpYo/EHNiThELDR1j3VRkv7
PBJ+3VzSIiWXXjSkrlXzzPDtrqkyYTWtVn/hTa4ElkzMqrCLUEae5Q4l12zspEjvRFWpV7iGXzs0
jsnHQVdMsugN3d2QXiHd/NcaU2x83NEYhfvodSB0jhZx6kTjgPvAtq8uWad7nmN0Q/yxwTkpbF7x
PtOtpu9I6ATcNa2BG31g9ZHKFkkje+LIJqvu/K4siR0oue6UOJyzsarEVxuLSz3yZl4W+tdRLU6T
UvilAwsjPpV+cRbFrd7NglIxLgLpN8ni10+1CwP2lKjokIWG0kid3z/0k0HBe8VrlTwuL9PKFZ8y
zyTU0iKKoZGndXfddlLc5C6J//71bcex9nQsYh8autxyhhMM0BiEslGtJ7fV1c7T8tJLL1NzIJck
8uvLtJR2YLr+p1/fCdNn504C1R8cLShgmM3JOMtTrR8K6WeXZq5q66LNZLxwK7OnVpT7M7Wo48Fm
am9mdsj0NvlPg2YcFNsPioGCllQaDixEZ8Hp7bELJPC9NAkueRHp6ySs9XUUjzroQ1LODJllVq8C
+kUbFy21iijjmyoW5aoVvXbeGUyqNmvDLLJDniYfmcwpc3yz7ze50uSOqgwJt3WRaXKpM2OorV+/
vbEL7VR/PpoN9MbDSXzwV7aBUo1aT3XdVS5I7SbrQFalZxElqlLNYn2feqetH0TfPFPk591Q+HMj
07rApqTh3ys+DJnd+x63tSxsNoFk/K7Rc5+f/lpJTd8BmWkMg2jcZoHcgc6xvD4dToY0A1X6FbsI
tSJ3helUwh8WXdUxMa+aurZlV6jvmqTXa8v3fW5Lki5KKvNFrOXUjuIieZ/HetJZPG69z22YZKu+
rCor14v8o1FGpuMWqWvXWRgGVlCxsLXcsEwv21wprwplYDPPIyK0lMFNE5s2frLUjSp+T0Pv2utT
1llxzYvLyi0+VDRRmGM0FC8y6Clsg1YPg6W2Znge+7r5xVVr7dQ3THI+eF0j7Fb1tQRnbPTBSjFl
n1htbw4OaXXFGcLuNi+L6qZWFe5bbVLxuVsW9UpzKf1Q+KSNFi5XSGANfuR+A08vGytIC+VrnfDE
yfOSrqIszVekEPFd0OQG5j1LoptAuB23mkLzTqUra7vHe1gQjYqrok26mdbKYk5IR5pZjHbWnt20
nlnYDfXdWVIy6dS5uPJdxVMdQrJqiaWGtnaqhoZlVjz+u0tU/4xKkd/orNIXtQgVOi+NZFibRiZn
pdqFw7yJTG+udJ26pmXcfi+9PNftgVZqbaUebbx5V4UZJkfbznqvqc25zFzfiSuWLFP81EI3A5nh
RScNt8IyDBWbuy23eKZ3g6VVsWuzSkmThTSimafVvfquZUTDecdSja0QI6mas6oV5aJjvDs3omGI
3Xd1W1RJYvVB3Kfyznd9SocvZat0PPEtIWHKs1vaJ2HFJM6IretcvayiKom6UxEUw6IRdeWuEhkE
uRXSOLtRucJWYc9YbdfAwLX6QhUd4EpM00ldF+thFUdtMTOi1lNtGVfEvfIL1eDZMup56zt9F4vq
3CgrhhHVuhkpW7vGWjg3FD90rxpMHcOzCzM3MeBYVCbzNA6ksOICi5c765rAsBUXdJFu9a6aauiO
7iaJ7Yu6dedtzONkVrrwCuZ66iWDbQ46LGZKI622E18qsdWUvVdel4GSJLPMC8zvSt3wQHXUjFaL
QDNr81JXXM89TRmvuB7aaVcWQ78s0U9G+rPc83kyc8tmKOZClmkw72Mj6ZdqWSa5rdM+Dmze6X28
kEERKDZgpZ+VPBmIgyOho8TBf6pyFYeqUuKVp+nnMElEsmJSVPEs8ivj/VBXjM1DJaPkzG/9kqcW
96lfLVzZ5OkNFmN2GnoDjeZ1Dg1mWRV7w8wk3SBsM+zz9iIxewxtBVNFOi4h9alkuh47nsu82uFp
AzgDXsI/SYeQDZs4QvMFx4QCicP6xC9WRA20pRfwyLBpFBXMCbLAdYbajXRLaWUurkO3DTWbBUU4
WEkeDsqZ6sbanOSup0NdwfMZ6f0hW/kBab1ZJDS/tcbfWUQEIsXw8Vhhd22gDFbVBcpXiS6EvWIF
mEf0kgxpMASW2WgK+9DHLa0vjVz0mZOKorrQ6xRLklfyCAIiYXhbbuCT9MtA4tQ/Lfok7uZlqw/B
Gam86oMWUn2td27iWibB4J3XacfZrDSGAMrXJEycmBVRaZutOwtIUHyJ2xaeReiFzU2pG+23XPps
2fDWc2dmpKvUSk0X19HjLOzmqWzI5dDlTHtXVjr5QCoFv2gNpTTtivS8mzU0CYOl7ChtVyn3SnoV
KFx8StViHJxhWJQLHpd+ed31WmXaatECG79NoVhWwuieYQUTn5ipYnQnsJLSweb5LltVpXDpdSjr
KHpPzVRoq04L2/qi6qrR+fT77lqPFKObZW2CW2fZMDRWR5NqWKgRHx9+VL2FfYJeeUIuNT3FU9SF
jlflR1k02CJqMHXy2IuCd6nkmPKyhlfg4TvYVFql/lVBtF6mFst9FXC3sqsvEsXPSytQ66Kbd9hY
ymZ9U9DRaGAy2XgiGJBOkNFPrtLkk4vTHE/NJghMy/T1COOi94x1mzKo0cmwf8+qTi3PPLi54VmW
p1F4Y2K1WJSpSi4L4RVfUFFrFJav+QE9zUxP1Geun3mN00tetHBwe7bIKV6rrfKiv43iSL/u6lLN
loXaN9Hn1ki8cpm4SvK9H8RoQ4Ii9h3EASabBbT3y3luJOKzorrJPGlzr7C4BjPXy9Z/H2RVeSaS
KNQdnUrqwezhzBSr8an4JEOl8WYxTTFNBsVlYqWlGSk2CQxyf4p+7Jgb7WixZ6Gu4I12zdDMsMi0
xRmRNTVsV8RVg5WWNSpc7yL8KkUjPig93PTTQVSS3FVl2pdWgnPlm1XQUlyqS4g/2FrrGd4qByyt
rUTCmA9Z01QXXc/jm7ApC8vk5VJLukZfDq0BcCKVlMMij6Msu0iNTjtXKlXLZn6RJs2Z17e5b5t6
mfgf4ImUd6pIYUZgOsvGivyyLS3RNmaBVaAvbmKvIMHfJBuY2VgDPLD+Y14xReBipStnPlci71Rx
8/ab76lKY8e8NKJVIFTyrisVd1jIuiiDWTDUGKQBrUJ23UXxoF8mRh7HVpE3qnGhEV/r7B7eTTlr
/RyotWYaeJYceALbUZbxjHSsk04TU1MuBrPA6I+0zuNO7/Zqabt5aRSfW70nH0JfYqxhpROfMNaT
8joVKYGBpbkI52biG63V1V+oWbcmsaKo4R91mhat0+pepV1obmw27wu3FBKLO0b0LA8Y0ETg0Hfn
Aaui7JzL3GfXtFNjY+V2mcBzdZ3iXURSyVsnKV3YDHhjdXURxy70lyLy5qVvRr7Tdqq66gsN8743
DB5Ymuvzi3uv9JG7uH5w8h8C8Nss72Xg+dXkj//6kCX495+jzM/f3NMU//7TRXArszL7Xv3yV4tN
NqZfyumPtq6Muz9qN9IXW3/YoVKeIUveb8o6rp758nkm5efe1pFpwE5YpoPqeOLE79ApPw8N+sGD
bQv+YFTQoAZ9mQVK91EYij6CCMmfMCqoEYNdQx8jVAtNGBUcfQcaZoxXVKQqfzIqaGUHm476I2qg
Yx3XcIbSj2fdAhQs0uOfnzIq09gIDVVGsk8bD6RnGioYt6OOyq3DMh5Sep1m3VKNgnPuRTZr+tmT
N7PnNthruhWE4UmQiQVNgu62AsEyHOrtG8GNjnTTj9prXcekrmC1tZk+1KdJgGGdUS+CC8EVh1TZ
lejr8yLKP3IKrz0vq85u4YzOIkmis0bqwmGZQETZV4Gl6DmWtFb+3ZZ5biemLy2f5a7tl/FNjhva
NI+vMzVILcJTTP+CFo4J42sznmhWMphnRdLZIlSlncLOOUI3loxF6dw1mjnop8qpB0GcMuqsnGuf
FZNfCK0WFh7zb1+LM7vp9BuEde+VpLtUFP2yCsCGqG0QWiBhVjDLl62beLNEkI+uZ8aW6jWNQ/3A
t+qmegfrPgdH9FmYckM9/tVL+i9ySAorqnnqIFq61qV7ZsByzXHS6dIQrlyUvgRCUn7MDG8ZmJpn
x75/pgrtW9r60bxJ1BwBQx/YcdbljlJ7mRVrWTon1fCVJEljD1p4pZlybvYx/LacOYURfa05+ShL
7yLrktrKSP+eF/UCuxeWWC4Uq2rgcrcaCyzYMc32qX6j9HlsJ1Vh2lx8FVUyU1nn1IUPpq3WIgsD
wjENxoFfuIh4/d3sy8BSDf1CaWp9paZJ6hSZYRPeX9IW635falbrk2Aekfgay2w4Z6xdDIl24Xmu
Z1VEW4gG79ZvI99SDL1x8kJ8TbFOiT56n6VD77Ch/BQYZLA9mFyLVfFN2dYrokeNI5l6q4KOtLy2
/xQHgY6AaLiiXWpYpR82WB3kHYnpHW1jhNIdWWaxWKH8k9hR2y6SSH+XIH7uwO2dczakthGnt0OY
/+3z0rcTI/tgNFHoaAWPlm3NFpy3NmXu3Ew1GH8MMd/qtNbHyuMX6zTMPDkfTKXqbd3opEXULgoa
q6cS7gYciNRReTsnZhtYpJDdaRzrpUV7YqsuWUmN3bWqWAU6mTdDJjtQdHnzKdJZEOHpiDpYeqDr
Tt2RwIlCumK5tiRNdFmp3qw3i7VrBO9JpGyw4z+yClG+yzAaP/S0+dB5ZQUHrHWyNiIrJdGTWdo2
56aMM0cpS1w3Su2mbIJVXHvtFyPk5azz8gsvUF27zLul6Y7eVnmeh5HTVOWybau/QSaEVidCuwlV
OKXZRWRgyrI0uo6pfhYrymqIfc3yPd+fDV2fzMMmuDNaUARhGzKsr+Q9wp9Fl1WbaPBau6sVKzXy
v1s5Sz7wla9J+MHKsjf4ugvVr4PeRzaP4fv08ddYu2nactnX9WmeeVasSCtMpU3nqur4QqssH6RH
y7RlQ9lcEj+zgiFvFoyH1VwlEd5no31NNYJYJGsdV5HS0tp8UZP0qs/aLzIL4c722ieQuOZFriDc
/gCSyPZMTbrLjCYk/k9mdJuKG60olgvNUGGHqI7N+hMqqyxLprm90V+3vc0tbeGedjfZxSqsLGWd
fs5n0YrZruWe5XZYO+GCrX5txrH+5f9mAh9vL9BtDdtQ6dgtdduIS7fWG8Woh+uGr3N3JdTKEt1X
JUv+A2W37z7YKqFyVAgg3aBOqFVRYc0K4PVek+AcjLMVxxvhrdq6/A/32V79Hp4H7xNrIEECA0mK
7ecpCi3Xa+Kr14Z+Jo2rnGUYv59//c60fZg9fZjJTWpfVUsajS9tXn7y7WjWLNU70zGRubhIMMas
93ImrWROlx8vTSe2LpuLYP6pnLmzd+Fpay2lI88rBz90sjn+m336tX5jc/kdUFHFLnDKE/YWI+mz
/RJiMHck7VVyrVvepftOnakX5LN3CrJLsWunt06/kEVnXxbzdqnrdnLmW+xdDn1bK7bvVfnd7uZ/
nyM5Hn34xw8vbceRvMjQPXHXibw/L3H9mJbD7u/xmEXs78e0F2NRzE8nEjtDdQ7mGPy8gXkJT/FH
Wo5ACO4jzkBHIo9xjP7HrBx8SMSo90XNAuGxyl6UlRv91CcjSFd1TUMiBDlBQnGtB9/vSSakyAoQ
FD5yP0Ud6uayiFpkvHR+RWjgy9zyFFcZZlGetQYIxXxQhVMGXHOdHpQE/BA1IdVNaxBPfG/NcimV
lLnrPEpCdda2aayc4aFL95T4YU9m3qAo3rUWpQHIykLz88YmNe1q8I36AJotBvsB74qnnIHSRWRU
2WDOhNlbsq/5YIVg4Pwlhy0prBjhtcU6JK+WhSexRqVJmVpG0cbyytPiurBq1rd85plqZliRaTjq
UNXKRg9Etfjf0H+IobBEPT/078912x36963/Hoc+SklMdBIjGK2aeMgt/xz66D2F3DL+RRBDcbbG
z6GPw8+w2wqJS2FQsDyIbH6OfXyFzZi4Fv4HVh/HUr8kfiIGrjQZ/OhmCJoXezhNnP8w9jt7mrcB
zcIx/ExxRRPZW6FOhnwhWeal75iS+nSm+wjjvwpG5TsWu6lxmjRBag+NODdCcS5TEdl5En2Liuy0
L8BE08qb95qW+chixF1iSzas0o4Vs7oR7yKz/T4SATaX5lrUdKFwCnc3cDy9WKhevjBTdtnlylIJ
4m+67JjNw+zcC9t3ER1jkko6njSWXKVLNQxzi8nWDkQGhjXsF4gTL+mgOgFFeqL19Xheq/2yJ420
UoV8CxNidUWjr6TJ/841vhpke5un3YUpwG3NXDzbFyFDp3KNCEmnbCN704nAaVuhqHorUrPiCpN3
DjctRXqJLIsqO2uiuLHbSg2tiClylic8XWEzLZ42VVSnzIbPSdlcIMGKlFFYUktGmpzRgGGdpouQ
1d5cRpjoRHp8FrZkbUbwB0t4/IXG4Vln9Zekc7/WYXjjp9kVaC7EjImrz5OS5kjmpKs24NwSQdkh
JZjojtpqjZUlZrbI/YY5NRICNlJ2cGn7d4kerUqvAAlLw7s+aUxLhYNvIWXzyYzhJTKvX6e0bi1J
yPeKKqekqVdt1Z/D5kSWK6oQeQaeLkVbt+eZRKK91xTF6ozqfIjiTaKk7d/A86zSvw4JmKygtJs4
vo6L8FQ13Ju2DCtbtlFYIiElCv9coWk9zNIg8jwLBFjmGxapIlFcdp7OV3FpaoqtN/4iME2ECYlX
iAvKFf+UR1mzoGByV3gvuTrT1CBf+K4pbtzIrYUd96RLrSIbjGWj99oil7oWO3HdeQvSZ34M4yrp
OY/j+rOZGeZSGSL17/+ZQ5jDsTnPr8zhXzEIsrv11CA+iP0klLDgj01yH9ik+2X9iUHEEUPYaM7Y
uKhTrPiPvgDDGSawhwx0Ekwpqnv+7QzgK+xdYljA0Rp9tLEvIpTAIE8NIo4GRrsp0NTIYoFVmjA9
ZoeBVpt+fRUGVX5qxkK7kGl3ZqZxYeu1/GQkiVOEVbRMMx4PGz8rC+Vd3fdIGw6BjYxV/E74eWpV
Uf+u8rTTrEyyeRGDPiBDj1KTiCiLIG40S8v9uRc1/gr5TNX2clezwDh7vi2aIp0nPI/rm97Lvwi/
z0AZcKSgkFQK7ZyW2mnTKcOpDvPlu3Zv9sFpHUdOT11lWSnyuyfSAVUuqrvoYUMsn0RiDHqbTzmK
ls9oYEQXJkuRTg5u8pr5+cxMenWeEzNwGgnDxRuROhkbmBPHAbWoIcBAE3EWcVnNCo/YekWrud7l
l6buN1YDRmvexENnKW6FLJWftkvZlpekLIVdpcUX2XrnPWlnvto7tKQXquadtUPlW1WY11YAdt0K
TdOGV1PPUiBsea5SzXAz77vbZsbXfggbd17oBXgn1FvYpl+SpZD1ez9iNyYMcr3KDV+p3gUkLZZI
lNtp4RvLQu/L9MaoVPApfu3yxmLc1RaMtE1o6a7+HfaiXY1HeizqNIqcIUmv+7C8NLT8NI39y0Kl
Z2alzLOyPVUSw8kGsNdFaqnhYOtBftem9H1QiS//Mx73vpSGqfa8L/XQY35qO3R1lPppO7B1TRvP
MjJxRLcGSvZJHAGeGklR00A5E+zLGC38sB3m2JxmPAEHGyqQEx4v+KO8D+eBoz8orqVhxoPkfpEz
hcB7y3YgIIeNgg1C4Ti61ZmIaradqSjN4zxSQ/WKMl36c90cpI0MeX0rw3rWaKBh1cT9v+yd2XLd
tra1n4i7SJBgc3nYrF5a6iXrhiVZFgiCPQAS5NP/g/Z23CVOpepc/KcqyU0aS6sl5pxjfGNS7HCV
NEnpRA+5Gos4H4o+xc7pV1VXt0E9RTFwphS5KjvOO/6qLXsvx/4krBIuHB3KmPdjCoFXbYTrPE8B
6pokkzzWfb/vV2144WdgFfu6iC6kmGNnwFWo8xJwyLy0cSDDXcPLbJmsNHBVqia/TVpruRK+zpOK
TzfEVR8iHqD6iuZ6FpYTt511ZxV8SPIRmlHP+Ybl/rEqnyo+PwOK0Ggcyxs5oFkaepk4NT3W8IGz
cmm2c9vigu+8c8EXL7Yd77jQ7nJs9DGU+VsXTUdO/Gcy++LaQ3+WsCa/mDycDYxYH6aBZjIkzssA
Iz2eIGIucnhAh/fGghK0TQe/3a+qexNYbxB38EKqaCdEeDFXDHolXkNuiwvIYi+ybOVmzAXPplmB
rSA93TY0h20FzXcI6/u5y89ST8+1r9pYBORkwn6rPNHCja+beAydTSjZts/pWZDOjem07DQEywTm
6kPpRxs90YsJ/YqtwjGRYXnd1LaXjI05hXI5TTLEPJh3T7ygLjCdvoR6KR56OQfw3tQTXabj5PdD
rGT93obDBXwXdioEu4zgAKeN8rNJapU4iuxkjgNN9uyOVMPe7gqUnUBFh8nXXUb84q1hwS3L560W
k8nqtj7MwC4wDFqfjNcdF7/Z+KV6xH9DDaMQBccwzFrCZVyU6qqRZXWKTH3nn1pHVHEESsnH9ZQW
LtieQMv32ul3ZTBs/bEHGqMHtsEfBJ3WZ12r69gWI0qCJW/ReW9LKj54s7ONmEaXF9KjLAPUhLb1
0qapr3VZzJteio2nlipZ8jGbi6CLYTiFiViGiy6qZFzWucoI3G7C2qOg3qaK9BKLaLj2xHQoC1Um
xTBfDhHeey8/qoVCTwx5MH+EezA8Fo0Cr8eiOoz9tgluSIfYB4vDobau7S7qbwDP1NXWMXyjXHsj
LDSimuTvgplPOYVVU7QVeu0+OASNeZD+8KoEZuuuba8DFm2tQlw7XbUPw5omYPjSzgQAGYMx5ZUN
eYCqS8etPLy4LuuDYJ3Yy12rjJcVuTfFURUsCazrOul4narWbFx/fjE+SXtjnsM8zOxovscHXcRh
ae1nbp1Q27aFsPZN1Ma+cBJWVmlk5buynjcibFhsIM7N3nJwO/UICT4t6MxSUhu4KyCQXF6eAt6L
RAkC/TPYTpEP3KXGB/KghnI7G73R4ZSMtd5zUEOxaGAu1zItePRUl6WI5VCcxg7G0tLzaGNqX8eL
wGDQ25euij7KycNFMCezATAjPBhe3Xzh6XI/DS6UN2IPRzJN+GxpnFt6p+XwUQ/juTRhKkvvzuas
jqN5wFQR+DHojcwTuArtEIKJcaKNI+xbqvNPvS/x7RzrvYpYmMhg3DksMInV053n1le5vYzHouNx
ySkQDD4mhacvpqA5Gqtp4lpUicfCD5WrY4UpQK+j0Gxvo0BfcX98tEm3zz2z8Uc7yERZ4fwzjRV3
fnvj6kglfBnOns3imZW7Cgdgx8fL3F/ueuCkPVHXOQGh1I+QYyjwlGhOl4VsfH/IXMsBtCJHTIfN
glPY3URUHe1mWe2WMYmA//Sd/VrlGBcV0c8uD6tkItTdOwG7gtQZd4xdO0t4gioEO2yx+MZfJsxY
cA7aCQptx8qstni0dxnV26gwV25lbUQ1X0Ghe3fJsmnqLpW+yuQQWhvO+yaZLHWeVXelgvDecA1X
iFLYWjWNMgNK7km4+ZyybnwvpT4Wxn6odAPdvj0VEVgJPfAbvZCU8OGdsjnT2ukuC2M2IKnuhUNg
6oziASdwJht6PVh5GzM7+mD5w6PpzXGqiw6+GzBat1vxIoCJgiWFoWc2saOnFI5xb97nfVTCCc37
2dv5UoqHsbImkTpW42ysRU1JaMKssvmeUFHG3VQvqWmLN290oQOPrUnl4LxEy3J2htrN0C6wlBFn
Y4aljHO3fw/UKJJIiQvFAxyXs2nSouWPbUmu2prcQLSb4rH1YlPIj1g2naKvPATWfJa+2S8E59cQ
OAAjaXNvZuuhM+0dmmcRA/lJu4o7cThP51H4oFiW8HZpYF1WutTXgyp5Rqug3HmNncd+PsLTrR13
LI7f9VNXX4yO781y8qMvAaETHDG4eeJTyKc21qL/2J7IHmsgZvjbZ+e2jp/oZrzqE/BSSfRydyMv
2gPP2kTt+Ilup7TYtZviQNmuvCi2/za4nxvcFT/46wb3f+qXt3b4tcFdf+qPBtdGQ4qlPBT3AcMd
sx18gn8Mxw6WMGGxw3p3sB9n4/A/AXKoyKOua+zB9MMB+dbf4pat1AN6j91NfoC7lXyV8f/7ffld
fAVD+A/97foFAoMHeMNBJx3ght7rF+w7pbzt6CLonMuzXbl3opW3RKLT8+S1MF0ZT6NXHJgNBtrx
duU8l2ktRL7JR39KlNF5bPddHwfzpFNQkTe2tyxJ0eFSQ7sHI3txrpXdI/sQ4Xc1QVtkVdk5+4gN
JO6K6nYIYMUuTRtCFzMXVm+3cd2UXTIto5VYhuYp2NYyq0ZixYOa+ku49He4CwS9CMalOZWEqLj1
SY/hUrKMVMHWk5hrw7GdEr8oWLwMzV3RhLgsrbqL7UHu+45u8lCxTOIQAx1XfwJg/wA42Yph/+5a
17qFeuTEeS8vlpVDXCh7hdGA3o7qORnaKWuGfemcHOa+jcXL4CYoVru2zVk6jRphg0WXeEdElTaV
ESlZZJd1c/kyLW0Xw11402o6OKpDn2DjBQ1jvseZfTVbaJLmJrOWk1bOwXjhMy39fWuXHion2AWY
KqeBDVe8Nmbt72DWGecs/KHCwaszJ7TxkbiBjBVjch8Mnh0DOb4hbPKuI6v4aEhzLZsQxGHlVgl3
CmdD+pbEqLIOGpRBZ13eqqwSEExzMTnxYIcn2CX7WXMvxuyTlmFzY4QsY3vRTta7ONxDCZXEjwCv
+yAWM9ar8ZYpG5avEz0yqy3jFkpeb5cHKYI7L1peHIs123oWsbJVVo5FlLYQ/uIO0HLced1uskeS
+Ko/uA5eyzL028ity0TkTmNfdZ5qbuHp44EHGXeiPS/e8JG3U7sno3WFL/hL1PI2HkrWHArhPKFc
XwyArlMr9JAimtxPZtKfxmCeN6B4uriXYb4DB/1a4xKNMdag1kJK2fBJ31LCMIGF9mEsyw/dEh2X
HiQHbYttO1mnfp5R4OzQ3iiWY5wSOVRWKS9VueDyGe8Klr/2RYDBzAV5Xlr1bb64gC6IfuzdYC96
xXYhxQE9t1Xczn6NUaTZ+4zeD4VdHEYFEESUyy1+53SCxj2Cg2jbTDEfYNAKHY8D6HEnWj88484J
9Fg/dXLvUbblkIyL1rGUTXOQRJvEWJCUi5nDYJKVShYj2ydm52zXFMVwVfo0iie3T00zYyLS9UNI
UD+ZKsB5lk4sScvxAXVNllcYeiUXHFe7InvJ4Qm0pV+kA9F7ewntfR8W+8DJq62P5xL3vjvHOBZV
HIJVhFq8xG3f7DyFacPy07JdFDIBaPa7CiPpQj2VgEkGQOIVQRoxmSrPAVWOf7A8elWyKEaXde+Y
8kgHfWjd+TLyhtsxGNGtynpbWLmImzpf4kY4l6PR97ylTVzNxVXt6WvBpodQmAtZL08yB/oqkImL
67Z8QG7k4Bl7N0t5p0Lfjnvd2LHdti6aeXMSss8Ce2g39RyCexnMRT6416KZq8xMThaQ7kC0buJZ
6neP5s+cOWeEcy6RJbrqy6BPwlG+5jk1sRbLU1VIN/Z6DGgAp59lHQConHMIZ6S7awsPvWzXZmOF
bw3CY7N4cGFh7rjnN+42giqSFS1iD5S36b8l/EsJR8n7TQmvOt58+pMSjp/6WsKxFwB79Vxsb1lv
WYBa/V0J/1zdKf76EjSFfPVNo4qgXuEOBy7F2gg/gA33rYa7BIIWlu1+xSz/QQ3Hvs6fa3hICOhL
F+klPE/nZ8OPDcFUlm5YnS2n/8C4Akmuq1dnpvvKgc5Roj+VON8Dikl+DDYLVIho7i+nsF5Rxbrf
17yvY80stLuabBi1N3br3k58JFkYtDoZ2XyyVZ76FmoYd9QDD2FWVU51KmhfJaM17CohX2rfsFg7
3lsO5SHprJoljJqjCcc3oR1cBgJiMZyCzJ9HGjszhiVbW1U61NSkgJZVEuhIJ95s+9ATmnnTtBhw
ZrBjhFVHbaiL2Uw9uYigpaDJ31rbP4Dx7DBXNzD1RyngKUHGKZDYa4LoCqDk45gvDEo07K6isACI
BAr/6pc8WVhH4rpmeRzkGKvUZg7aPO7Bc8dkMg9LwS4UJssu744FXhPOaA4mhpCbiYMlY6zOREMu
cofc5XOloJVDJ8EedeRP5YiIm7DC2PPcXe0CfMzD7jGkg5X49gzVBB5Yz9mtImX3jBDFw7x401GF
EriPktvKmZCU6odnw0DKN2JbdxOGZk1bsF7wDbSbkxjm2EXByIPb4zDRfDpbuPVVJgD1pIQuLFsi
hBRAEFhbq9U3rlW80SpvtwhsAE4Q4tj6L8q8IKuy8Tr/Rc5uu9WDva00+qgBc1b7EDlFc1vZUD8/
cba8Taa4WVzU7EB3LY7OoQjDFziGlzncnb2tGntnFGnPZMijs1fn8jBHeeJFUP+nwN+pYUbfUNgc
I3s0X7rlAt+Tt/W0RdTtcWqmNAA+ceGa9hPwd3jBLYsg4vlhsXwhrP5FemwcMH99ziGkpf7smMMP
fT3mwDXgvqU+stVAZghg7u+OOYL/tQIP+NtFoBkn0H+PuXWvFWx4OM5fxhEfJ+DXY25dp0JX741S
F3dLjbx/NKogmP8T14ApBedoiGcHdR/J3x9HlbEzEmm5wj1L49loYsb9NHt96pSui29Kv2ldojEm
zI8Bgc0lmfdxcMOTQg1N6RqIKQ2cIjUURzW1dgyr/cICZh2HS6dTI8dLM/gyBR4LybnVr3PUfCg4
CNW6uhFeuW1mdQCDeNN3mGXKftZx1BEJD42cGuC4YIqCeymiNqmiWiGqkt8vbflIkcNDX7mYxDf1
mTL37Ex+FgGtCKp+L+ji7pcxHxItSJiMhdkis5+RsHuHlXijJ0YPDcu3CEq8hnyOI7k8GJiPsSA1
iV1k3mLfA7e8Aua2wUEddMXD5OhnYUZA0aLYEd02cSdBHtQFwpMKfWXCO/dS1P2hEp4bT8Pw3o8F
QAqrRWdYhWdeD5jAWH8u6dgdTK2QL+GYboK6FYjQDCyJbJZfSr9dmVW9+ICelveQgOgdveDjwvHm
dnldXBOkV+JCDp8KyCoXZVvtaWSh2SHdvC0aGZ4lN3UGMhmfmgZxOzDFElGbCYm2pojRevpbPqKk
+AOgas8E7NpmrrNdupLFPeMVhkWovsiqApOtXZbZc1UCljdVZnEOGKNYU+hwKFzfIPOEdg7RqdxJ
HQNRsPIk33h2l2+8ya2yoVZkq1oXgLFbnmA5HhdVnkXj7NXMlpTX4Xu+IGhbgtLPLMnddNZzmTl5
MG+FZlVml0WIN8KZ4XH20VaVPuqMGSDWEahpNRsQK0dm7wanYbjVHS0yLCIqd7ad5+k4Vm4sXde6
rhCMQAgAr7Q3vh9z3/Y3IbNUUs5TGM8t6zILSUDYC4IfKEaDLSMrKi2vtLabrLBAlbWqe20r0NG8
8JE+7SPv0EWoEsxZtycs61vESfM8SVreN4g9gjePGiDJWBVBzMrm541zRjICVEm35Ij/BHiPB6i6
4YQzu5g8DPuB5m+i5gF80yDPRlZbO1uVG02rlbrBNIEAVFxHDaB3CLcxhi8dW+UUpkNXV4k/lv71
4pjr0ugbf6pFJknpgJQj1SWC02qHbN27apZX5YzFRnWQ4KqoGi44clKJa/y0Gnp/789TfvKtYNyG
eePdEEs/ABxSVmorbfJtQYzjxFx3Hyc8q2CxALwUZRXLsOi3Fp/vHGuCUlgwP7HH6NDUBHbMNDvQ
nzWcdQlRFlF75IRZxpvGOlieveOuez+u0As8/bsaFExQNldTIBPLCi4kfc7ByujWH58w/n+aQNGY
FadpVrAmXBEb/Rm2WbEbvgI4TNgngkcruuI4jt57j0xp4izVhT3ZTjxGwcOy4jy8XMLVQ3qTAfYE
IEa8b8H+YPXKSVOODPuKBTUrICS4A2F6LGhq5tbE4woSDfjjzYoWBdKlm3nFjZy+PmuL3VbgkGzw
SCCncAra3ZgGYJU4mCUjfB8CycorypZtHO2AK3CxRwGoE+xC6CYr/lSBg5Lh9KiBZaeB5V3BeQiB
KgGYCinFn1whKr3iVB24Kl3aO8TPwOt7+aZc0Sswi8DTVhzLMlGqzPBJrqAWHXmKBLj/AVZ+TbMW
PFdD1McWfFej6RNgM7rnIL/KYXlFVh4AJ4JCeNHVplgxsdpZ0soPLsFmbosVJCMgykRktRB6nZ3V
+7t56tNyhc8sPl1j98upIhKKBfg0FUa7ALyaA27N8votQxIcn2liKgf/Tl+KkPNEcv0OWhQU1KSy
sZ33qvaKTAdVYnniGuldC7VAJ5U7HwtVXdcRMkTIM1RYR1L4zS7QVZPqmkNJBghKAKA2uQziel52
ObYT8CoJbbBfMiIJRpFPuYY9gDpmzVu4pjKE/gObg/nNjc2HIft3Bvw8A1Iwkn/dG/131dqvQ+D6
Y1+7IwerxdAWAVhCyuGLJPtVx13nwyCCVIvb1WHj0NoCfR0CPUBODoYzDzvJVh4BPc3X7gi3icdu
hy+3rHU+/69/MASuOv+3HARkXNwvkzoYDbFiEgbmzxtFjG2xcRgafbkgbdIPOmaSxjz8uxgEAg+/
PhDFjUM86NKIftg/7ztyEPPt/dLrLm1No3tR9Jaf1Ii3LDsMwRRshGq0t5cyX25LWD4x9rF5j2UY
sA9dW4aHgc3R0QkgxnaAnM1VMbs37tyOWCkxs0CCviyl+zya3g+vprwfx03pwFgevZHDGLWq81RW
0sl417UEcfFKj0losRwHqsybJy7mKFsRDYCazUdaedNl4HXV2dM2smFOB8Ns0+YoIhUUI6uS7RQH
fGrdsz0ilHUaq/I8KDHBOm0MdjVcoUR/orJ7a3qGDSD2XTD2O+x52lLLb7fExquwOg7bKd9EdUZN
vc/nuU9dVMbVmEJcrn8vQsxNnXfpkO5du+Nt5WBynLyh/ADoUULkEvoC0u9w2UvqHyoewUStqwzW
ogTjarnvHjai7JCktbFMqO+yesz7mFcWzcgUXsCbvZSNnNKFhGPK+IImpgnuZ8d6qggYFOzAAQ2g
FCMB5kYCAgOaMPpLm2dYuYVfoQjMV3+4HzyFtJwfNsWNZKOF48wZssjY5skDEIJ3kbQqlkIPqWcN
c1rS5ab3VXgoLMe5/O7a+zNP6xd+GRGBNUsENwKbfPC1/rHP7+ehZ8yEw6XM6pcJzOztchvE8FDh
ZDU7iK1FivziNsiGrInpwdu4GdnlifgyKCI1/BdB1B9llfAzm4j9YJFPVwoIo8ePz4OaYdJMYslR
TthhrgqTCNbncTd5BKF0EWX9mCOlhSOcx3loX7BgQCYAn5Ev+jqZkSOMcnuOIaY+I64VbSTBEKJU
B/9heQ4Aq8VlbgEWWsxjX3UBClWPDJUs3dRMGPGRLqihZZhsdqPt5AAvypek98IcQmm0W1wH+Tyy
BQDuxL0a8KWIgKbUza40HkA/b4hbu0NHw04kR0AR8QQnHeGd1zVwXVzEl5OJ3G3PVvPfZfdsaneO
W19oE6Iehx02L+CLFkS9B+a6vP39R/zjIYJ3FnMkDAEf5yXux+1G62n2nekULWSKujofLu2xLrc4
CCq8eDDYFi8y2sJu8Hr28vuH/AxqfTshf33Mnz5Ny4zBMAomL7HR4wPFyGWAkoA9CrBcQF+0fW7H
0Na7OOgBhVZSxRTb1E4LJpM4tOip5eGTzRHRGKX1ngtv0/X9BWn9aztfPlLWP9cT79O+6bsvFu+/
eoWLT+Cva/J6V7E/bkH0a2Vef/hrZV43Z4PtBWS8uuHBTwghSliIbxswwi9F+2tlBn6Mm0zDRP32
U18rc/AfCHW4ubSNaLjj27Bs/0Fl/uU0w8NDrEA2cf2lAJ1//K7TyrbDMh+W86Iee1y8Gp7Hd2/M
nxyY62/47pu9Hk74HbicsClqRSXXZ/Dd1bR0ud9hrYsDXQQ2qY11LzyW9G0cd79/nB9fyWcU8ofH
+emqbS2n6wekfM90jTgNpyl4+/0DrMj3b1/Jem5890qY0yOtUOCVkHVPlncfRO+tNSeRdY409o0Q
O5Hjhw58Eb9SEGsd/qkEcM2uSHsNY5BNXaz6o09ZhokwZtgQU94CRElNVP/NW+FAJvvtM11rx3fP
1AVFpUAy4r1ws3ypwfc86pEnreOdpxzlAEYUn98DyB09/jH0efL7t+pzEPTnD91BicQdstGEIZX6
4xNoQuYocEzzeR5L7iQOEi8nARNDJXOHdW3rBgEg1ECwDwPiqlRPN04FGXlqWgx1K3A9rOg16bQ9
wsG0D1ME7G9b1U+kdg9TbkMwIFbp3Bu4r1tXRGWIGqdibAHKBn/Yd3qOyYjVOmpGsBqT1nIefZ7V
DEJ5b8Xax24UE13V5AqyySbXMNzgU8s7ydampUJqxk9HiDwE1i0A3yRYqnguu1TQO+zT7FMfws4C
dJIjZK4dfQpsdE3dbu6fJKribGEYnRqsTfKuy/KiNPV2bEh7X6OQdGDcsza6U56feiVq7KogUc68
1ON9mNohBJxWVB+UBYWiXoY4orlMBfNOv/+E3D8hK76/8H/ulCceQSkwcjnbW3eX75eTenS34X44
y9g5qV2fDFmYRsm8cZPDcKg3bWo+WHuxUVt76yNwW35ZnfKX/cxPRfeXY+InktlDOiao169sK/ZQ
8iC5w0PvN739N8fRT23TL4/z04EX8hr5+QKPY8F6vTNvPUs4TB2S+vnfXATOj2/xlxPp+4vgp04x
wiU7uBEn58JNyiuBdQ8mGbCvTWZllLDz9Hcv7c9OQNynA/o42kIkWH86AWu/NkFQuQRTCLrz5RXM
we+/NH92AH7/AD+9d3bDsfaMEXIGTKgpQDMrkeZvG9s/Obu+f5CfTtnIRP4yw1I8RyOYhoPy70Br
//51/FlJ+v4hfjoeZ9TqAa4eOcMagHoyYc/GTVSCezZfvmz/293RX+4DWh/oj7VB/1+t+llRv79u
jy5fOjTA33Ymf1kPtP7Md10RNvwgRxUEa7YUGapv3Bn5D9xAApABzREM4+/0CgQr0EYg6OBCtwB6
hp/62hWFMHqgbwSuSwm2LqMi/YOuyP3c93wrYCt4tg533ucbFBLcjvSna2noZe3RkSxn7MusY6xo
gwEQYVDp6HzvlP02L8KP3uT0ad7pV1uDqljdZdt4R0nzKu2FdY9UVWrT+YIuWOBBFRYW5JXCQht+
9nm1mfPwyq6QbOKOJlk/2VthoovJRS9ft1ssX9vpkpxRJj3U50Xg4ACMpvzp1qetBjfufLL85gh6
rkuwXI5dBL5Y532B7Xw9zWaiaNxb9rZ2+d6mE/bKkPAh6NwrSaozjbAKSA8NMrXuWD0If97mRsC+
ptF1VTK0KiJpqB2mMy0BzlawUmblfZpaVoI60x1u0ojHmem4XSwYLkiVJpbv7GpL2BtmHKxLrLC8
RUXcVglh3UHbTGSkmxpg7kGUQpZJeEU3UV+9Ms1ThY0scTfKrUYDJ5IWdpZZArMJ7GKD1Sq7oWmw
N0VFSS/B8niVsydze3Ttih8cix7yZsbKxsHuklwEpwmL15Jo8m+xO83fzOEAaKcZ8SqiwTuHWBvW
TBos1QIEnUoKij6ILn0B4b5pIJyr/Bk9wF1phVBxLXfnzfkn9Legt7EkDQHDOoUvMcUEsm9sed6u
LXJUKVHbd3MYyRis1r5uGpN6rLtxnGoHUC5IsIwPzPyCnX0tdKC9P2ELnWOvxHAZbXiDCNpS8Dnr
sfoxpkx8xKJa6NC9MybKWshN1DvYLk1FhkWxfGvZTpFayrE342RHAvgQqbEjJgedpS26Q/R+Alsd
ij2yD1jAg3VHI4z+2CdBCQeJVv0Oa4va/DacQgRukd0AB4c4Xi6iw7IGOxwkPKBw3Ekb2q+N7Idn
dQqLi6C4F5pmY9ikkMnbY4PEiFyTIwY2iocsiW3Gp24Nl2Ah5INe4yYcq62SEQmUcY2iBMikYGXk
qV5DKgPSKssaW2lbtlXIsTRLiEvCelBrwMVD0qUkHZ41885wFbYaWRjKwWLLz/EYIbcl8jLVGpyx
I/WMGeM82uI+WqM1NTI2bA3bjGvspnR6ng1rFIcXzUuEbE4BkMSsYR3cUf6iQXpHrTEe7NJ64zm/
R0PfJ8xiBVa12m8u7x6wSjO1WAWZe40FYZ9WZjnWh3ENDE0K7eIaIXLWMJEvvGfVjUfpBG/BIo8z
UkcL0kfQvRC0bOnZrMGkZqi31RpV6gL/iL16ybCGmCxS3IxrrEkg30SCO2Fl3hweOwSfojUBla9Z
qAahKD4CX1WiukbcxEpIO3zoLHVTrkmqBpGqguZt4iNk5U55WiN0ZVn+bpGwINWaxwJiGiUDIlpV
EV3AGt8Ho4CjWiTaw6dOkOka13SXqJfnaM17qXpIEFXo1xBYtcbBoMyc9LTsI+TECO0QGHOcNFwj
ZB0vb1VFX6M1XKaNLOKmDx5gDjZIZyGCNrSorm6hsrrHWRhHS2WweRJrc7/oc//bJff/3k6U9Z4h
f11xExiPn+9Kg1v8/Vp515/9o/LihhS4k5cL8cBBE7RGCr86BZAqIJ0jnPgNlviqR6C8rthFRMFy
fSmvf1Re3McZkx52m4HyX3Hw6J9UXrJyId/NrmvlXTe2RytMAW4Diyx+HB2jOlgirCkbz9XIsVs6
GfrWPlTG8Q4NkIUyKX1E50oGl89Yp7DBavSS1iO2HfhpgR0IiPSX2MyljiI0t6NtTnMOOror/CjG
2knsD+UL1jKrh6mGbly7e8r9GHsmkKFZCSdjDn6nfeRQ+j1f0BnWcKqnHGhnHkQGeyrcdzdkKpk+
p3Ih6CNE5ZJsEFYfLyHEyLIME2+N50Sy+DD7ACdl5c0ZvMQ6tYfuzvOBvnraIsg6onJiuUsyTyr2
GE6RockfK4ScFPGBckuZUj69+lpAiO3rFEsTPwLX5Akm2ScfK2BjP/D3rgkT3cPqxqLjJxyX2zDo
liRHyKcIB0S/ZL0j/kjTsQ130iBJPnsj5tbRvM5t/lorc7ZbHJoUN3/gdsST2hNbIcweBjtW4JkJ
y5RGmJMh694YJv3UOM1T19ISlzJ83VyrT35OlkvEPl94R/MjPF9sWqekxoYyP7Oa0Lkh4DtSD3u6
E452EIysgWA8iaND+/FDGI0DELF2UJt1FdjiBTzz8qDdVLNrJxXWdmdhUUD8jJAk1aSRF7Mdmv/H
3nksR26s3fZV7gtAAZ/AtKpQlq7oyQmCZJPw3ufT35XUkdTSOfojNNdEIXU3KTYJZH5m77U3GREL
Ww/1NqUGI5geJ8Kq7bIYaQUs8UVPwqDUu+SU6FW+8/ypvzOdUT6i3I83lQ5/N+ty/RJdM3rDKcte
qhaNLQtpl7uqKG5ZjzQ3sWsmB89o54vGD63NuOTV0cQwyW7GttOLcCprhYeeL4ZW5uZKFnr4PnuJ
5m3AtDeH0tTPWeUbQRxP9YO+8I3fhR69jJb60Zft5QOUQ5znAC+GIMOMvhQmMEDlTx+VU71rAS9j
Xe8XXEVY2Rtm5R3Wdl153LVmuGqV6z1U/nehj4h3lSdeKHe8jU3eVn75ptCJEFAOeqz0cMVx1il3
fal89q5y3Es7MzaVcuEL5cevvq35ZnInfvXq49qvlH8fCcn4iJ3RO7hVjrtf+fw1D8d/h/V/VgwA
4NWbWVEBvs+wfw9zZWT5+8P8rsrfyuq/j3H1UT8f47AiDF5ysiY4zP98jOuuZ6lQ1l8jZH5f+Hqc
/b4BFs9Cp6ZEbz83ULh8hE5fZZPQYjGn/QcNlOHxmf5yjAtM8wIqNeA77gy+9J9HkLZXpK09mMs1
bpb2RqRLcZsYtXiucts8LuqdWwySCzzGhJcTVmgeet5NQ72lQr2vsXpzIa0lJ9evwkBoPfs0UFSB
h+kzV/XLaBnhBfcSnKC55+NHlt/gR3sMrBVwRc3zj7MpeaX6uN8btZV9JLDud2lJaaQvEkNE3c2v
RRxHx6pByGlrfboxS3ZinefVa+DQj77ZrOPcelvCQhwH1/C2faVNp5L3OsBrg3WhR0Y652TSWAPn
U5Lh53Mb1LyJs7dc5f/xrZ46OpU9W7k0/ayhUtiMg0F6SBl9ibR+iWeA6DiR10lWHzEd+Os5LbOD
KX0sM7YwbyIjetaz5ZgMVru16/LsVI0e0Fxpu96N5FFGg3XkkBQB3pmToTXdIelxwepxbO+yvLRB
p5vh3jUg8CQ0GMcGze4qrMazbKmpSYLJV/QOEjqsE6SZV63MyL8iGiVbjUR5HLVBi28TrO9UlAZz
/M6kMxRTfWji7jiY6WtTC3g5eV+u6OqRndHyxVEje9z7/MAQMrU4nOgNQ5rE1NYYkNI1zrSPqPfo
I1VHOarecqbJ1DK6zUZH6VWoDhSe2TqjJQWNei4E8ulsnncmTauZTr1/YatOtqWlpV26qWhxdYD2
iFuSQ03zO6suWNAOh6ovdlWHDAclom9xUByVxamjjXZUP93RWI8xLVmHUBCGN103fco1dut9STs+
0pantOc1bXqs+nWpOnc8LTdLmG4lLX0hkx5cVLH1bWTrUDUvnaXeoLN+8CxCAySDATfEkQ79/7Uw
23dLzQ58hggwUncVQwW8+fhvwpoJtZo49N+lMfkxVQcZFaCDrdAOaDygPITcOf737SOKJLswvu+k
QV1PtbqohLqyInV5/XsYf8tv1Erq/ziMk8+2/R81tfqo3w9jfBYcnAaXofPXwxjZstK9WJZyP1DR
/qG+8cn8w2fBA8DuzXJ8PuFv0yyYaz6qG6gigimUmoH9g8PYVF/anw9jjglFMUEChCyGRd+fD2Os
XUWMTUq/5lpg/VPINHCN1yr6ofs8q2yEWre8SLwRNM7kmxdTza+3prh2IbcOTb11veg2H4bXrpNr
fdHo3LL4uWydHW/+rVUCcyVRAq/eCzg43rG5D6TI4HLhkUPpM3KeDA/1XN4zzoIR6Ov5ummMHslp
/RKmyQZM48lBrwrn4U1yEhupfDZtrVkXc3+M8eP7cyrAMyT7bsAKkpbyGef9Hnxzsraz/mYW8Uta
lA/Sqy78tHlmulisMsf80qbyiYLtMTMQJONR2GI52EohbxI/Q3JCvg1k+mE9UQp5CZZQK/QyDBfT
gaiuVaYtmBRKeycabdt2HJ5L4T02Ew6wul/AuQ0YMafQPqU6YOt00vbuhDjASIDZDgjiKns+mEge
p9q9nerhlnFE+5A7y1te19nabbxjFOtPOugScInQGPT5MspqZzVFQguctNz3o5aiAxhOtt0duAXp
UULnuBg/cM69RuHwsHjOhBuNg0N602umdyrhxbrMhf1pCbagiMIeXIlQYtIx+msIgYhygiAwjW4A
VH+fdsvO86agHhPEn3zPoii3NxOEAWY/WdqP7RXESSMOQqh4ux5O8nzqK5Te0q71/lB5XhT0AtQA
89EUC2qltwLYnA1VA/Bu77/lYzNh2nfMnsQWfS5Ws4Uofl0wt9gsOZSRKEbPUNv+ZTE0Dfe29VHG
iEW0kIWMZSM/Mc2Kf5v0zSS7D05QmyyN5ovFo0tyDUC4spArYYC5ipzsVsh6OQlLXGkxenUca3wO
3V1VWvycz/ZL6c1AJuYRBFUG9ApxFARq50dad1/mMn9KXCBEMeSPEePpFd6pS8pqOHydeWpLLQGX
11sBQ+Gb2bSijeVneztuX0gyITNIs/PACb0XfIe4RW0XdKCYfiCJnFZlPmEZLHp/UyZkmehU/5d5
pF1FL/m4KaPoWM7pD3um2yt4XkrsN5k8uSWFSlWfRyuNgzibH2qbnAiXYVkeYwnCBoCt1n0K0Svv
HH7FM6anSDbnJMzXQPI66C8vZHgxOFq06oS/UiYbPhU4IJFtNMhV3Ib5StPibp23MzyFiZ94Gje3
AyruQwYgHWjLlWxR2Jf1l4uPcZ3TOOrbZsnaj3/vle97RTnx/v5eIV3ybfxs37r/rvPVB/58tahQ
btcls49//Fzn6/BqITtzVbArUWDOn+t8xpfwpSCAKm3JT4sS8YunHCpsSGDDKLTdP7la4F399Wrx
2MUgl3KRdZoop/4yrikjD3/A6FXXOtuMfY0dhAGrt2qt6TSIcQGxZnYX82BWO0uXeETn4aZMbZwP
ZfHeotvbdFq3xwPrBL7VLutocq1VarMhwHMBfVabzE3cexplnCs32jQXN03kP8UO1RCTA2s96/JE
jNAFzMW9V/k4KbR41yz1U+hF1Vo23qVsF3xhVTbuicE4RkVKXIDtHCWrYFQY4hIi6kPk0Hb3iXf2
J16Qsk0gA7RvJiIr0lqix7Fw6tVEqh85VmJk4SIv3VI8zSFxR0zanv28enLn8eRnBroT0C1Ocdl7
U70m2eahbBFvaQYJZeF0EtK+Lct0a0Tai5nMa/CY217HMt619UUtqmcq6Cuu63QVO/OOtAT4uq79
1udYe8s5B+Uv+iBxZbyC+5dvrHZWB2GzBJ5XQvwax4WQuuK6nWb6/MhiQWEmK1zlV5MSlUZyMnbM
erap22CWH1MOG6R7milvrND9MPv6PhuW7eShn7ei8ma2WaHExSExi54JWHfjDuIhbsIoqO3l2U1w
IyaTU1Ny2tk6L5NqayVLtylNgZNJntu5FFsjzo+zkX/GKqfB680HN24N0n3McO1W/nU6CvMqD8V+
9qK75sqO2WPgxZu8k7sw7UMMuk0E+xubOX7SU7j0Vj/u2sF7jl0GGgOanFVeJTuspOUqK6oPGD7V
Ju0x9JmNsc09UEKK5N8v+wQxihIYvret9Skck4WWHu2jxr5SGT/zCKl0QfIXpFxNj3Q/xJmxiKYe
QDlTNsfCcQ+5YxCcFW9bL8LeTqZasMyzyZKLFZr3bT0snaEPplE7J/X0w5fZ1K4dHYiiDitANjY7
IugB1DYmYsl677vKo26iEC4pFDe27e1NhSAgp+CNtK975lcbJlKBroCNPLo8R/5TZY3WOlYwAxw9
TZD40RxkAskLPm2BQwP8QZ9jA6PxuPVHUkvN0ALCFMNvci/CsTNgEYFRyCNCQhAMDIEH9mJrKdwC
A1l9qykEg05s0GmByoAI9MNSmIYeXoOnwA0zGW6HuuPvEvcT1HOJ696GExDp8rqqeFNSBYGA8ngT
QoWIC9IDagWKcCFG5KX72kOQ6KpzYlMrtsAlPK8ID7NbXc3sDVcjAArfrH7YXQ4BATRFYRd1IIDU
brRZyza1IlhMjuJ2NE60iaW2AzCQyldTIS/aizQ9oJwOkgq5ahPyGIxF+LYoVoa5NJehomeUYDTm
2t6XBhfhAmBDi7LPbOCVMREgBTUQjs7Hd6yoHICImf3l+T1ZkF/+CLojmnnuLEXzqMoosInAZO+K
bG6MmvJCM2fn0oADoiUFYNkRuBLph2kgfBluZgUOGUJWNFELTCSexsuxzTwKZ3a7uZ/cxS1Ps2NH
xFbkXPx2yE+cxDVySxd5rsIaYK1S1nbFKNc1RBOL4pYqmhcrlmh/NQU+gSsZbtl9pZuq6e09s1Pc
dvExI6CQGWFzLmzrlENS0UP9PlRGfcMcj6Gy7ltSzmjzKjZSTMKN9jnznW4K3K5003U3pKdhGAFR
9qNVmDAoQhJJ0qRjhBvF/5En/Tv4s/7PmkDJSlefZdL/j+Gf+sifigKSnVnjIJ6g1PjT8M9APUGX
x+SNokG5Wn8vCtxf6E9xRagEB/tnvL3l/qI8svySy5bHoZT4RzWB+LOWS9k9TMcgvxoIpgIH+X+R
8HQDpnjWptoVnv6UXJ3DmMAfKXO3XJUEFm0zsey1zkYVFRdnnQ38ekzQNk8NGXJLX23ytAeWbRBW
mg6cnK7LRGpawk3TeBNZnd07eaSPhAa+1npzuQyYVOmzL6iF28DGNBHW1gPr/l1hFOkm6vPb2WT3
6TTWh4uNbxQuoWWWfvZ1DcKjh9C9TdsnfRZfXHfzNp3qu8JMH4RRGIHMeLsHTUhm9fSVA15cpphg
hrRpmxJOSiaPti2bbICG3eJfJxrTDnHZwxY7xlJMyYaFLFOfyUm1TTjbr3U+ass5nUZv3LLUmgqL
hUhf3Q9NqtcwtQ072uDcxZQ7+fBx2bsStYknQh/EulmsYHRggkHmvBnShTARpmNFBa4NEfyPXojP
EO/NKkw8Z2X1V/n4YHa44cNlIlHWH0B5L9WdmI1sRT/8ilUFmLbfmtxhaA26amRE1XXHRi/fGzNO
WxBBcaUHzjIauFwL2zw3GblTZSwcmsTsXo/HX+8dRGD6Ztbt59KuHvFdVte1nKsL9GLLmojGANrB
tRXVhzKvrjqj2xUMsXJfHEEoPZMEZtSrzFoOlYtFs7T1gzFkrI/4ewdWz+UasnRY6bm01nw9T2zf
kiPeQY5pvn00PiGstskqrvE43OdePm6LGheh74qTXSQ9JJ+pSR6zTjOx0eYuzkEDZ4o0l7PeyQzl
V4fdLq88uAL6XTQu57AhhlG21jV1JlG05r7p3LOTikOYy102DpyoskNVGsFiKa5nHzT4bCpc+7i2
2UN2yHzj1CGOt8BfLap7uFKsu7zHQgP14LfdHmX/fV3Ki3ZK7tpieE56Y29gKMFsGNfMBbDEyMTa
zePkbElhMbezWC7cstJP/Mg5w4f0ExPFamz52rQlcgKCn8i6Mkl5lGJnSefVbAlXVWi3fsgvZRTe
FhCKD4vTRxd0qnfJML2XGvaV7r4dDGPtN/45itNNjRW4rOWxdY1H3U8nCDjprktaCqeUSTYNcdJl
r8UQoUIR7lYNQVZWU2/iOkI3osHxaJbpzQ+NKtALTD+uvJr08TrWvSfTnE5Vp7FrUigN592qdXej
h+mdjOLrCQ9W007QOozHvNGNQDdhdJJPyURcuwp1f8dw52pIem+FF/h9DO0iQN9w4ROnuELAdMpz
/hgrrqkf+tXUFgcvGi7wkp/4kzKYZ8s6kgDck0hBXNXWSEBFupIY4NuYtsoEdR29pIkZlA4+4NbR
vyQtCQlTL50/bScfRKjHl2B5r71XMqiAEg9faGMZw7rvrX0b1c+LIInZLMjLmmz3wjOHW89ocqzc
E4y+1npOhvYwkXWea2O4qjz7bKXRgSXM2SzZuS5yvHRGQIpU+7uwbL2D39b7OBOQ6LMnfGoXkd49
iBK5BXbU2z62N2adX8bYwDN9eMoK+65N+FkU9fhhF7xqOmbk0byec4Ca0YI/OU3GfW42p8Y3b3lI
jtWQ84a1/TWBidtRsDPkan9m/7iRpLRtx06/qfLppPnGSbN0yrBJO9hAEPXW3vYtlZGc9hNbZerb
i5lsjz6X537M+pUomkvLak9zzSPrUZcUXf7A1uU1m5Jr6rVD39qfHbTruHIPhhU/jl1y53jdPbPT
fOW4VC4OiKbRe890EqoLsKuSXO7QbC+WvkQBYPKGGdNlXGWnRJavc27d+TlrAYQkUNoa9p2uvsOO
tyUO+topqlMivK9/5xXf8wqL3v3v5xW3CdOKLvnx+d/zCvWBv5Umhv0LzGsb/DVWU+bXf6wlDYwr
Al0nnA5Vs6iN4G/qEht+B+gOz0VvaatR+B+TcOsX3HaYM1GLqrAe5g//YBL+LYH+WdYpLGa/RAFQ
PcHtttTI5OetZGwqZclgmZdt1TC7vtBQDxDQ4Nt6VwCxs9MML4dpZZvYDXlvAK3JrbEshliRnuig
H9Tz60FZCKhAtIND0O/lwJx4M5ldeSpCv7hbrHK6HsAeX6gy74Pk5OloFlN2ZxtTe4K7RWxzP3NT
MyfdV/jltkbaOgTwkO7xGmOn8Cnj/WzTco/Yfr7LTIOjNC+d93F0jS/NSiSKChfNuk9CxwomGpej
xxi/dkGkmSn9g54W6yQW2U1RDOG9mfqwOmotj+904MgRCB9hNPKA2o/JMN5tD2slaY+Ryf8Qv8Vg
rkbDNiDqAXWoljf4nuO5bYnXQzbZmvYmlO6oX7luzcDeIbr6QUsl7KZmzIRYz0ohwRlMAjZW+aV5
zQbqM3ssWAlAddkIGqW2JrS3r2GjlE680cfWd05jbbVv7AJcqEcx7DqMUdAEtGZECrMkpWURLNCl
hyVG6QEW376VRjeKvTk6CBhE+tFzeR5rN7TkpZM2/cFrAPDeyhTh4NI6JcVDzINJqLdPZrC2+/dE
+HWCSffw9ycCbPOhe/vv40Dno347DqD24D3/XVSgxoc/qc1AelLek7Zl/yoB/+088H8By8RvoQPD
56bE3L9vxjyMcby3vynA/+FmTA1C/7wZo08yyEP69sB7LOr+fCBgZY3I9g7t60zWYjlItyqs9zG2
+vDadNdWUUDh0UySGhVAYYjvFhsPUcaWiyEXOmKDdMjVlDdZAKLZRhxc6HudyJmNN1tgc8bqzVhk
tEYV9Sabbt4UVtxhbAFlT7wM44n0Jm0IS47gjdcFiZ6jR2Czt0hgHj64H7hkIaVsxhJJK8aAGzvn
ZOpPQ1n7K0MkT6PhnhOr3Lk5Sk2Aw+Uod0kDYm3UC50VTnUmA/KxcqsD4xos9zkRomavAckhQhrM
h3zz0/bsuo2+H0CMwBM0b0y9zy8HW1ZbdhvlBtV6RdPVfFlh9AY+GDGwJoJ++WTE6KAQb4JRYx+S
F+XlbNpPdRlBnmT2ube7UqUxMQXNaoMQvIqxsCT7aG2M84nMgDQwW/k5cAIOtB6GP+0MRN9dXe06
qwvattqAXUEDDeNr3Y7WZw9zIpvAJ/r6CoTSRYmrXyJtBw0XErchevzFyb2nABZ5Xu8LiBZzld7n
EC76vjzXrX6KIV+QBqViDYozq571oOAY+py05a7XkHd4bn00nOK97GIopCK8AL5yUaoAKvs7i4rR
ens2ZsA8r2mbR2bQfSdXAYNeavpNYBjk9urPxIf4oNLH7INtMRSXdiJ/e/hAE7ilo4/Wk8dvU4Z/
MsDr1imKuFUxzvt+ia/sEgI7c24q4D7+miBWw4dbXuj073s5n43ReLVYy+iVfElGfESu01mBiOwf
iTkfJz1aXvMYAQpRMmJtW4yvx3bkSgBp6bRnctD3AgT3xSCa+yXhr0XmC3zayLsO5w6qfyxBRBKG
GtM4OZnrB7276Hspvoy0sgPF1ht7It2Lmv1c7plXWYRL29GSY0vc+FwbDrS8sV1rVfwRZY1c58MC
ZnwCmpsu0c7UuheABvuK12ZdemjovQVLBcpwyKEw8gySjufJDlHzaygrtOe219FjWgZAlPTBCWOs
k+AsIMfC7fQ9OgnIfiITa4Tgx5JZ1SouauSQtL+xm311cX9dF/bb2EHiyWGGZkt65Zn6qUa8yDLN
P5VTjrHdssZ1agOjUTHDbD2nXTOTY95j9VyZPlKtzHuRogqKnCDeLnqxMqu+k2zRVlrszQrM+0BM
1N0MBlj3p+cmtpGfxP5Bzs2JEOP6FFbdswv0h1DAO811D7HlXWskyca6+1nb8qoo2n1W8WxKF7Ff
bZTDZjSj23EEmqNXezwSuzaN/SCbfXDk4+y+dmN3IFVruA09Aj2SMt8Cpjq5fZcF/15tv15tDKX+
/moL8v+3qVrw2f/jduMDf7vdQKuoHEciXWxPceeog3+/3YiMJM4JhqapXN+Kkf3H7aa7gniY/0Tt
qTvxN90H+jwd15EHL10t+/7Zco5C+a+3m8fn0bl/mcPh9jT4P/1c7jZRODuaMXbXOoOZSfFzR0C6
GtjPlUi79kaTirJLHvOzY+Py8LGHrHqhCYC4MOE6bSwRl8GSyyQxwDr4XqbwYtNyIK1rA5K9tMGv
FYr3S+52i1ptqLCx+OO6UVzgFEDwoEjBiJRj3mPx4AMRJriYOBAJGFoAGKZAiPYtyOE+mZ/CiXdq
TOs7zAKAm0kU2Bt69EFKwf1s6SetGK4qnSU2B76x0tuU2s5heFQDPM6nZLcoAjL6OeYk+UvYm3gH
6+4UA0vWxyjfRo2L0WFy9RXAtXcXzfa+V5TldnaWrV/Nn27lfkLcSDcgx4ZNB5zZn61nnLvlsR7y
aoXW8s0c43OsiM58mR9+WVxnjGs8axRrUjyq6nHmnGNaZ+wyA6ClA72Sln0bVZCWQpYNFMqfbm4E
syJdVnm9Q+PwQ7TT7eRm0R4BtsdFgEM8m6TcpInmBoM2X4t4slYJPM0EruaoAJtIhrA0GUj1SoXf
RC+4y8fpYLn9a6EAnY1CdQ4o2qWCd3r68ujl6eTdzB0q4rqfJXwsz279i1irv+QQE4zBcizoUgQW
1cz8zFb+jCJhRdokqX+omyU+W5n5ACsK2vJCvWASjyGjzHqRuljVODr84X5w8+iKy7Y+Sr1ofYhv
2b52qmBibGGwGlqhFWLVxY6QeVnyqHaHWFsGb2Up7aUVMUWpoQVsnKonUUWrbqI0RLiHAwiP3r3Q
UPJPKYzyYd7ruXu0h5JvMcr6MJ2faif5IaziItRghpRGg+qlxWgitOHNLjo2RLb1whDwlQR36K6R
2C2+XWEMSPemzuZRgLuZ6fY00yLLT7mRymyD7IghaHbhhoK4GUJavWW5K2T5heLHC8bBc1cu49F1
nUXOCrXOh+FqzyjEWJrOt3ncXyyjds9C+rUnkZkcen/VDNqpmUGLWOHDXKanZSr4aYXmY1RwWcdt
eB/O4tSnfIdqMwIeUxONnnn+VWnaL6GYHlACyFUe5SiDNFQgItHfO9u/ndr0KqpbPIaKMC9GNVS7
tWhGV0WYnNvOOBCRt7Yx3EdoPwd3OtWa8x4t/aOHRSwqHeiIjkpM2lttsap1YNxZtzw7g+ft0khD
TpVQfnHMQbJtNOwNCuEWzkAFGN0/t11xtPzxMrPMA+PRx6EENzhqobVurOlQt06y5oEFvKjlt9AJ
32urAGWW5Uw6XW+HeMgK4I15QdiT2IHpA7u5T3Fns7tO6yI9lKJezx30bxP8ojpxOaWYMmb2eFPR
srLp7fXtwPA20ukdDaodnW8BZ9LZWtzLdPA/2HyoSsN9MF370rKbFNciNL1xqTEEqCOujSXcXP3O
9MttLmK2x0qG2YHCRE+d7wtWrtClWKFjhVu7PG+DjO4M3X4XBQVnZHqXJOuFuygisTPt8ltDALRs
Ipx/iynezURkgVHmUHfdGmSORgpGYtqqtNtmENvaXoZ3aSMZebbGfZmMWCWp7z/qWLtyq3EMSIQD
7Zs8TfF4Te7QvnC8L2bsU9CjKgCFqIOmbGrcpJ2j0Rp0sngqIk1ETLqjZdW7YxXg/Dk5XnvvK5x3
q8DeUlavlUx8tvmjhatMPocjYG8xdu9uj/xODu2NneRXMcRwC3L4DEHcUChxq2yPuTQDuAR5MPTO
GXL45eBreFIUiDyFSO5BJtc1vB2tgpU7MBsIix/uLTjmyLCPOVzzdFTBVwyR+Grks6/Y583yWDjT
uZ7SG54HvglQ0gto6dJhj9krqOaIhBthycDmor8rYawbbnfUYa7b+vxQmmw/bOfGhcle+3aJb4W3
WuHaRe6iwlIId9/FApEorHupI9DmjN1MSb0vIb+3CgEvYMEjgAOSrPDwjgLFQ4sHGV+nB6kg8lo2
HcpvrLwCzANeNQ/YVpONr/DzlQLRZzrMJSL/jFVExhO813T1b1X2XZWpSOK/r8p+XY+25Vv7I/lf
/gj10b+XZvYvCHJZdEJC+HWl+XtpxiDS09HRoIGyhY5D4Y/SzOF32IPCBRagn75hPb+VZhalHhMJ
sOgue1d4Of9kEEkx9JfSzDXgNDiuAI6i7Bgqk+Xn0synMCPQyoqvNLCaG0cNyDy5WAdXDc1QNjE/
6wFntSuX7A2xBrzLjC2cmi7F/Zalgf89hSNYllyzpo5mqho1qJu/Z3YQwdUAL5qJ+zBXcz7ipqUm
+B71Wd+K0Ox7Bkjt2DIQ7L+ng17P3KB1MIqCdsPQwe0u0/uiYo1o91FqrnMA6Xex4RUwyFPQNnUN
Ca7q826/xKgTc2cQj6UxcjuwLyL6s/DpjiynlsvaLqXBAAXX3JrmybuxsrF+sWCUvmhODT3XNwCf
G2MeXjOuiTyKkzS5xDHtDWsCEyC1ewl8Dr8yD2WkF+vCSodLXRPFlXDL8ZbJRRy0QIptevYSnZcW
Oushb7xXsyxmScSSX0kWZgNngPASh7g0Ixe3NPyVXMu+SPZ5K+RHYWoqt80mw3O96OzhzO3gOyne
FNsaSP/1RqvfOS0/kG6TzNr40nNYG0E2one1U2OIS8AeMeNRRp24WQhMmZBU+HvSwvhjS91GO6H3
8ty1Y/pq+WV39kUntmnuGgh3Ozu+L6b6yre6erqpNL6bNyXcRD2IOqUPjsJqaGj6jCG89hIzfcny
zryf/YGc1RUuQUqjUk/yvW6VPXZArw7TQ8MCeT4WIrGnT3fyok+I/2I39Fa4zZO4UlQ2qHso8JZV
obVik3lJ90zbW7fXjaYxXGBa++/J9Ws/SW/19yfXFjrs/zqxdD7q9xPL+wVqJbsO2kkBKIs+8/dm
EqUnwwGThlDnT6j9yG/NpPiF/2YaivVDwTJ+zmJyoHsi8cRD8B/Nxz85seBy/OXE+nb4ojrxFMMT
ZjpfxM8nVlaAf8ZoJa4YFR2jvhnLy34yF3edFmNdV8ibB7nzpq5bF3ERIdDwVfpu5Zfwg/s0fpmt
7q6Im2UTd2W2Zle7w9K4yXDPULGVJrvhHK22n75bCOYoMZwk4E1rNqV0rpCv9ORuai/VVNwCNH+a
BiIgzz1E8Ttg03sfjXUpQri21CCRnmhXWVh6E0uJBni2Fr0sdR/fhNjo3Zs4X8SNU3pdvLYZJ0IZ
QBdaIdQo9PLeFZq1DamwpqCbjbDnPehieAa0ECPpQ9NTZvox+Pas2idxmi40D+3llNrHaXBuHc4O
iLzloy7z+8GGSVzF9YephKZuPOC2Ja+Z8DUqMes9LlO5ajX7yh1MtKPz44BnbG3RymqjttEKipdI
6SvtusZhv0yovkphB4YdPyHn89aFm6F4c+7YaV+TSs4kVkt+gJS7Z0H9qdskvHUF3xTH68/CwvgU
oW/cT3x+zBh19rpYERX+lOx1bGYIaxQ4Iffum9wwt1WZIdSxetQhqbmPOZnLcWw3IAQPVmwRZFzE
Amy0kKtOz8oAcU1OybMcrdpUKYTFWlox6lPb3FcZgCzTyyZSBmfzgJDEWWmD/kOv/I03EEHJQR2i
IUESUvpvUVxh9hO4shgSJx5sakv6dyIE0ezH3XYOtR+OL7e5Ph/IvbiKWije0Ok3dUvyelEqz2xY
f+HQ49JMpgzdTvExxf6Mdbd85pHumeaxM3LV0ILH62wbmFZ6r7rqUefQ8YY3ud+fnYg8oSg2bsNa
Q61HLwDWpXXW8Oa7Nc8b4ZbVM2wWCJZRf+z5CfbdsAVXluxmB8myqzdVIEv7UIzL9dw4T0bXX/l9
ck94YbZO9O6xiOJbIlYTVJHDzohc7UC5aa3GuL1dRHivT/pZNgOviIG/Gb8gspEkwWTRhjdDKPdL
Hmr4vrWPttFYn9l1tlscymtp+OQ2Dni8I6fDB44bkvQ9eaxqcZ2SZrutsIus66G01sUIiaaxpwvk
vz9I3MZa6BF00iWXblpjD9fFiYxqY6f7OeAzNhUGL8DGNtI3MCvTdvH7a3Aqz6MW62te9XGFvdNd
x4P1VSwqKbWuSGesiWoVTOgBuQkx468suW37DFHSJMu9ZvN0hqoZ7fLkE4qJpKwXz87k3JkGP+Gx
wtyTt+aBAZe1oXS5iEcNgSrRRGu9sO3t1KTXSeSS+pLdFvl4FcU821Ms8OSkWZAU/o0Zlc3WzZmE
TPVkbZoWN0dTuveTgdleb/Wv0LRfdSv/oFA7NNP/Z+88luNI0i77KmOzj7LQYjGbzEgJIKEVN2EA
CITw0Nrj6f/jYJNFVld1W/2zrWU3C8gEkOH+iXvPtehQYgyDkWa+25328BkcWxTFQzH15sYMhlsp
e2OXusVzJe0zR6sg4KgJdmcfPXt2EXX4tceqRGdlmTSv1kSkuemwY1XhaYPTXLiackYJ5kLj8tpa
5nPjB9Y+0BmE14F3tQwjPqQ+QQfc4m/BEFCuyGJ/I3+pO+gentiyh79d6/le6qQTDx4SGYITvtSu
fdsXPXnmiY8seYiAp1EQhFldl8Rx6acRafJGONb7uEh8KA49cWaO4RhVHuHFJfo7DCyrYGjYQ+jM
mqDov2kjT7LRERKjR5NzSmeHVK+umUMfWElomc3NVNJ6SR9BurGgBEvh3lg+mbaxJcPUyWQos6S+
KLzpIAtcj+XM/ktDu4N2kchYi09r3WZvrlcyP4qyZeOU0Ta2Lbl3SzQmVW1vBer1MPHcfOv7jKw4
D5ddmTVfWt/Zlq0GAT3aVQwbrhMtdQk/SwNSrthTB31BTKzGfpzxTHTtlma99RrjAFz1HIQCkvsi
83dM+EjF83wdn6qUx2QYvgrC4LZJ3VtHs7ZQxyM2Zuoel/ukLJf7ZSr420xS2zqYC1YaYwlCo9HV
Ov14sCDGot/zWXo441mcB8coWM60dClCn4JqGwkE8UWE5cm79dFPnVPeotsdkPIzubiqh+SuNBfJ
hWjkW7bhEJoSrSXYt39zG4RlhWv7u9nv57U0IFDA7UUumCdXfWpeldGih6JKx11dL2csL8+J0QtZ
wFyNUBE2Vtbo7PEYFKZee6KkffNxX+RdxCjVC5QzVnNw6DpklvlyAyeAUOylQVegTw+I8V4qoV3l
bXorYAWtdVN3N1lruKvWrt9zdkMxRJ9tb9lsNlObb0l+Qzjl+nOdMjcah/QUBQPOAEMfw6lpo3UV
CfBBbEqzOYsfmiQn+i56xi3N0IVH18uLj7bonx1LAzDcn2qo26HdF2+RYwYbIyCaAAb1w1D5Kfl9
KdMfTbte9FoPtTy9MKBQoJ4UZ3lLJWJzpzrayAFmGO+z38G3j879SBY7PZVHVnqBQnURJl4+FrI9
zaWJ30IWBZJQbGpRe2w648zJi69a7X9MM62Ny+y3bLR91GXvvjZuu6Hqdx25w13Nv06V9kAc+/kS
nxXEhbeDh1BevARD9pp0HL4jgJKs9Q5ElqhPjR+vO7c9Auhh5iT485Ciy8SrO5sXPs8psqetaWLm
wxi3IlT+Ns1i/mMO8LGAxd/mxsomiggLCmAoKrcvVGCHdK62DZUOClD3uDh0DkMNcqyBkBlMj4bF
NycpFuNidiaYt++son+zsdTEXsQ6ENG67pFlTBFjWFx4QRljMEOKK33rNIv0vp0mBmkdUUla3VzV
aXAumTmGFoaSQWPP6WWOAcaj2JF7wETNVE7TqUA9WKNzJ9BqS1gLU+sF0Ql+n9tibPjR/JLlNnXn
ys9ToCGWqh7ag2clx0lmH4nhkP8++ZfSyHbVsuuQx5j+rpVlaJB1rom7JB/FCipHsdZ9Z5dlqvdC
OFlZy6vlT1t3il+BnJ7b5sBuMtIT/ljNCzQm8ijMKXO4iMf2jMfnLpYsBJg8PRi1h88B8EkHB3Nv
xfneJCFm7EUY+VZ9XbptQaphmbo4DQCgao/JWFU68peya4/im7A3/VT50j+j+JX8dUrdSbXQVoLg
+FMb7AfiWE3ML2clHGZatluILV+1aIo1yABhqWTGqV2FdiGGMBqrJzIYlk3pj4CeZWxsctaiVlve
ojpkc26R0YGS2U49Z1VQeGlR2pP1HBwSz36BGX81pyRgJx779CSFjUXd1a2FsMG/TKOhxMHEACeS
ulDnYuu40vj7qb8dtfkQsNoOkvOmJWwsr+1w7r3T2KfIpbxzhfJZEeP+YuAF7QL73Fgk1U1Vv3K3
kAuU4+Ev/fsuTe1jP+jvwA7K3ZIxYpCjv7fH4QpzF47MhB0yrcSKumaCx1l+bacCjEKiYaGpFmLb
3XO7yW9MMW7occc1+r5pz7mLG97aedLhsnO6bj+MPNGZyQvill8Lm0T3zhgpbxZmGnW2q02q3cAQ
X0SDfzi5FDWIHQct+GwdnBa0bOCPJw3WCsuV/rJwsq8kHJGHYuBmk+mpivWTQzRZXo4n27x0WTJo
SxO2rRYfR716FFN86JP0uff6+zqo2N8v+sZvd7Pr3c5xt6buPcnG/JLWxj7oNE7GIj4s0lsO2ZDD
MsvuEzWU9KgFN0lfA7EptC92UY2PxTLGAGyzszkRGOfGrFrLYrmYRombyDWe6lF/mTNxPU3li6h9
HHKAwgsZPOdOdZ5ayWMxsb35p6H/bOgVkvKvG/qL9/bt/eu/b4fVV31v6E2oAA4rYOaPCBhdj3/6
0dAbv6GQdG2ePs9Askav/3tD72KaUGR/BZ9U1v8f22H3N3ybTCfxHoOm/5uJZUSm/bGhR/HGDprB
QgB3CL3Vrw29pZmT0TdCXLLG6NsjPQprhHQsbO3Rr4Q3bYrPUw5rQnNtYIsczAJbRrGfDwek27uS
8iqZTBQT/kOizk0S6e+gy7Rn+pxXyVMUZzNIjFKoubu5LrroUgqucicjgaw2HQQ2NPO0iJezlo8r
IkReSLPhvm7FWa0vV6U70zlE7QOF3I4t4rIdfJIP9ekrq+Sb2qr4BtZS7+OZYPHBrxAcBdcMKj9G
ZIqbIivYEhnUKvXUi/soLq4026IB0WW/5oC+9Kvoeirgn7hqmxkzFV3Nrb8fXdwXhYCs5JrPNkAw
7nQATRifcmCFzbgJHDvb1xYpGEHr+RSdkQvTLnkaRNNTWtONxQKo9lLreOqSUqFVLI3hnNsn+6SL
Yh0aN8uhlUmSO6NZLd8nCVEIAhr0roMZeaY3ZXzj9d786I7ggisPi3s3oz5NMfesYyM1TsCkjs1s
m1dIQBm8dJzZbuP1uzbNum1SFey6yFogtiDzHyPQDHswaUsoE6RA9OBEt86CCMTMaLH3MQ088+uW
zrUIJJvWjnix9Gh7ED0PAb4JsTXppUfpCePVaCwQO4Ny4wK2TtjCDJGfhb3ya5QsZ+142epIq+ws
INboM+bJasV7Xg2PTSfOK12PQ/qBXd4DyvEc5wIewwXWDD5IhJI4NVadhGW72T6bmjjPJigMjVnc
WfR2G/qiN5uSw4y9E1NddGhJj8aVPgPpPhIeKzsVTpItF+CPypUupo2oMyR8NhHWQiaHoaDkmiMC
52ZEyptiid+WeYKGQfIa7ZfaORZtvXKCkrlQ67wxhGrx4umCS73vQouoiwFmBaCs+1hFfKJHd8J0
xENL1rIFU51BgDtR7OtOtddihuQ6eIQ55b/M+L6JEWw8to3AZfD05k4g1v4CEozR+Rjqs45XatI3
glXpStaClZben7npjP7Nyc1Nqrw6OqYdV7l3Imw8k4dXL1DOnqjsPBikCVMChE8qfQdDofdeRPFX
ttQ5e+J8zUKZLGNlG1L+IUlyqqEcRYPyFlXKZVQqv5HPR19XDqRSb/s4jDCM4BmKK1hJaYaD+lgq
q9I/98fn/aGg/H99fxxK+SfaIvU1328Pw8HIh7gI3Q5U41/GwYQ9KQ39D4gXa6/fbw+bW8X0XI9L
IiAJ6ffbw/nN4xJyfNvEYfOJC/gbSnoIA3+4Pbh/AMnwHrBgI9m3uMJ+HgdbSV4b8ej1p0K4cHqr
PA3nqgBTdC2/bT/Sb7sQOxl1NiNi5Il0jN402JGaspwI0k3BVaHTbuQl2hSHqtUfJqdFnTG7DVFp
Tp5YaEJLBs8rm6AfBHNalI1mqEVBVX5ZWnewr7xhCNoy9AiII5zacaZuxovUZN0LUvN2Wdh9Y1yn
Mp/bEUIvkX3tLuvq4CJp9OQQk6qJu2Wy75sKnarPgrkZKvIybZEVodFM4xkR6HLLDLc8ebkYbtAo
Tq86bI0aCVASv452O2/zTi/OU1dUmxzQ4SnTHHuLHCRh1mgUBCxMluQGNaMD3eJ0IUpvOhlsv8OW
eWU1MYmmDzHbF/Lb4HH0tCnrhGb3kDhZf2dOxPXwG3Te/CUPdmOST+dEUcLvWtJdzp124y86Ud9q
oJsPOvE6vkFCm9P3TAlJ9D21epttxcDNYNcG1TXUXoxzFjNollSQ/iOd/bTBMjIMgsT8wpUKR3ZZ
uBmFOZivwu6cs6Hp4oMk/erJcjoLy7DJ0KEO4nDxi+FyGMQbv9Ly0ASucWt0KYCfjLCOC5uYgRUm
uOQkkeOGsXTSk4OBcxcQmLjJlsA/LQ2otKIpM0bEaJgTK5ZvdDP5OZKB7mEoFJwryErEaKmJtcjI
mbAmnWAGGaH0IInr2kA6uU0bp7uyUqsOaTCqM2YU41nXiSOt/oJ/S/O3jSPnj8lO8r1fF/FxJsiH
95Z52kUaufqxSDsoPpVk4Nn3g3veSJ+qI2YICo14Wc1O28+rxQyiY95q7gNih0e0aOa5yabtkrcf
bTWMWBddZSqLVKtfyiWZjzna10Oc0t5WKJwu7K6WN0mLi3XspmYj02HexOMSbTsEc3H4z8n67WTl
KPrrk3U/FASIfu3/vTZXAQ3fT1cTXxHLNOUkcAOHD/tPtTkOJoMD0nJ0SxkDfq/NbeM3m/0XxgRL
mRLY3P84XQkahgBm2hTo31d0f+N0/aNu0/Y5V8lwMMii4rRWPcDPZ2s/EAKJY3G6GvRjDPJW3lTd
7qdfCu48GVfl/yEe8qpKy777f//X1n9VIPBT0JqwBMAJ62CJ4uf99UUwLFtZJrr6ypqIY+lWttOR
2JtYZmldJXrbjJib3VlcL1Xq+qckSbynNvZMcU2FI9eJXswmPNR63c3VoUnmc9hDG9dKN0tqMJvG
cSNlfhU5WphX2kF2AemW1W2vA8OXCc7qxruZ024fyYbisZi32KWM0LGbo1aTF+6L11yKF4382aGu
D+RwPiFQZLKUJpdx3218Mz94CYFXxtx+MGbb1Xk6hXljY5ps7GGtFfiiemfaNyPjjsHDzw3H2upI
rSyfYlc/6AHMBTbd1NHle94FCWo2G2Vj8R7VsBn8osbyqs+k5nbtFpX8edR7U+iXStE0KciTp7/O
XXmEUsVFYZd3mKSPkWnetzOGMjPt8WXKbp3I6a1z7aO023LbZPVFmcxTGDSeBd0XlUJUtZg3Qah7
dtVvYmldFDFa276zrvMJp8AyDk9aZkGp9eaNY3qk1Zr9R+aRa48IoKIQr67Kyj7zptZGxtWkq1w0
2d7VSSNgjA1mMRtKAgnRf4B/FKwTl0cDR6XFn3NVDdqNMxGEUpj53VQE0C588aw1rY3fvj4gyshO
eT8Za3ScRw5gbFlGA+HMj7mB3qys2gawktNiMtf23DAszMvHaCHbOWrAxFexcWx9Mvn60dstnvNW
p6j3JtmeDZ795ndEH6Hy+PALJjkxdUPY9MEdIt0PO53WepO+c6ZPbCCyfWIiZsEiva7o4kazezWy
TF+3NhtKS5SHPBUsp8CVp75S+FpwhO2unza2pgdrpxyuOKzvx3ggCDfvEd8nrVqj3lLFE0HoxcO6
jNAf2uSVjrGHokUZAv3s1sQWgKaP6VwwPgqd4VEq3Y8sC744XDmq9bW2Fo0UtLJEXFCltOs4S+s1
58p9LJvb0nbwuQrrMs49L0yqZOLDOn8Zs5xPz9SAXZn4fYDmegbff4enDq9/Vr7jE3S3Y6vfizhn
ZAYQZNYA9I5xzypF++g1/5kcZURpMMw8y2BBTlMTLGQIu4RO9pYE/W/y6Vcxjk20r/ltBEtgNHdO
PC0rImz5lAe5uBd4NA/OMmdXrjXdNQ1m8qV+L1BowyHNYerUX5kOsCFlX4LGj8WOmHAe0WI+2nYf
5i6osc59KIPNTBMjs/OiYnSqaTftkAUFS7i8ISm3wMYzAvPRvLkKWyJx1l3uOIQnkRJr1bu5srgU
nWLtsc3RiCqueTYVOuYEuOAp8Z33VJ+bFcddw4LW2BZ5TQ65PLN8+0Wbh7MJGEDhDM/xYOOMX6yb
tjQ20GxuKsM6TIZ2Q6Rw6Grxgync545EhMrQz4IpvrI9/0oWCRqjfgvIbx0F8itzw5zxaBaKrhcb
knLXogH/07W0Tiyc2no8edhA2kbkbKaXkIX9hGCByUfma6wNtUvZt/APArGJzO4d7uzWbOZHrXt3
Bj6Jo+ttLZuIbjq2Cf91EE0YcLJBatpGp79+8OJx3jVNa66zGO6B49d9fRLgpYrKBlizNBtvRP60
zjPOrZWo7BrZjrNYu15W7drPkW37VvEgmm7b9tPTNOUPXaM9o8S2rslDXa648JptmzcvjWkcktb6
Okf+ZbOQBJlTyhHSjI6f9VOYNqO/1rI83RZLEdzZhS8v4iK5TeP4NTNbbT2JIT9rmVniWusJJwaa
uyYQ4bk0+StOyV2aVlkYWNpxGLunwagWNl5WsY00aOo174/wZ+4eUH6cAYOWu2E31MulBufrzs3Y
HkoZTJu4rZjotnbHCKMb2AB5xZ6n2Q+bvA9tlwC50einHUuSCqNeJXfon5L1mGONi3uWx2yDnP0E
UH3fifEK6tUNEis1J91lBLZCBYze0go5w+Iad4yXnlpjvo2Rdx0Ce3iqAjITGGdE/yU+VHVFvxuQ
Py9dP7Aho7j0TZ6jAMw/3+xuPtSmbzbDVQV30TUuM//O5V07OiZ9+/E/X/G/VhHqtZADoTM0GLp5
6IDoBX9+ra6r5p5Mh+nKjzaReGjkNtEe/v9eQr2Fn4LmcD7m+TTk01XNg4lQEWzHF7u+/V+8CONQ
pJqo201Vdf38Il0CkB5q83RltXdNdT5rJ208/OeX+Pc/C7+qn15CjUp/+jl6lomxYc/Tle3fFs12
QY1JFVJ6L5n8L6+kLDe/fgB+fSX1Tn56pTwZncIFm3XVSECnJaoJ8zgUzPA3Y3FcGPX95x/s1xnv
t89AoJsO8EDmAcyhf305xqHz0vbGRB74k0EH47l3cXImi6fPl/mH12RQNf91r3Eo6vc2fcn/pNfg
6773GgqJ4KLyxShAhabI6j/2AAbkJcgGHofBJ42Rr/o+yaFBgd6uU/zzhUSEclJ8lyITkIVFzPfI
AMZFhsb57wj7EAr+8pEkKwteA7keqFxMV7UdfzgnvATizaw18mK2akBwhsCzfVF7Vh196MtSOpRa
vd5zu1sIg5Z95QpBlFM0Z5xgri1uIpN1nY8PYd8aoydXgM/fIJZ06yqIXlpD3DIPL66Y/ScYa1xz
i1w7pt7Vu4vKdT+SmgmyKKDPGmWXblFh4GeFOoP1FG8vi27nfGFldtDKvKfcR64i17OLeC/L4vbE
lB3lFFtoJFTiDG1/GSKfldvWoZpluYHPqSAZqggMRGEIGE/2KI/CSc/9qo/OijQXW6ERo4SP1fSp
raGiFgI/2Bx4iFwUfqihxlsbwoP1NHMjIkkuEV1pz6h2L2t3Lo9eMtwRpKRT7LCqZSVcr+NAaqc2
c9/Al+OgqjxjR2bGx5JlX2BC4SuxR6M4TBEG49rO5D1yB+hWbXIR4yc+DEn23seL+UzZixQMceJ2
dPMm9LocQ4xUeR1xUAZnGGyMjTvp2pE9hX7u0Aju0sR0VjFK5/PW8659GH+31IKHKZF3Ws3gubIB
Gut+de256FaCqMUhrJNFmVR0cYtgBW/rk7GapdDOjWTAPyXbxHke6xjNnW4BdY6k0e/i4pObsbSt
214m/O1GExnmhTSo2ZkYGxGasYzvRDBXoOHC9QOYGSYrD+cANsi808whTw+w1qENjWVwmWLEaUjl
8tmNB/wSosuANTlrahF8jEYgzk0Ug2STL7dQaGEI/XN6fZuU0NP/9el19t6Wf3Jy8TU/Ti6QLQbq
c3wKqC8+YXI/Npg6zDgbSgPaYmWVYHL9/eRi0Pw5ujCwSzBx/nmDaTODRsmss9v5xnP5OyeXpyYU
v9+lDuZaqijguDyWOqJk7w8LTM+oY91Ilv6EjB5HIU40vG+JmYdeYwc7KEIv7NumbVM7yQYOA9ED
x6LzByRwnhLQp59a+uRTV2+nXU1a2JCxhMEZh/a+piGcrkoU+URHpHdoWzAXJdaCYL9bOh6tBBF/
7jDuLrG213rEZDumasSbXqphuGkvybb/nOs1hLUDBIu0AqOb0Xt591wkeMhq9n+LiUzGGtwu7bZm
OafGsSimpbqNFx5BZhlRRlNXxe0usGI9xN4Qo5Ho3ZD4iWynCdlspiYydqNwjc2E34NkdLd9IEtj
MPYikO6ysbpBxqE0g2Xe5ANCHc72SENGYtcausJ6cS8GSZB8WBMYfpu6rloHedBd3FJ2O6NORH8r
rBw7J9iL/HLGbGHuGo//LeOuelomOyBgCatb1q7mpPIOiIgtffPPI/rtEeW2/Q+PaFrG3Z88o3zR
j2cUWApsf55Fw0UZq27vn55RUgd095tfSdXN3x9R9zesnsrM5GP7VFyl34sLtSbiqfVMqhUVWG7+
rUdU9TO/PqIqggZTFZeIyxZLPcI/lbtGZKl0R885wWm12nvE84BC1qUsjDCBxoHTPOvM9KLzhUWu
lDs3O33Kr3XNWgcocwsUhXOfrntPjxAL+W4He6xqWWV7Iy7ewel4oLouOk4WiZOMCapFXFfYA2qU
BTg+v8yT2TMlsU7SLZvQVp4CkiXRdzfJa+Ul7spUzgNqsAT0L7mAmBKYC4p1YQqgThgWEiN6YrOB
haEixEWG+ae1QQBQXRfK7zCiVsD7kPBd3XU1sBS+sDXp4ojK9qmdRhhy8wl8b8miuRzrVxNQbTyy
l+7dIlobdblltT+tqyLbN5m2T4G3IEMoX3WrzdjuEOeBlu4+jbU386Iu5UVl40q2PH49OaGgUR7d
GY1/XYBpDOS4y5Zro3fvp7F7JLJhY6OjDb7lNP9T6Rs8Hn/9IJ6/iPc/eQ75mu/PIeF5FkN2Nnq+
zVWkmGg/nkPrN55LHigCL//FcP/+IAbYd4hHJ56Df9TpEn5/EP3fXEbzXGwohCx0i38rA+RPQO3K
s4h0yCdWF1/fZ2T7T08i9S2nclM6l2LM4zMECk10O8+ibPZExYjdZJMSKj3M4OBTQpy2+QEVxLR2
VKqoiBgZF9KkT51U6GiWg+WeB+DKtqey4FCj+g7z9ClDMyHi8qgFmXPhqegJwpG2boE9npnMNlj8
dycbmf9IrD9IJpZi7SbxWQm8JANion3STBTXpAdwYo6QTnLFPOkU/WRC/ZmDQ1mYG07gURrFSdEV
MaUzGXKWQFT6xTgFXfCOEwgskn+5NP6BMcwtZpKdBoRFUzSWMqrOGvAsreK0gB16ynv8hQBcCkAu
cao8iz7ngY1RkV1m/Mwu8WD59SbTo2dE6y+D4sLIEd6y6GHFYA+CwAI+xlIcmbZFOOqBlmkUY0a0
5hlJc6cGoSbK2PiiAUfTgqXpYQj0/KJRqgOpryY0GVGNUQ+WTVH1ewe4DRFViBSh3QQLmGmhiLQ1
JBzLk8cFNI7fJtdSsXKSPjsMip7TKI5OIDkGFVmnVoydDNgO++NnQYXClrRaO1a7bGOZL+u4Tt7g
SLdrqag9pSF38DaOOX3QrgDsUyrCz6RYP2nbPtRRYm+s9mNQNCBXcYEo8GmaHDekbvzQFDuIVdZl
o2hCi+IKjQCGfEUa0kAOwci4zuNuT9Yf6XSkrWY9dCInRho2K2KRLJejD8LIY7e8yRTViJHhsw3m
CEfVl1lfrhsmgxT+z1ONyL4FjOQVNoaWSeBd7xD+ABQWiqLUfvKUACvNirCkGQ49RB1vM+BLqJ/Y
eoNjIvP0TVJWViixFTEhdbvXkRnKOeoBRv/FQAJqz74sDydH2jt+ftxF0phpeZ10YI5btMA2e9/D
Z1RwGoTAmJmCNxFfLNRvfCmRqKdRH4qyJ79VQ2q+igTQLa6RZC9H/XLhYbiWfubthOZjd2cEDqTf
PFpWZq0RY4NV5WuWtNYuszi2iLrUqw3ce+XPbSyxEobUN7aVzgdWAs7Kaar06PvzQs3rTBtE8T07
NnxD+jhuJ5Tzvh5fYnZgomkaFxbM/BXhr9ey8+Kwy7NT49ZYeo1HRBjytjU08YyYC4VagxXeotsy
opaIYIIIV61rCfTH8Wq0IXSQDQJYHknFymdluitMUFteqTPXmobxhEmH2OYK1IwmL4SJQyRgmTHQ
5q6GnCm/mXav7aDtDHxjqxGkfOkOFltI/6gRmXQ04twPqzqDwcTWjVBcNk+49qYNYYTuylYXJSRi
vAOotrZanWM76xf9rTHMp6woom0AhGwztZO/K5eZU0nkzq4qIA50WqZTLzcVsd7q7xu5BYE2EXDU
ZJdP0ynliVpPy3BExHadTPzUuuYQ2FCdGdLapQWstipAU5wtLYKEwF/PCT4Qyx/4CyESRO+/xe4o
t0VZXCdOasPL8YI15qszsLQQYmt9lzriGcn5btC620WM4yrPoW4kExF3hrjohjbeyoFYXuwau6iu
9+7QfcRWlIQOI6IQtzYPLEsI88Kfi7uiy/LzIBmvSn6jNPjwHIoKKk2MrBEBySOlz3ay6zOkeu9z
ZRqsdopjLyakB8a88/AO/VOqf5bqSuL01xWCghMcq5dmSP+kqVZf+qNQUGZeumkXmeG/9AU/CgWD
csClesDQ69korH6v2DEH8yYYH3J9/yti7Ps40KOYp/b//GafyNW/oTygVPxjxU6BEFCsK2iU4lT9
san2WezPtmwvJXEC7JnMwcDBVwLuIZkjKS9T272ALpqcXIcP5+I612QCwR+N9Rsrsm9EO7xXOsOc
eU4O2Tie4ciDOjWcC8Sr2rgc85JioTTCxVTEPnt+RT15rueSndpQnFBNb6PYO+8SbVtJ7drNkntP
lo/OjOUpat59m2wZ8tCheB7EQOGtabjfE4T7fvLQStIobP1aivw04EDgVD+R1wIn3Z3BES87pzXW
UxrfO+zJyabNNnk7vZIGfBEFPLSt9QWjx27s+2MZuTiaGLHZzSlKklNQzRQv9jpmM0ni4cqqmgv4
2480ZvvEoOiQckVy4WVmZKdKM0ADYSzqWBHq43OQdldJMlzEk1wTw4ueiJMid0+tieo3+OjaQKmV
JzRfw3BEEvUSMfdMXfsRH8tB64JwdLqbJF52WpZB3kP/VLe3soMQFM3pZexg4UOZYGTuvUPa7yK7
m8LvX0tzPpHRegLyej66bM440Li49ii5Vl5cq+TJk2OQZBgFByu2bzx1iPlave89glTsHJna4Gkr
Q0KNjsSLVdk3Qc22ImW+kQ/e5aD153jfwiUeD+2CPsvTbrJgPhh69GArjWxgMUBIjRXGWLZPaCuS
SG/WChCd+rny5DTzdS6HKERe8uKN8PrrZt75tTOQsFFDDK+TFQ7mV9yKII3aNtabTcdecNlEnd9m
e0C6yaH/DKuwFxVckdluae3GtuTONSDvj3N3wKSp76pmIOvKr29E1ddHrDvA7huB65w5xcXsLBgh
cRYRW4fcGL+TGUKRzW5Mw9wJE10MKth9VhqdahN9MkiBjGHUW9aUnx5mLa/Z9L6eoTGZ7D3GFifs
XHmb2rIJ+wBYWWS5ghVzX6+rmnXyFHf3PvP0jXBJbMly8zr1ZR0u2ccE4HAVaGo4Gr1VvoXr275c
gEnZrTghn55CMaFsyKN3AuUvfE52DTJwdtEO/QgzFNFLQ7AZ0/cY92t1bVbFwzT0+HCUCyRiHrcG
7i0whdqvcUxWp96Cq6y7BtSZHZzSFm+JRxRZoA0z1zvmz3Ekyl2Y/ntcB19Kad4z1Hvn/ServtI7
5D0WAUQ10POkQHdH/Y8xTBAmOGJsqfNWmUEvx6Q4kg//YM/yY/B07lT/aFdJijtz2KRx8pCCEcLO
15wkcJMtxmRA6oPmXlR5dEu9hFUKETpMKNKmB5tt7UQA9QRwGD4brrwKApquUqo9lVedEVwdafku
U0nWwTI+o+VAFNnPlywuXpNxfp0ZHwN8wyNNZATWIhjmHorAWGVlm42JAprSuLHMXUScdq9ytTmm
oNk5hxT9yGogelvGFt9cs0mTJZXbZfYVDP2rhs6lM4EVzxHxpQR5I8cc1xLF6QInlpRCwr5V6jdG
i2G1tPUdSDcSwTMpN7NKCZ+j6MlSueFRHXl8vqwtvkRcSsHEI5qSM15VPJZUMx1vD5u1bpIOpXLJ
B2566EMIa1Rkebq4vLfxWIN+mwuaMbkMaJnQQiT6KQHKUur6sVc56LkGBDDVaOHQjJ6LRL+dCE13
yuTOkJ6OEsUlBivD32xjnXaJWsciTnKOFPf0TZBkC6zOuYcw6jZJRLltpy5O4H5CSxqBcaEeGJOD
TfmLNc9elToNmL4Q0ydLSs2yKyraR/NIbPg13FvKUdKsrtMKnNg/tci3sSGL3r+uRc5fuu79T8oQ
g6/6XobArlQBMS75RSZlv9oM/1SGWOr/xhjEQvDn2T4KSMYbClOio5H8ljzzvQwhzlT3XL4jQwum
i+bfIrWrzJk/TA4dgzdGvJ2p2zp86D9srrlBZ42J4HQJRafzNskYETGJXVkiI04TrI/RWb+I2NpI
qgzxYAyGpoesJNL+UC+pSj1ySSf4dmNks9kvQBXrEubNVFqu8zazXWQ5WAOu3ZBQTbuFFnw/u0Yc
fAR6YfRcsR3Svz717CiMCJAKwryuVE4iKnTG540bmwv0SDHh2V0q1AMrb4hnY1OYcbtsbJUfs1Jm
0bAfhLEbdDLedxyytnOfG8AitwDiCFYzaH5KkBT7WhvlfrbkwE1g+fM2ztB1b+IYt9QGYKdOIMRM
FnPk569pVLphEKNv+h/2zms5ciPduq9yXgAKeHPuTqFQvlj0bPIGwaaB90i4p/9XUr80rR6NJnSv
G0kRrWaRLFTmZ/ZeG6/IPARK3tpsSjmtvJglq1rgN2IwCTLe4rBelgKJkDqTpmk1kbm15vjTHhUS
jkv3k6mLueqLqAicmj+rlZTKaBC4FZ1qPMYRXmRXNnhRUpCz1hORhvyZ8aTjZHSMfQYWhC3eqlUx
Ngu519XmRN0RE8ZMJMSGqLlSsL1U0aFulfzanDnfyb3xuOjLj8xZrK2RG2S5xIO57ao+CVTSphgh
EZllWiK/JuCCE8+DplEP+LKaZgxcpWKa5BofMebJHfNXHoshN1ZFZAJ7qSJnpdrKd26iaGcvufDp
9N1t3LafzhiGmD8Z1zgFQ6j12ILGy3vC6qqq6A5gVMn/VuL0zPdMNCDU7IO8cROR4p53LNpPZ5xv
PC+0tqNXFUEnuZnVWGCwbylLRwEHqlxavk3X+JaXmU4LlsrSxVQhd8E8qJwcFl+Ne1cgPNrCu2lu
UAqybo1GMC1cwatl1hou6hkVH1LyfLOo3hR0xI5JP24dTJojsFHD1wunMttpOQZXVkTF7p9j89dj
8y9buFPV/c//ldFH/tH9yaz3hxZORlkw5GUkqtNA/ezN8XDsWKaDthzpNu3Vb7Ne8xdk3TJ9gtUF
AxFJcfrt7NS/VqYcqyAMgOJzTv+NHo6Z8R92LtCGoUQxgnYcjzNclX/+w6Q3dR1GH6WXXokiWCzy
n+Kt2Tz9cJ9c/7rB+VE+jijtT14FxQjaedybDGT49fz4Kk3IiNharPSqr9IkX1euWlK+trNLuJae
BalB3k3FnO3kRG4JgyAmCWwJjwOj0Fu1jm/yBPKnFSenUVWZ42qKBV6UQj3XEtVXo3g/YjcVQ0yU
jberhXZSl/Gmm/Vzs1THiXwmtr0HNc3QQA5RtErVxts48ngJBV7uRPfetQnJrZ2Rx572GZzuXHwm
bGIBKdk2R1YoqIBC/v7kgMwkAyu0D6OyFNtwnJx1L6FoqcSjQYXl1sj6Eh2Mbj6GEqHm5JbxohfA
psjHYSikZrEdxKKBiFfNxJhVlYaK0YWKtIs8SWLTvqhsg+Fe2bRujF0ksG2y3Zhi2qgN93HRGxv9
up5vW4WmeqtVI4pPMMtcuoShWkU/h5S6lnJxG1058/XrdUfDkkkZbIVD1mXys7YF81FcPMB8AN3t
jNzMDgKTjHvN63XGizVHTnfU52qouEaN28pprek61lLGx9HsHb3Wdg5IpaNnVEvmE9FAbNTzGdlF
Xwpzjy3Yan0UeuOyc7mRbV8dO++holtZ2eyTA+BOMpxoiv1cQH1qomjeD7o1XHlCOEHP7/wEq6R7
7Rj6TzMdxzy5+sprkr2CZjlgasJuDpLxLbr3Q6rOmGwrzbvFOKStGKol9EQeZrO6wNCVmeuh0tj1
J09uYQ0n3rphbTfJErQ9Sz2qcYoAmrqDDeA4cBhfbvs+1/zSw6rZxYNONdp0W9sYdqNZotCe9O4m
YuDIDVOcYaoTztiVm4IwWLOy9m4s0nVo5zsMF9k6MtRr4qHues0ZHtDtup+YBdhTZGt7nOzPKhFr
qyDAIWy0e1URm8juQQtXWeApxSYjzDUl73TV2fV71/UkArYfczo/sgJct8Zw8KZiwwGCSGrZmpN6
nt1hbXj9joic0yLBju3wXbUE6wRlk48a9w+UITG/lcCXouotVIW2Hu3c4BYHgJpZw7NlJ9/zxTYD
u8NcyiSZcJVxOemFTvevn22C7UaRPde8fV1PX0ccaRAO9gaw7U6oy/MUdkFUQJ5u1IaY9Ag7QVeq
+9TS0rU2M5h0nGt+xlsLPOx6SpaIvUEIf2VQk3Ns2hAnQv2mz8vuPDb9MdInHmZgSnkDuDILuRvd
Yj56fIhUAut0r11PEJ9cJkPmVD0Rr+BnlnMn9OgG2OUJZ58/6N6pEMNN7LG1YJJChmpCtTSRBJVp
RFkTOyHa6itp8ypTspcq017qrDgQYXascveQCu1mGbV1DqymyvMzrm6/yZv5uDgOtRhFggt6qcmc
nSBUmECuZBVjBp+X8QA1ct43S1kegIe9F3MIbhGj93qOIAFbk5FtG6/ehh3y82VWms1fn7x/otfT
XEQ3Xz4k1G38+48nbzxr8KztHBJFk+nBkHszwvA5Wxd0z6e+MMa1M0BSqgjuZVz0odVNd9M0mXrv
Lm6+qqbpVrTpSZ3CdeY5BB/22ya2P8lbi9Z1jQsC6DY00VndVAvPdC7jb0Or80cK0pXZ4L903H4H
7uQ7CDjhYzl/1NEQBqixYSSrWCPy0h8bv2MYVGdsSsJyS8bRVofWnJMD3RXO+5wXd5hyDgIU0NLl
h0boJ6euTm6ne9t+nKFbzMlOn2LL72gK7RBMRmym24h96bpTu1tzFppfx/ZBjT0+12hjMOhoCPXb
6YG0M5ORH6sofdYvJjlhqL5la55k56FermKChLLR2lq4B9ZJ3uzDkgGmcEEuFW60wagXWFF9yiOo
S06pXxKi0HJR7LjX8OnUUMyqudtUaXvJ0vwW6TXrkHLI1zYp8T7Jdquwba8ToxvWxcLykjjVB8LT
EO1NyasHWi0ZeJgmHlCXZVyWNZI6tdXqAtep9pwWMykxIKY9czdyDhld9V55zkltVELuPeU91Oxl
Ves4/gU2zywvtL1Sy7OsPyWO/U1X842q0mnDxXmeC10jXmTOAjOOLkQDautSBkKbderuAFeJR1L9
xiOqg/acU8nu//pRRUXycyFiY6QAXAnHDBLvTyUCC5IR120BAErI+PlDq4v/Im/+o7yEL0lmqcZO
27OQwRIXJIfZP5Q6sGxLy/Wi6Cq3yUa2L4lIdkl9244pTwJ8CLvZeGnw1z8VDegffq5/f1X5c//w
qqLO+to0FOWszuUdyloW5/wHt+I3urt5FSMh8XvXeiKOaj8IYJfDBNsqL0dJz0oqv2yXb5XinJLe
VH18UIRhjtp3NzaddaGmDwTnjesom49Obj7bzE4PWm7YgqeprAKxOGXg1grpWTUuDaec572YHON7
Vab9hoW6ESRJ8pbzrAaNasdrTuB53bu26tNS3wlTplgq2QNbNH1fRFj95v6dBdWOS+m+a9uN3Y0d
sKl0Z6ixwtKbCiUfy3LLJEn1Gyhk63aUeWXJdKvHJXrXhLgHI7JXMHGOPPSfTQcUpKuTfWsqO1bU
99OCZUjNDhbTWvplirUkJGE67RPgG8LaZ0t6ZEu9LudQXzMEwwAUZpyy6tOgMl1M0uLsxtO2bMdg
CBeeYIanfVTgFa7XVVq4q5qcr3Wbh+caOKAciGsVYZRuNN2hsqOAq5V70cPANAwmU4vTb5UaJKcm
qlc7Yo6vFjcN4j8Mvv2q0w4kxCm0z8bOYdG5rjXtoZzj3RSCrxtacVXb3JEAN/f0dR9uo5IoRGpD
Y5nbqDZPDomP/+Vx+2/PuCzEf3jaRnZIg77wtKWn8jq6UjZM5B/H7bIn9PPkcvX4b/q4YmF6Ll/G
41+/OEObHz/Cvz3qKKRYMOlIOeU398OLo/5zib8xlTMD3lV50v16w3iYWMgnZ6MG6sNF8U9PQ5Ai
6XjlH/nVfFJXh2QTXhn1qvgv380fG5tfvxlDpbxELE8bZf20mprVkX27lsZXsXpdG/kqUZ/a4dfW
92363+ij+pPG5o9n1r+/BjKeH39g+DZCieM85nL9iNqdN9/89W/0T38GB/2NI+dojLj++PWLieRR
0hW4vJXrxuPzYFFz/npC/aPRkgE2/3nqeX59/2hf/6Rz52/9MPXkAcLwgHnb+6K4/2vqqf6CD4Le
nY4NfoHNQPK3zt35xaGXdnnHDBc5o8zb/q1zh8kk1Vkuf8HQaIP/lkrLtOXj9Qe9JAtMB0O2gV8E
84f8Jn58/BRVmzu916ILWZK0s5AI+07yYoATGn3+VAMrrKfeWy/gCx3JMSyLiKtb7FQAh6YkHY6e
xck44r5w8uOEBWO1eCm244HpKKBEeV6zv8Hq5wJRZFECTibxvMBM6jdN1MB8XHHVi8gftOGZWDmS
vzKMx9xfbGtebC9fKzQPj1zl6q6keouKMfSd0BrWfNvVRoB7rBK4j5GmPwPPJSNeMiFh0zFvU2xz
A0H6cxi7D6TT0NgkS9KtiAejy7qrsvgG1uYriKdHZYY/6UkSZWXR0WXAKS1JqRTQ4PCvEg/UOdV3
F5RlDNKyQATLcoQfUUjeZVdr1woAzDSPzhVAzFSSMUnZVOmYdYhB6bVaGtMqSfKeKDaImjnVxRZ1
87AauvENtCMYDo287Cx2GcHFFrpPNb0fwHSi+YSsqOJE6YzcOWGavuuAehaFdtOVYwvMHVCuAvgz
BgAa99OxrmDkOmOMvx5IaKTVKR0aq1b0mRUGbAvUX9K5a1jZywNU6XLnVZbAb+ukSLTgkKJ9Tzdk
Y7wzHp4P0RBrYAfBKHWSYGqMrhLUQE3tBrip6dbIRsLwZpbk0xg79WaOuE29vMASKQmppWSlVray
raTdNnEoYpuXGQn4tosMOQ2PaU4jh50h8FVHUlhN0KjwWEOorg0eYwdWK3XxG5tN4LCS4wqBpAhy
yXYlM+0lB/ZqR219xkMMCjDCywk6ZZNKNqwKJDYJtT4YJDdW15tbGr947SDzW6eSLusKdMKqJM62
xPn6kVjeRKsa7CgF5bkk1KaSVSsktTZJ4dcus3tGCOaRtmh/tDUZJ62nXZVjX/pGz6NMTzetoyGB
pxoxlyKi+q4ElztIbm5CD0VOoZPv+m7CyRyNd4rk7IZ0fY4k744FkmO0jOi7JJe3AdBLkPEENjk3
d0phPXup/p1uZ+tIqq8+dWelUODBKi5WZdC/S9x8J2Jo5s13GmKEOs++QdPXmwdtYaZGgW7RsU7t
XKyMEQBy/DRFfOb1zK0YnggVMea0mY3euHbG4nks6w70JPv0sCOFprHmx4l+m84I0dCUKDBmoGJW
FdHWWVbBbxPjdswRRycAr8KWTaAWR/YRqkOzalzibaAl3i9VeGnt+iQmr1uLqvxM+uZON+J9qbvH
wcV71KfHZYm3Oo1zrMRnNUVnWM0Mtc2ccVDRmrdqZQ+gqZth00za0TWY+tAM7vHV6wGzt+fRi3bd
aB5ZEHzavbNh5SePJjOowmI+VMr8qssir9EgLzcTCRTJPNiHZOk37hRNEN1Tp++fSraprAxj0vKA
EbTVnTGK7pFWdmQyocNvtNVuaHcGBKyXKKusQ9/VeXRNTlLk7vtGMV/CyNbDc2ohdS28rF8LL3zS
mEwE1qTzaIRRHoSS7GZW0CVZMIPS5rkLLEmA4yl8FqbYLdjUZOTnLpa0OEdy41CTAGkGJecuy2Uq
oZLh4Vx85LXXuR1RZksCXVEnHE8ZHC8Bni5qnZvWRsiqEPA+4zvZQbrIfQeoHTMe5gnDYyNpd3yK
ty74u8UTGOcA4nlmchTZbPl1rb5qE+d4RdZwitRdG0nX6Puw2zW5kvCsSdSeqvsznDXsWHD4SrZF
2b6UyNPOKF+daogDQweH6sBFTbL0uw4ntUrZkMNNLZu5JqrT2oYmSFXmcRkavuyePXHJ3LDIdi7i
yJKkUYIJlcG9RBLQOkBqtSG24p2loQbh6sBy1SjYVprEu+YS9OoUI/FZoF9jCYFtJQ62lGBYwNrF
KtUTnC64YWboscagan4xsvfQIcsmqcX2rXVOIQC4SsJnYTYxbUYV2sT6lSkBtVYElrltoVDArs1s
akFYtkS7ln6l2k+pO7ylEnc7TvlxlABcerJjCA3Dalx2MslllqhcHWZuLeG5Iq03iadC73VBhIPX
hcEb+bZSaSuB2rkENeST/MVCnJh3RlOOlxnoCc0PGyXLZpT4XsPtj6kE+iLrtfkfpw1muYMpob8i
iVGIwgEGzsL5jJ44G8CmK8ldHhZIzJy9zlYo6+fTAFA4M3irVZfllmQNO0CHCy36SD1vZwEjrhT+
NARP3A+ASsEVF3q8/Sqj/qknTcqv/1xPoujrX//Hz1//rKiUf/W3olLXftEx6jqWbf1m1f19la7z
R7pJ2fiVcSy9cP8qKnHuUjtCZEPh/8UZ+ldRycDE0D0bU67sEf7WKt2UnKOfikocu55K+WpZvNrP
OCFHizQEplZ1ITAV1ah0tWqjVJ5MZbHSp0jDipptcmPelwWodERQ8XPhOYdiSDau12/x1Vw5omHa
q1wWJQxUE/hxDhHwlCcOorekfZxV85vrweB2O6RwrsItP2f3dhteUpVQLQLyCOWrUocCz1jYiS5p
rQY5U4lq7UrwoQYBcZEoRFR2wzZGS83ElwCwUu2RwcJOXBBrE9tHDALGliUko8GToEUhkYsKA/1J
QhhnTH5MzjqLYT6IxmFQH5hKrp10DjACdQiyzMy3v8COEB5tfk6I13zdRuIfWSJ/iYmkUyd98xLE
XrPERSLEzSjA4/1SmuE+l1BJJJJBVSrqFjB3frQsZTyFScw2Ceom8Mj0IWnAvkGb0fw2Si+wv3zJ
qVyNC3AwW9y3SWMTp9Q82E50qRuJYzNGRt1JszGaUIqAsDaUCkyF0VQbn63avMoaca5rSuVsrihK
B2VbtxTFpf7IMvvWSxFehbCsVwy1d47RcMNnyfuAwi0ql6tFLwYUalg8RNpieFD8UFTkeiZc/rGL
fU/VPTKm4CYtCC0rCTDtKiTgNdF8jMjtfdrbN1mIuYDOYlzrSxQ0YEE2o1K9NToTRYRyV7oBc6eh
uASGVxTJRcvF0TCW1i/M7tgMPDOh6K6bhGw1N+NXA/REBCY6/K6Eg56SB9MYZ8eKkWJ6leI38I13
mVaus1oh/1a5zqaqOy8Zwm+LgsYXrn2r2/rZq3MKv3mYfLMwHV/PqFEM4Hir3AQUlWYqJesYBl3U
kZY0xRsgO+fIDF/mZgDirLhb/Mb22urVR7NpXlKDYk3L0/Xc4LJ0k+iGm/OkTVLpOCHD895be6zX
xdDxO+zsfdRQk7GwO/WiuyQVwJWbis5r+ZinPNs5KM28rH5EjND4wwKTTmr3SpHVh7T3nqtMve2t
9t2tZ79FlV8v0SZC21F3IzheZdOqOsuK+CqpqsOUdlcYS6+HMsvQlsZim4eCaju0PhdbEQw8RwM1
uwgdPBbkgN/p9nKOmhYLJ2isTcTqczUaNq+LzCNvt6OzdMHsxLtxMa5b67lTUG8UwnsoPSTiaXRs
dTkQ7y20Y8YqAgooFh2BI1Kz2RI3QCjpuPo105p6pSSAQsMmvDa6HieQwVqSy68SyS3uJj+co7ul
ZvFqtwj84ymB88+KjrfLKbdepBmbdsZZb2T2No+SSNYwHEt67LJLzWVgDE9OWaPQLLlgVyBprt1J
+eaY5WfVqu+4VTLfrPJHbDInyEzGamrgk1vSf6O27GZQun53iQQ7eRnL5IlV5ayq1wVB78iJGu2C
d/ADW+8UsGD+EJ2MZrSnW2Oc671RDi9aVWwak0zvxEEYwjxZgqtgn2FtNztzO4noqSSFC3Fmuand
GVVetVbr9tpLQPnSuy1dDam8gQrpyHWDne2qcvYO+DYeXNSvvPLgG555r8GS3pIt062XRquDekqn
oFH088TH4BpH0a01d7spNxO/zAd8+bm+0qU7AoaNjjJFwiQBAPVZZ/pe0rzGDdyzfgb5Yed5QNLZ
Z+S9JdSYrPduM34n3ANk80RQgvvcvS56fcO8l3dxkICo0GlXwzImPimG27hpECSnOUvyXnln7R+4
btasLSs65FZ0Fafg0GyRDEdT0cqAN3TeWfp0O7ES0woCcwjU0dbCpbWdmM+yZ4n2E6j5UCFvzDjG
nmvLmJ0XtVuSPccxexIEhpE5bZSYdiQJt/Yyw9aKbUGnQ/opgIC3TI8h/HTGtrUcot2aBnQCSkhU
w3fCmk7AJVJfMZqtAK1mZfXVWNX5vtZG4HHTrTpXAdbKeYPv/Vg13k7RlPE+XmaxGYX+kXmMOEHo
3pBzlAZLDsrun3rqV3kN5c1/rqfOr5Ds/mQ8x1/6vZKSJkpE8yyNkNdgwvpBlIiJUoc2S42F7Q2j
878qKbwROrGNqA5VT+pefhjPOb9IiKKJ4oYNkYlY5e8Ia3BE/lxJYZhGNWkiTOS74Av+cTznot0h
LEVdLkYRPzYG86Oc1Q85AQ37mKXYuI291SjKrVlh6eM9gqXChSVgnxWefZ+6ZM9W/b5I0wDEVtit
HYfgqyBhW/2QVx5oXF29iZSy3fc0liT15KnyXcevg0ZQM4b46FBhTDDtVEJbcifddT0zhEKk4kbF
i0VMg303ZnL3QfYUad4oy0pjXcdLRm9d3c+z8ghT68FgxLRSdXpcteUGUWaCf90DUHIQ4d1buxh8
ZMBER6l6W6f6NW3Woz505Tru6VTCXm5RW6CKYfk5U8ityCTchCZeMr1l+8RH/9K32muTM3yxcH6s
IZa8N2OxrHsVSYA3uUGk9oShVLG2ySAZA3JVzHk/Tlz6uNaOGvYCA8G00OLjAqUaxoOD6y6m/tOH
YzvUT7HqPSumA6YxN26yqgt6C+5ZAqe1TZeHvh03g9DqKy2EYV9Xn7qqsbpJbj0hJ3xkRNdRsdeK
+THrxFGphk+1ZcSnKjPVg2GgzwbrvVKUrF8Z3OFNpwD1i22fgAy8ATobH4u1yEVHe4lSr2G91xO5
TSq433ttykoKEUuB3jJwswyvwEQsL/yKt3iODqWB0ZKETRWiO0oUV6cDNHZCtJcwB8VisKsDTNw2
NZpQWxRb4N8MaAmg2Rt963eddQbdzsCowkwTl8PGVMPvGar4LJ9IMBMM0srpNbIrws/o7avcQ9wg
oYsxlrnYUF5VylG/HXp61YxlPVZZsDzuGYsyFgKVHDNdxDZh6gbcwLK9g1dvXul9gfVNj6Q/gHD0
pRU7pPQL8L/cpK131i7Tzy27736T8/xfCYRdjmLulaZ7RPC2U4X+OA5cNlHcqeu+0zV2Q3p6QozL
uAxicBBbcK/CgRC2ciJ3B6RmuJ01Tb2qJwN/hC7nfdmw9cyafWJ0KLIOVn+jv7ImsjBZzsnFMXQy
5qAuzy6FfE+Jig41962x/D531UYfkm9VpBB3CdgvIvPcTzEcXUwTpuNU/Not/8cN0k8bHktFr0yj
Rd8GRQEQyk8j/NqYhgx1vXbJi4fMfLes9X9drP/JS3hsL/Cbc0bCcf1piTST99qlWIQuWfddZNdz
fV96p3/uqK87Sm7z//qOqqvu9d+vKfn3frum0M4b0rOPOJ7b6sun93vDr/4CZ8349fqC8PevW8oh
jpP15O8Edp6L3/p9B1U9+VeoNaGDOXL19Dfkn6SF/HxLscZEGsHIgcJRPiF/vKXSVsl0Z9HjS6Fi
bD3Hem+9TJoau8TblGVEuOxoHRbR2C92bI4sOZUSNzfxVuNzuzjdoxeb1Z3nJdbip4YYSagpnf6p
M4TGPJZSLbDjFC9xojxOOofPFOGMy3XKcH2yr1242YLAcDGAmsvn1zFaXol0N/mk3dqdW5Avpm71
nP5Qn9mDaJkdTAOUX6U9sK2nSehwSiNw63zC3F+zBrdWg413hfhL5viUJhosUg1AA8kEnkmmsLkr
S3h7M2opWkeQp4V9aw7WbZHY2jozUBuF09VC2bn2Bu6lsrmrDf2Ftpd8zpC7oixTQY7bQnpp4hU+
2kgUR6Z1m9rOaXC7b3oBJMwu8xMw06OIM8bvoU4QXOdAy2ojXOBj7fr1kt0OTf3QmEt9NtqhWjEv
0FatNOO3oIAJ1ZP+7RyrfG8gkJzKKD+VyMgXp/4GlQdTmqbWa6G2H0vXzlgDJwrtTuzyLt2qXrHT
mFrXjpMyGPZ806SyZym5YSSIxz3ldwAGaPSjwbV2Scl/mcMkVqVXPZZx9s548sY1Ae7W+ZuWxfd2
RVpm36fmiQDOPT7zm6Rm4TZYTuzDeghXEQSxSHJGqty8jW373mzhhaGteLer8rggHa1nF+meSm5k
WTok+A1VSiLmdMQg5/fqSBNalds8UVDkmYLcFW3A+10+pnaHUsoekw0T7MCuCXG3bGybI1VArLob
s3GGKyGXY87cuf2qNfd9ZhePSDyndZuJm2XgLqO7uyrhthIVRTpkOouHdk6/h8OIJiLGYWWZ6sZp
3Sdcs9+cMPJ1CpK8oEmd5LehDrfK7JKStlzyjKDURN944TUPa3VlDuKUe9n1Mtsvic0+pgSIummZ
zKxM1gbgkuZjb/PYaVZ6qnSmV3J+FCvuk+KwmYQ4nfhaOoW+0kpgbnZl1cWFPNMjHO7roWM31EsI
QuSYG9qTF1NRyBPVH4o+x8ZaOYd6sC9zMhrc/5QmHjK+oaF4DLt7N3W+28p0bm3xoYfFfdc7e40Y
wXTItL1KSKLf515HHg3vA46A9xwP5IVBDYidKcc0XtoXfngyccb4W9NC7dDU4qKH2jXSlU3jZd8V
JfTdylNXToy3vDCKa4nFZNRN2Vn05VNsI1fg2tRXilrmRwWUqW/JuLAQqzPGzuIVf0UW9HN+o3Xh
t5x8TJ8hJ34ZpGyeu5zysj8LLWO7ZT6PdvFKNUlAHS866jdpnaxzrKhkL166XN2ahrkzauh8UMXP
gtp+VZpuuZmzcm3qMp9Bg8FhxQe8d8Yx0Qiy6b4ybaaBeJt5KclLlJE3nkf4jUYKjpBxONFXMk4j
Q3KaXO23rABR5ckInVqG6Uyk6qDN0K5iPlg+77kFAZTKxJIxPOyupqdFRvO0MqQnlXE9Pb+CYJQR
PpoM86m/cn2ir4yfQcb99F/JP6ikCFEFVLhRUuZq/1zTv17TfzmaP3+U79VbUv5Jhor+42Bex3JB
+qGrU8ohQuSPfr+nTdpJida3AGyauC5+v6i/UP46cDmP8hE0loF85LeLmuAVxEfq/4f//41L2rL5
Kj8M5REvqRZ2ftQeGP498Lw/SRcdqDMuVjHlopHPg0+Xeai5fIQjivvMIglbGOoGdTWzsajIiaus
21uvLZQb3RkUg1K8Kp3biI2xCyVmxhzbae0TC2JnfrMUzk07DuUQDcBF2kjohY79PepG/ovaYUvo
KbA2CccArzUFQ614mxZyRlln6lvUANNo9KneVBKwgYm4Xw0SutFX/L+GBHGITG9fmEYD55CYjiUe
rMNYOoc0bUmPxdhmxfSsHXQPoRN8Pek4SiX4g4YEG5lsNmCCEGHgsRyzAg6I4cqV4JCiTaOATQZz
nZlhM25RcPsZujz4vCtjhqztclGvdAkkWQwG0f3UXackYrJf6/NnLr/5TtOeEpPkbKKrrpImivHo
ejfpguMZBNJ5VildXI7GEcFLx2DUdmnRzZ5AZFfCUxyJUemhdB7KL7SKhKywslaD7ou80lIwcKCC
YxlqnAu8LcoF6v68svDikvBs+D0hh40EumRDNd0sHNvbsjOzmwnuSyUBMJ5EwYRfVJhsWZINVwBI
It8o4cKnkh/TSpIMvmOJVp9Md41KAdRMGgMZYzVTh3dEU9XbgdRvNeDBLvdlOwwcZkBgQltxz4lJ
CM6q98JzBlnbLc9aI8IbTcTPeQx7PS7t16hFbTzCEw2YnjxnWh8FYV9/UmYUfq9EpzyMSRpI50uO
woEQg+IzxnKNzLO/zJB3/MJh0m62bkZAaIaVYLD37dA4B4bBmj+k812cwk3Ri2JrxvzDa1mxT5Zw
V+YsMYqJANBmrXpdsLVoh1E3z4NVK4fZcED/4Ai8tr7CKFqkAWpH+Irh6x0BMnWa9yeYZuh8eNAu
2OLsTdtYzdE2OcSVqkLYgvgUobrYElD0IrvTXqXTnkEUHcaJkW8+RNrGMkOXhPhioxTeu650Jzst
biohHkLFOHe1g05ZV+orItXnvS55iGRg7RSLLp95eH6vpmHIDPSjV6ZjkiPoNp3THFcEfKXxtpnm
wGZ9z898cefyZBXFC9uao6UlpyJm+ZsIKzyXLnqOwq6NjYijO+LzIjI08j2O613W8Ca5MbXAyKRc
SZ1whSjkNRIjn0A7uUxDRSZByWWs9EMBYJV0Wzvfe70VuG37WrRYEXE7QJz5tJ2Eo6XYUNVv4K6z
caEZjnTGOnTIcZ3uHUKTvHHyCQJEt9yj62U//uDm6oWi7cEeVJfFk1fZyNE8+xC6yyfbqltYEnsH
ELtRFIHdTwbxRBN52JmfDsNrbBtbEAvsWzCJpJZ73WXlrVvp717GZ7jIjY/em29NhXTRoqnPc7OQ
nGP6Ne8xgnQ4Uqj4Ud6zLVFrzAfFG2bI+1E+j1qW7lsRXy/VdCnIsgCotQ+niiVLxSCbl88t9YaY
adI1Z1/Ho1GGYq24FCCLsqVY3DmIoIuadIyO2bIlvQ168ma7ws/hXiignbLYCea6upS1CulBrbbk
VbFYEdG13kMaGqLdpLrrolJOaME2LC3Y1ess2ia/4SOCzdoPW23NNNIP+/yjzT+qUNySlMoTqZLZ
zbRhJImeBVO3EKJk8hpMdcyQEFG4411vb2hbEDJMt+bk3efpoq+9HNIQGbHbwmx9L/R4AkNikR2V
xWzxOaMj5YTbIJbzO3LDbRcGVtTFe8ZMO8Df31Stp8Ry72y7/ubG3W00zDeieC/n+qNR4c5jxV05
RrIBWrzpQsKnIzOI1ZlshvjGgEdcDcYtxeanpvTsbNSVCpqkVtWd4g07t1NYGeR3KeGivaU90NoQ
1wjxwLbqIFTYdaliw0fxqvPcjWZ0ByNkazw1QVTzC5vKbl01IagRU38bRfWNL4U6EODh3Jm1zycJ
4HE8+iSFvXZlx6xMOUJC3i+Kw1rIIeDw/7F3JsuRG9m2/ZVndw6Zw9EP7iT6YEQwggz2Exgzk4m+
7/H1d4GqlEiKyjTVm2qgMlPJSCc6b87Ze+0yWvlQiGd+7tIi9QdqXqa1lnV7nzTpUw2fbcitLcJO
3MVw0rK63KS2sRV9wtHMcPCktA9dKe6zMryG2YLYpWe32XDvnKWX1hurNng7LRCP7RWNt12Oj6RV
mjM9743du0coIdtUTy5aVz34GRrwtCEwISbK2510Ix0hH/ZVWDp7Te0fcxN/UEnpUDr2rVuaV1VZ
HdPKuIY2JmYkdtG2MBZtTr+5BNmQGvGe3gr5UYWYdcgYy2miGrOHIap3sjTI+SbphCJqqHXzqps2
PSlqlvS2zIcLVWY7RRJsS9Sx+wW3fHyucA/PR1lflELQIe4oWUYsPOE3RGG3YZ0gOMEMM3Os+lHH
aicnTkgGdS5Qv5kJZbm6eIhKfyukemS+xaVdRtS5q50xTkJ6sqvno1AffaPKV44W3SRlTZBaH60j
TT2FEaCdCBw3GYPaCsPqxo3MeSeVZBmM2bzFJ2p5HSnWg1xEMd4bPz2hbVuHbn/Rp8O3XMFXSLhw
TTLchOLkC6iQArbWsmm8Zekr6RwFHmqZZp7ELBIAAzetYn9rW2NFFNnaa61VIPol5UbmnwoxlNeP
qz5Jd0NNl7M2bpCY4geF0JJWnM+CaE7+sHKR0mzMBT0sojFLNdvGSn0YKZFUZf6VJhY2qYrwxbg/
tDq11kSw/L2pPJ3+6rH9a5XPQHcvYTBpk/L+o9y97sqyhDalHEWC3jGaZdG1ghTh54NMHpw/Bce/
b0MR91NN1UCrafJDtRKprjBRSyvH3v5SohlsHntahRoNbv8XI3224X070vSXvLESZG42qKPLSNK+
9HWOSxYpUOM2M+/C5inIzF/4Jj69e3xNuJM5DNI3ej+cRAJpu3HmnVrlqW52hfc1jb/+/N59dkXs
ltksM4wGM+v9EK4Jl88h0/NE5FHYrRskNbFP7d9bB7RFZH358+E+uSK0OxxaKCxT1TM/nBgm2awc
RB2cgAbPAg2KANzp6BfX9MH/MB1L3g3ywdtUuUptmC6DhFTT6nIfOv7i/+8ypst88x609UgJBDLi
CZkwUop5lN3Quf7FIHQDP77W7y7jw6PJoyHK26QKTr2C5MCgJX4C8c0E92hQ3KuOsql+MeJnTwe5
OrBHgFQG3v/3lxUFdhKkoRqcrOKqEN6cfrPlfv/ntw74iolsjPeADIj3Y7iGpph2W4antPJJZwa2
mM27+Pbng3x26wieoFtCLJ4lnQ+DZJ1vWUFALlSZP6bm3uekCMyHrIBz2Ox09MOde/XzEad36sMc
xBT354gfHhZ+Ofy16oAsny4W7GJIub+YDCaY75shDFrDhmqBrJEUxE2+1w+TT5XpkFF6NTmFe5qr
WxbPAzTUpXHlXxtzAtJWBB6tfn5V74d8nVnfXdWHITFcJD2wj/DUmhjqqD1Kh0kh2/x8lM/vHYV+
wcqJAPHD0zJHpIU1rsGTWzhziQLbrn9x76a7//HpYJfhbXNoOtFJe//S5fC5MaWQHWxx9B1syW7z
KdABc4XhL67lszv2dqQPExzNz6ykpBmeVOPFt68M91yMv5jePh/CgJTuAOiAV/T+YgI1am199KJT
mh4NZB59gIymMX+x1H32CfGy/THKh0cfla1fDx6jBNHXWME4rCxLfWWgr4vqkxKtY+MXz+gvlyWB
kFg0HmkiIXj4CG0kltTKEwt1WN2ui/KpM5fFeP0PX7QPQ1BLezttp2TjaaZfxKduTGeqQqIAYsP/
ZojJYiXY8FBnez9E2PeJEnPSOlXxV2Xc0iT4xQB/eZW5BvKPac4aFN7wEb4fgKnTgh+HgIx9XtLg
kwq3AUqo1Hl5vZB/BdOGfPNEF8/Io19Yqevh8jl5+d//uWnQSnOrfv//tt/+939AjRN3OP3UH61T
2qA2m00q/1ReJ0HOHyVZuqqGhZfOYaKhpzrVXX9opXHZ0Ri12JzQXaecy3/6UZKd8gpIVqKMyj55
wq//k94p2dW8An/OdvjEiLVWddYi/leF1DN9aW92J54L4CIldfhyjNEY90HzBFXUBx/MKV5g8h/K
+N5QYSIMmXsISqJ8DQ5C8zJtT1TgtpbD8bwyJDE2bbEgM3MHNuQwWESoZzI4CxF9a0XLCSNrqQoo
HWGAnTxkIyGotFG8eVLlx7QX991oPslKf3DAslAMcvSVO9EBHWVcxTSNlkWHL5soPlie1AaDPLxD
Lf2UD9lt6zOlZfhf5q5p3pVFvU379L4mr9hNh51voq3RgkMb+XvKuU9VZifIIqxTqRlfSQG0lwkX
NqO0Ya6lzC4I73tMBjEs9VAb+bVDBCWj29hOdzvInENQ3a10fUQHOp1E9Y4AbZDW3woKwgs7NvdV
TbJoSlSB7bHaRvZ1Fjjfiso5IUcdQC5O8igvrJcu4GU7bx9ElH516+zRLeSxytKvrOY4vqKSCMq0
szaVlZygUW4CHz9d6D0xW7TLPLZzcCc0rbo8+9qpziFShnqRDKxX+dQFwlDirAg1pIKiWvuaWOhC
d/f0X7FRQgAfsm6FEOrCw1HhSeN6GNvvgR6+WEl5owXemoP+Q+KN4Bot/kgekoNeaNZ1UJ2lCKFM
ANi5Mtvq4Dv99zh0sgXVXVTQrgBBgikaWOO97hnXOggfFMXRje7J74002+0QTD8OM2Wla81DojSb
KkPmZBomIhaYCW5Th2vTjB8zPYxWMm8upW8IeI9WPH91TBFEBV0tWgnyWrAUinVR+9nMY+87a3Ke
GrLObi7BtDd6oJG+Za/MgPhtt8p3gZsUmHU4MJchTFeQPtdQjQhRNFZNoRdzfXRtfhPOMVFTJbLH
KlzEDW8cFDRlbo+8xEPFM0xk7sHZHs+E1DBqaq88t12BoDmPtnYRdAhyLRnD8C9cEsBjptuWuPA6
6x9sIn9nlpl/ESpggDRz5/AiECmLYGMWpExmir8RqRIuFCtK54JyHFCSNYigZl4JxdnUwLlnWmu/
JGGxt3uqorDgczyANR7EAechvj2gNf1tVhhE86Jm5m1MZqZWf8FRmCN+UwGJjyibcWXLnZ7SXKTU
7HjbWDq+tiDm7F7aLObLUoHyf8dtcOujrKlWLM0AkrzpJiK9sRrqUgu9ztHNORTBfDhWiXUiFTYw
T1To/JNW9N4jNe8lnU2rm+mUoy7zCgYQXgC6n/1MGN7GhyNy9gtSSDzH6K9ErFwgGg+0JQTjKesE
KB1QHLMqts1rGkoRTMko9mtKSjUg5iI3Jfs9QSXU5EPUCdA7cZpPkNrYVxe9aX0VXtOE88gcStqa
3WtsrBvpRgEyQlrejXiNJpJu67kLko6kvyhEYrpPkRH4+kEg71Po4PT0ff9dLn9vYrJb/4nWKPu0
f8nPvFksKcmwUTEkRePXmJ4f/UsWS5OQckE5ziQVc8Jn/lgsaVLiGUKfhJed9VRn9/ljsQQVTsaI
7WBWd1R+7J8JjZxpQ/52sYQ9ZHOcQnaPTJOT7/Tf3yyW1ciWvTEa89LT0nFfsKrnVKttv9AXSk+w
/Tgb3UaipSQzKl7YtWtlNOASfJVNEL42HER8sJtAJJSXPcbAB4JwUqd83OghZVhAXrTtxs6ImRdq
CvH3XYPLdjEKj9ztWWQpTr6t9BJOudMaZn/VhBbOQ1/JvJVlMIc0rH1S0Fagz7upJ6lQVQEEL1iE
Z5hIEmooSrVyG3ETpvJQpiYAtwTO1yCu0RXimlUhV2dujo872aWFu1e7/m6AbjIDkOnS8k/WTb5F
WsKa6eUSbncYzCOrxhjd86kHTPezxsXxhGLyPrGckyraBgu1hq2hIgeaCIUZp1XWr8S+KKl2ysm4
FDTtQ81UhOEpJqRQGPQchhPr4bDqzBY4UOOAHQG0O9essV9ENdVlWDTjcjBYmWwhl9DBhgWMK3gA
dvtN0fsdxlAktfQv54mrfut7opgbo1rBzdsEBv0DYgL3oS3zeUDgBwg90tCKbl81HFraoIVCnGln
4Oqrwmrkyo3ceaIkbFpKN99ytvZmvZ5dhjK7BtE55zSyC5Ah++S2zlpELyqU7KGJv+hDjgbKbxe1
Rkc4jshT0lFK596F7ibLMrcxSrrMo/R1Q7RSWbSyBwuLvEb4tYIQJ4pLyFWQ3FTPu28QblE9cjBn
DlqwUEzv1FvM8rpTz9WivmibNsQ4W957Gc3IMTJ2w6Cea69fmn3cQmAjIS0Nr7203TObLyIraGam
OYIrN6DR56hQN2Xk+nPROye8ZtbSLrSXLFarjYqEEBV2BkGdzEWfaONUi245nuPFKmZZXhwVP6eJ
4UQSp7QTEs4cggYAyG3Zi4lR2AjtUeTw6y1kJG0Xn/vI2GJyHmbAoEmCsClZDVWIxV1If5fndJU0
Z4QB23X3qSWRPMn6vne7O1WvbvQKSTDM2XXqO8ewMoAv02g16i+9RX8FLEGH9SsivzJSwTRildXq
5uyGiMKzUG3opnhbr9Lx3dTFdWMSR257T4WBTq0PBujWYVAQyqKrc100t21AF0uNQA1mpn+hKNmF
sJznFHUd+7hCzmWmnqmOrYJSv8krsVa07MSC3rGT1s46xIuF7QsEzIT4eqwpgZUrc+L1Vn0Q07XH
D0QSzTObrX5DZs2maUsdwI3tzFOFxVlL4mxV1+ljmE5w7Ql/GPejvXPEAEFBpdQvxnKPxWaVdNiY
XYlAmS2+OTOVbhVXw1FVdbpyGIOysrhES8fOwPUvUK3HS1PtX6LAuQ51MLom2ae0NdjdVOPwvWuR
vrUtcDfXk/qcOgxqv2qi11kQnVwQ2ECaeHUAcpLMooB1yIOBjmBm4EvyN5HXP5t+nRJomqbQvh30
TMVBVfSXiN4p+mwIvOXkijewxwOH+V5il8czsxnG7DF99dH7xdaanPU5Fnsxee0xQAHcaNA59lLf
egB8Z+PkzVdleFAx6w+Y9gfM+wBCaUERdBqHW78uzq5ffK8ntz+sij0b/aOp5Df5xAPQBrRQYmIE
OBMtoJy4AVB1l9ZEEghBCqQTW8DqoAzEyK+NiTvQTQSCoO3unIlJ0GQwgNuJU0D+zWOvQS7oQRhE
E8sAIm6G8l+Clxj8e9m9dBP3gOyoYJkOOqeS5LEfuKOqQ3+tqyXswezuNTdFqzAf6NSDPAABQ4Rd
etRo4lXZV0fqT2MpvrcqLwPytpu85IGBS9IWRlxje/PSYlWwE2shmJCeouKE79jAxO0lvWoSFUyk
Lf5xJKdmZegTOapV5GyE6sE5VFv4ttg2GTni5Kb0W70zzjJ3H9iljesyDl4SfJAzV2fzplIQmSLG
b7UUNBw9AbZWYM9ohP67S/p9l8QG5e93SZcv7fO3578WFSQ/9WOfJMVv/CZAbTpsH0rvlAd+7JMm
b7YtpiAThFxsU97skyg3SDhSlinZLPHj7F5+7JMcfp+hYpqeag2ggv5JTUGbwl7eb5Ms5DAIysgr
RQrJX/F+mwT9LtcMNxiOQXrSBmJPpDswI9bObT/KbiYGaH6OTPf2GF8T5PBlyGNlbrHeYdwAbA0j
AlFm7YDLd47Ai7J5r5hfQH0f4sa5G8fiVuvS7zRDV4Vi5tNp/jHOE9I8KnMyehMJKpM9vVe6vm7r
zKJRu+xEQfMfktmsMKM70zPHlZaRg6TSSpdEFlKsMB6i2LrzhvELzPF07kbOpiua2yioT6WjXwY2
qaMUI89JxAEr671Lt60vsq7NZ4NS7VQ7bOjxgyroM655XIT4LslO3ja2v3JMqEShka5SX7lvcuIU
+LYp3V/G4BdHHcwrimIy69OKDmHXLFiBVoWNzkxD9EzZ5htr/rGKOL15QTGcRyVBm+FyBMqr+Vj0
yINDMhqgDeEv4fwIc9V4TEZYmSaRy3gIRXxhUYdYFB2pHkrvTrDzcGF37SLWJ9jnoE84lXGmqUzt
6EGWY2lQSWmx+ngsbGfHarx6il7I2N31ZlWNt2rXYT1Hf1bAQiUAAUB9SJsLW7oXTsh4L9YXbjYS
Bt2SPW0ShlUNaxH3m7FrzWWDWGZG0te6F3o7f83Nc1FU6BbWUaRWLzlperGonBnNs6dRh/FOK7Aj
UaW5rdP0KUBr4hoUNTCwG3q1HZoGQjIEITNMN1jKlKUf5QabsPbgCCgX0YDt0hf3g25eJDk+0cQY
ngvVKG71BI1Iol+ryKS7vNs2xEz0YeiyRXTZsgbuhs4TUNVC2w1Q7alHIbEYlKGfjYl9p7Roj8xC
WXWORLHYstlmibbdbjs6RjQTWc5520uR4WOIRyu/DggSmpEpTnSVu9Ia+vUKxauybO7GOL6PDfk9
07hnblg8kFkNOji6Rfrx6CXlqfeZmvvaZgs3PlQlIAPBWksouTUHwbRM+/oiwd47J3DzoUXclKrF
cz0ES9hbO7Y0CzXIH80AA7OrgeyLREpQSBnfNHp561fQefJGr/jToh3qw2U+csCorccCOfGsbMxD
mVvXpKmshQZFBnHZWgyI4prmybC9awx7K0tNjzTcj30uHL6xUbK3ZuNfmOmewC+s8t4qSr9FbNya
Ft5o1bnrLOgmVpPOJs0YTgHWJpsS0syBy8vY1cMI75OannxOXKAmhojqObAk2JAe8WntcGOO6Dz7
LCaJsLRu8HnsEI88jrZ/4Mx+pUmS1qiuAVt2vlG32CSOzWtkFdsWTHhTuZPeqF8SN0xCo57zQak3
vMYPmJZ9poXssg4QrTjaNwcz7pLK5Slzuwg9harP2RaBT3ZTYxabUBBs7H84CPuYzHfnOkK9P/OJ
9966LeRGkvRwXJjOl96tn6O4OLlqyVnGMtxF1QlOFUPhLMvQ2BFhop9GzV5ju/PTK0474TlP1a/u
gN/Zi8bbMcv2sCS+qKl60cTNsElcR1nWkSToxAtnVe5XSLQQjaPbf8lya1w2KNvxEOSTjK9wgBs4
3AE0L8xFcTl39XI/qtaulupF0Khb36+vSw8noOi0rTmCmGiUXZZwlQHu57z2xcwYFR3sr7cI/YRK
jqUv/l3yf1/yKav//ZJ/yNL6BeL1J4s+P/dm0UfbTRuPtuRUG6Fu8mbRd6ypjWSa5JhR6vizOGIS
vgZVhz4mzVl+248Vf2oj2A5N6Ml/RefuHy35hLd+XPKB9mgmUecaJj0VT/P7JT/JYx25i21eJtrY
rkgH1xeZsB4t4CWZ1dzL2ryNxit3aNeQfpaSDN+m9m7dKdQXEaw2z1FgFeT94u8g+1frottkCgNW
p1jggXxgs0aUjRkSw3y4EV7K2aDJ0IuXBIJO8cJSqE/KFDisTtHD2hRCzMnGBWYXwqwqzY3rlRdp
h1ol1Pz7BAkfUILHEZlfnNslIWnF8xBGV5RBn0tTfejbQc7Nuj8AGcrmgx9hmSjCXdNQvzeSrL0f
hP0UgFHaAWpwl2pHyVnk4W3UxE+C7sdWT9BqkteB3HrcjIV8aqvk0kmJHzWtM9lfEVknhUMZ2Ai7
28YPHu1A2XQiu69KxbuwZL5wABskaXuphoCp44GVNbicjEXFUE4IQ/9bhnWEghF8M7O7dCYPTRbI
rZ6tEMAzAaERlecJ94oUto4eC+kXM/7ENas3ulp1WvsRMNYGiRpRKBHp6e4sM6pq08KJoUujIUhT
9maSdZushtngBs2yy8LrvDL3YGzGlW76lDLieFNk8bcSCdmilhXeoFKsS3P050bbnAbb2YiQE6kg
KWztp4hhA/Ticcp4MRpOwwNvYJVfxEh8XSVQX9jjIkP8RkgUE2sDcbAOjnHuXCYwLsyQUBJwbPvO
80FzWwvLYLWsdaS1sWANSyd3jodcdm52LVCPCAh1bFXVnIDQhHBJVv4hcNBhJ8DFausZCfYWTmC9
aiqUrPihJwPBVWeZ1dxSkc0UGsGpIa2BIrxOVcpkPk9OybVbA05XkcTlkoa7vS8UdRvb2SEP+6c2
6e/8qvqSF3TKgA65i9E0OSGH1KGHklpEFNbbdqCAzu7qvgkwU41sy+eBn1y5la7No7bfkMaTrUpq
jMSjmN0syraaDELIcCic8SZneX7USx+PnlgbaozGlxJK3iLPH2LtHI7pE5kSu1rt6LNJIlbq9AKI
3l6QaSwTiPmxyLd2a38JK2/r+B4gSBnPTLu66argnDfKLeK0rUhphkH8zUxzGxGnigfqKa3iWzMq
uKkj9B6t3GlNdmhafOMoXK/ipF33brDXG6K0xm6TO9lWnWQAg75BtHvh6QicS7ZiOXzxrhIn4evx
qhlLygz1Q2dRpqj0kUpKfcwb+hbDaF2QFXhtBPkuCtqNHg0NV5g0xCyCORflwcstpMsttgYCajFK
nKusuucUvGNbdGh8feF7w3UqYnx7fPRR7K9osd97kbU2vGyTmIG9BQu4Nttuih6tD1pKjhol5ita
bVsKy1eJ0mINFAVRheWWdMUH0bN5skUcLxzZXHe+sW+IOJrB0CcyckwecGdtrIbjOf042Y/UY7Ej
EH74NNrOulO6Ze1QmQnaxxRXeWWI72PlNYA5KTdiIQuoe1PNHZU0uZZ0oeex3cWEtGUGc1+vaRew
J0l7MOOd4zV7/Hnbvm5qYn8dtrf+UW/jnetx0kLKeuhcdoWBk35pgxpochlfKsJZF5lzWUK+n7ow
q6QQ6jIw1LtAbfY98RdapMAQCM/j9Aix/H7JCcPNKm+J23ynesp9L9qjRvyjiEDamdaEIeqepULl
M8g9pOwFRbeaZ1GqxiptvGBd2MlTrmmHwaHiXQflJsrCNcCiblGZ6h369Iuiame+D7uyUq5aDKxz
qd9YHll5wfgljK3zaNTePjWKfCs89zpP0oMy0SDcIl7qo/Gk5ubaku5M17BC0l/Sac31cjPlL0rp
vUQUhWDaZ2I3WMMes7JcqWpurESgra0CgAovRY6Nl3Ke6YlNlTQPVRecC6r7Q+PduGW1SRWq2X1n
36VdsOaab4iTvq9p+G57/RTBJgpFy67bJOko6deGnh272rsJxEiAotluFPjj9Whvy8q8GmN1U3oO
t0Y9KkWZznzk6W0jz1Gc2UuhpsXCLtlktmp3lWvmoYpZ75dxpch42XRFcGckQc3kD8VFpjhJEjtu
V35hkhOFVSawW75O2hKBRVm15JKGId9QI1pbXuqcMJTa7ANpEY5KQBe2JROU3R7Zh03ypQUHSZxk
uGKFwTGDeXuRy5hzt4fBst64kHIWfQxGIWud9iKMew52yvA9LYmc5CueRQPUdy1kH2xCHFoanGba
jGRJMZhTViGbUtUnMXOWhCbg8cTbY8Cg8U9P9yFULby5xlgqq8bujKuK9jk68BEnVBfrcHtbmIrL
vBvpXqvKHrPVBXkCJxqVK70Pl5Yc74h2v/aKctcU6BAsLZ3LmHRiTkAPbmeEk9p6War0H9uoXzc6
nk2trr+0HNjVyH7UXe3Qdjh/cGQSsLGqXTa8WnWD7H9Y2Jb/zMx6J7Ryg1XtKIz+xQ21HcxLssxJ
+uRFyuaVoj3ko7GzguRATJBGUSwBxoviPEcu37BElwP2kd/pcMYijrJrmvIBeMhxm3vm3uiDjVoS
ZRLl28SBbZ6JaBFYIEHMULtyuuRcQ1RpM3q8SZrepPDp6UZEO+rMWyGUg0Oxmq3Qmsb8tnadtRL5
W88qdgB1701d2xFBe1EiZ0CCQhZL/pVaOJww76p32SkMuBdG11+WFMA5yb8kvrNXUgJOeel6snYa
J/4K1Y/wFifdZiK4LmW4NCVFDJ2WlpZAB+3FuZrSG+tUUeYEC4FyhVmH05zO6sKZ6B+NUxESrW6S
Rj4gSAOmp/Yrwkrp5yhg0ngfyZ8pmN2jh1gjEJUg81lXkpQZoVlrvJjIh/COJLK1Zo8n0ZJSBFDt
ZujUlRbm9xmtP4rlYNmUNvjmllk770NSZ2ufyo8hLl1PI1W9NpeIn5a6a61DJ9g6gXBWnkdCUzS+
5INxWecqV9zhuDIlL4uXdQbNJJpaHObUpTuY9jFTs4tUp4UAyQ86jLhCm7Inb3MCoGqrqkKa4ho+
JvgKCbs/mI9GhzfMYaZB6d/v+97GoNNl94SwXuWK+Shl6K7ygNM+pgti3JpVVLUxsnyumnrTxpmm
ngIbUZs5/sYr43Bu5NEhx8kVecp4VGS5y1WvWEgsPouiTCgO9+THDQW2Yf5tiOAHtsXZC/p8Tcjb
ljYBoLy6IVVnWrUN/aFX+dBCAfm/7HHbFIN+qUbBJVbuuR7q/tbyx2pPCv1EDtHucT96F13pXjlV
/IgrT99MnzuRQuhlU1ZzxAPao+1jcs/1K1qHwd7RUoJk862XixvoWyQHToKOrqF3ATcsifaFJ9aQ
+sBgGcn3xs5i5nJJ/dq+iersIqCoH9EBbGPyuytZPwxqcQ1Xa2IQWZeh6l0mEAJiSx92sFTuith5
1HvtGpV8tjO0MIVAa8JDqfXHMXG2Dhk181AEtF2oQuyUQl1lagBmINXbTRhj9a5whEKi1hOhnXs1
lBwjypIGLaFQuqT7ppnKUqqBS/HrzYnv9HsT+W3A2KSz+rO1DMACDRj8S0tljceIKz4coGQgRC9l
GhzDHIFeeqjGfubo558P8kEP+J9BTBUOO04LjpLvT2mR25eaUlXBUQxbJT0IIhIV/abubn4+DCfR
v16LBTJCR1w/Ud3fD+MK4XAKEGzc5fcuu1W0XxhFPvn9NPsBwcCD4XZ9vFeVM5goP5L4mHa8aBvb
pZz+x+n7k2fx2e9HNskd4kZN/uf3f79nTT1Zo0iONucO42T8hzXzt8ScSXb5l2f95v58eNbEQ6l0
7Lk/gH8VypMAF6yFTov9BQ7jzy/lk6GIx6OwbeN2sSjIv78UCsxi7MYsOopwg2unFrOc3qk+ZxkG
3v3zsaY/+8NlvXss0yv+Rh0h1CBpLeh7x1yb03IjQolPizl1aFc/H+izi3r7/D9cVGqhOUMf9DoQ
jXBy+MBcso5MS3H+i3ftk+8SszoCzinSR5Nykj6/uSgN4GjGwpseKw1J4nPbLw33688v57PX7c0Q
H1+3kfJrRtBTekzt59B91JX/4nWe4G2WPoHkjNfazZtLCIvYqHVFpseQGZCebTz8F5MXXSNhonLl
s6G/9P4mpUrK/t5Us+NoPXfWZTOJPOpfzF2fPXReYsvApzFZdqhxvX0QAPjzdLDH5IgPEkf2JLIw
rtqS5vMCAcXPn8gnY9mCy5CqZaMt+jhP+i4yM4eGzdGfztRLIox8MscK2uhref061L/SaY0v6Y9J
9y/SaVjT/28RvHifAC2mH/xR81TN3wBNE/0Hn0JYr3lXP2qeZJLSYZy+SgNi5msP9IcgTPsNDTby
LATUr8pqPrgfZU/5G8Y1bcoPxsaGnuwfCcKoa/LS/Tnl8Sfxy4A00gLV+bgwJLx/KYMw9Cufc9GB
OTih5AWs16vnjWlEF0kAJol+ZDtaJXAgkUvOzCnRkk3mLjwfeKuGeOs58qfwhgL4EyxeK1bVE006
jJthSwthVrWpc0yyerzwtCYOtpyu5Q0KOsXYqpVAnOo4Sn1MXM29iAZTkMsQRaF6Diz6KrvRG+Pq
q5N6ZncotZzknRyyRgvZ6YXuAoqWNGhAceh2A3AptNWVU9hBe10XQ73VY1kpRCn70bh0xdDQhbPo
y1iFL3aSLIFdWRQhMhVKqku/x5JfFmW9bMQQ7Ix6ALPkjnlDnqjrPDcVOp2ZXrh0ZoGLjfMo9ZuT
L41nptUnTjlfQ5NaBbNXMs9N4yWvkxeTGEwgHEmhf6MASMWFM13hddt0FMaqjpQGy4dHBrQUAczW
iGw8FNohFYbavleVgOpp1Llf+4ADOPh/uSXC2t9DCUsALJfWpVU0/XbM82KtM/cCCBzrWRKl/dyw
cxaTkiKZ05Ke4Ff5wqxtHMcVSuY62dmNg43KLa3DYBjjNtLRNhG9yp7V8dcWFOxZ6UGH1QY7nGdV
Q9A72Zm57bwAo1LWdjtuYpWeNiy79eB2lG4quNmei+oHw/LDJJSFqzsSw0ciaqY6nH1Ia6n9sruM
NEDVhJP1cyeeyFBMlHSlcnkUXhSdlc7QrkEopi+h0MuLpAjSezRMJZXPAvd7G/6eTPXvrDVJKf5+
1jqWz8Qlf9Km4af+mLLQnE5yVNRPoOdfMfd/TFn2b3TrDYkMw2YZM9lL/Dll0Ygx0ZcC7/k9VumP
KUv7DeyeyT/82gkSK/+JOOOzKYtVGscJm3CJgcT+sI4WJqTIDkX1gewYMjHGOHLm6vRFK30hdqlV
kX6hTF+8HvoXgTs82p46znMr/Kq15CnypuFLQN6atMtCEyGEsIKc7jAIoY6ZfnaHKp7sSSBElTcV
5GGd8rZLuuta+awTrvlSN8ItVzI1UA6Q9A0wNAMI04crH5FssaxjMjHncamTsFKGUDgQRDozh9zi
6jXBGIY7acbhFGzcE3KuEHtH8xVBmBG4lBLJQXZtlQLYJDtUtNBZQUCheDHgK/FJUI6pveUkKlN8
PYwkLKvauPdJXMaztoeqvVVJYu45380Nk+wAKk4GH3LbLGSl+/tcN9ciV04hzdnr3LV39RTzbE6B
zx5ny31aZcQFK120HMwQQSfx8gvmmmNfV0cl6gGVUASfDdSzaOZ2Sx8JsEMPuQbQGWhD+T3S6nMQ
izNhxInBmbdOT0oRjQdNR+JX5CsvN/0Hwp3mFpOSW7kJXnxAalrmf7cqSKcyp/AiM5t6S4OsQ0vO
iml0q9ymzmMV4DXKkgStYgqYhrjUozqduaNlLqSa+sfWgyWIs6aZaehk617Jrs2OKhe0OkTK5Uxz
mM9yqTKnKAcyfVatqQazocn128ohlxiBAnWu2F4JqOa01ZI5SdLlbMyt/NFwmxQCm0LRZZYCNpxX
A429N5/iJ6e2v+zU+eAmS6gNQpV4CvPDqY3kxk5EThVeSuHnKy3u5DNZj/a8A6L2H2//v/PfdDj4
+/nvpskIfk0/mQGnn/tjBnR+o+X8f+yd2XbkxrVEf8U/AC0MiQTwWoUayWJxnl6wyG4S8zzj6+9O
Sm21JNt36V1PtiWzyS5WJU6eiNhB/Jg8qO1S6fGTUK3j4ie15nBR/FPkzf2FucxydQAQKiaHIP3v
E5D2ef4BsTc8/J5HlPXvnIC/RoR/H9pUUFlgkLN4lxCO5l73pxPQGGyCHWWenxeAesgZKzGU9mrC
cLsUSbnFVy9WCRg+oXh8jJN7vTd2MWpr1GsHENW+B8CvYJPUA/Qb2+ot7cULjA4Gm+40LcZl6In9
EmGDShUTMHLClxZI4KBogRJsIA5duRZfJEHFFFxIslzkM8unLCXm5Sr2YAmEsP+VRgj9X/EJvRJS
4eJo6wZ0Ic1wWwye19FUnpnr6LPwkudR0Q5LsIeYsjiv+lS5cwF/9bIEYgkl0Z4i6poiyInxAEPR
nt3LDqiiBVzRmqePWSwnYGnvGfDFcab4iDq5XQmWUdpcsEpAjXjCj5kiN3qR/UAfrL+U3esYyS1d
VMQLDFbAo+deC/CPWU5PCjjIZEy2lWYEeO8hRTLgaiuj0Z48RZEsl8rXwUpGDbuupaJNFefKARQM
YVVFoQTACLEq8V4nUnCoySiLbnlV1Td6aW1zQJazY5zZeWx7a7qdcXDh3EL7B31pGQh6mfY8iIAF
uL6VfU+WcEAisrL8nQzHQ6Vhec0VUdOYkqtZMTZrYJuURE9+q/ibtTjILyAn/UXlyqqhdIbgOgPF
7cxtzsS5H+BYgW9RbM9YUT67unjs+TGCmkasVJFAxVju7FjntXHhU+nzBa1e8JUSjYySIomWiik6
z9Zt7JYX4xh8R0GjeFCCHy3lrWZijNA6eekpQmmvWKWRopbGTXSrgTG1qba4RJ5hYq2Tezcovrk6
25AgB+Sffodn/Rh6ZCjxfsBJ5S+1rxQx1cPeuAowMK4dcKqW4BkQO8Ga9GfKKrr3F9Cr9pLudFai
qYlTvOghfJlt/8FMU/lCkVt1EK4lKFfPqLLLyObVrhXnFWrYCNLaaFdW20Cq5W69Wqa5XEnDq074
qB5qoLFB1bt46xOu7rFGnwPN5wgvBSkRcLM69vBLAwBt77bPMUBaKixvaeGK145i1WoG1Npc8WsL
wHRbb4aERx/EawXk1gV2a9kjQW17udL74HswaMQIAON6lXvb83AbrYKESxAcHDKbMFWx8blgdbHU
Z+tGkXbNMG3BGJGjTBSHV1vmN+p7cKorRm/GK7rqtObYDZqvg/E1ZgcHuiL74oMFgWLmmxlkDc85
hf8d4ABr6fzWDXCBp+E+zSiFmNzrVIGDgQSL9ahgwhZU4dnVClopnE1EDVz01QcX12Q5DWyivY2+
XFAbx+91PsLZ2yD/i1XqEoow8dSrIr4MDQh9A6wDALYNcZE36mD2c9Uxu0jKRHQnxqU6Qq2dG1pw
zHq8y5WVv1am/sAMyXVakp9HWf5HOjHJDRqfpooDzHYWrEg/IK9n2m3d6x+tCg8ImcfHkjxBRa6g
VQEDk6RBVelnh+QByCFJBIowAhFWcyuBOtL22FwGJBYmsKa0iRBiqNkarVIVbOhJOAgVdShV6CGM
iT8MKgiRkYgIhJz2JRmJWsblzuNoFKQnaqsHnU+eYumic5tR5WirqMVM5mJMckj+oryuSWMkKpWx
cFaS0kAmMdflV3CjdN6AtR0Zpo6minaMKuRhk/ZAyTbWgQqAZAlZmkaFQoCvvwykRJquvo1UbCSE
cAAJst/kHHCQFPu7SoVMGtImvaVByLWacT2qKAq+zXdVy82MtC7JqnDQ7cIas4ZJioX732NKqqWp
XSqH0v5JqMCLYY6Gr6sQDPnTwY+/gjEM26CGCctkhoWQnNwVMOe4XxO8TY2XMZ2UjzLZ2l/JG5XB
sSpJNNN8HOTN2B6X4HmML0Rk3RSkdWh0eEy0/CEmxSNVnEeS6zFVwKdSUR89kR8GB/3GIAWEIM9H
WwWDNBURclRYKFOxoVjg7/KIS1XZ7eCZe0cFjIjPbBYSRwCOLyIVQYrD/snpyNTopJPq7oqLAYYj
ekZDJ7wWKsNECUSMI6xB12pinKXLjuIuep9V9mnRmpOn0lDUJqVbrNAJ47hlYXQkNWUTnxqJUbEb
0iDzu/iBjDL0kBB7y9yLqfxw4zw6jUVH+TsYLNt5Ssp83DVd7NAaUy/zlRHRqxe1/J6deZH70O0w
HcBN4/w6Bt3inTGflWd90ZY99hlxGJzoKmsi133rxTzvlolasYjResPDI2F3Em5z2ziZlX3gNDpK
IvMpIgOcLW3xtUZYjxiQOCGGGvxmq+0JDV4J0YZ7+r0/rFn/oDbonUcO+lw0Ac/T/Nx1fDPV+avz
M7aWUfp4TFlqYGq1Q0oq9cRcdQFsVDY8z9GE/WY28NaOdbSpjbbEALFs5aApS4u8CHmxq/dOPxoi
UEWke00bzSs6+c5WBb45puVvnWb6Ay8/T3Ej+6CQ5zgQUtxW9XSDe2GXuC1LfcvBxj7pOKka6N0x
qvnKqMfnopua9ZTd2WL2ZWY/5F5NFjiBy7qkh1GArYypcuJzQs/WtEX8v3dK8Y3D9RpHTLHOIt4C
saxvDa3ZcsAZu1GAtfYMOqAidF1nMfaF7EzSWfnZoR9sRVANkwjXwk0zdbwfRtLt1FRGq0a2m3zi
8ldJHM1xab4tLaHKbBxZ0HApY1N3xZD73DTV5eRkzrrMtY0Rs/sZ3RceLVvwnLdNPVzwyd3jndRX
sAceqgXAQBJnp9HgUZsal3FAnWJWPgEAfaZNTsXjnKfWnE4l+WX8hJ4G7kDFNO3wMZ/ZX4G9PSzx
sRHNaQrDbTWaqU91xE1ksyiTmnzoq+G0TNFKL+L3TGBvT42MX/t8OSAb7+dm7nB5y1NucNuUOQeh
Fu10O5Y+QGt8NeblqC8XfWNZVMJTQiYXWiDHPL+2An3xw87VVhqSuj9E8N0GlQcf2eXjZixm0l0U
lLpLs28FiO9GT96dkRnGnfprp6J0yAPvvuOG217mdUPUyxovqMNzOZSCXZoF2s7Lx4SZM+j4cNmY
N8Q9l9qjjJ18x07g4DFtAbesrIQO5MGTv3FO/rmOKbnpv1/HrrO3bx/Nf1hH8VU/LmNfUSECY785
g3W0sh/rKKJCyIJcgSRSrVqv/76Oou8B3prKYHtoLbrq9PixQVdpawNlV6kjtDiyxPobWGjL+6PU
wp6e9m+FqyN6ZJoKwfXHDfowj4PohDOeO2pE1qJLn8phvqWvlQpVLzznRp18Y+NR0JNr3ZOxI3Ri
acEdvoxPLdK3eJsFCTlKzEJOYjjteJwczExxE7w3IVTYKVPVXn1xKzyuMzrVtbuR1S5l4PT7VM57
b8V3clieIgQsfEPk+sxKrKcyYlXsVEeranP+RBUY9Irtkpl3fC9/7Ix+1ZCm45o1G9BOcXcGizx1
qfeApIwXMA2/J617ElgldDGdo7Ddlw7HAcGFGzPS9S217ERyxXA9mfjoUB4l2Aiqa0A6qnwBq/d6
bdU9+zXB+TdWxp6pMt96He0/ZJLcTT9X1sZKgx0gEEZpK2eHVYl7aBCrYfYYRaxNTyJ1Bfs+pv15
PixGItZdEUG50JdH2/vOrcJvOLHaNj86Q/fc60u8rhJYysKiY7WfyUXJgTJe0CUfg14eBsPZOhaX
F0+PHkODnZt6+ma0xK1wmxBOWvaJ6UCaZsMuKLUom8dSs99xTV84ZYotafElxOO6NQ59kN6YMw7X
0Ja3Lq9QEFOurZV0yWbZVSO8Wxnr7+m06CuYg8QrdFWE5owPuSleEnR5Vl30Dw2F2FY9Fw5vci7g
3t9Tg87puOiP8ZDARynoc7aCB8r4rjC2XoRN6q3aLKM5PnqdBu2+snA+RtNt58mtLrXnXkugwgB6
sim7XTcVbQJwcVyuP/WnM893ek9lXC28E7+myzFx8NwQnhefeAo3galatPtlWzmU2pmCgnfM5zJx
adkMnd2SOPaqKcpXq5AvFij+NRW5b6IfeX8ZeGrzsMD515WXxpBxdVmevMbKfc5j+gzlsZfzvpTd
90ETQNUi695uw13IJg7iQH1t6GgJoL4m3/HIeDTaDEQk6ikatlyVt08fk44XaSEctrKJ+6xEbt52
stp4Vc6okTfeBqBqBYBjDK/Mvnyc2pesPlh85l5yOKmlqn6OgKNgJhaEiOfoZh4b7xCkajJ12mkn
BvyIej+KdV8bCdn3CBedVn1ib+883H51R6QlCigm7fK0Xh6GryyZzaONlFcIlOOuCCz82fioHmHR
lBtBFg1qET1JpNO4NRBTU3k1N2GjWng7cvVE2QyujmBDs2NcCWeTQ6bFKGi9lINNj53KMGURb2kK
0mmDYj6J0cbXWpz7oetNd27FNaXENztFy3e1Co3r0PURTLY6Gbw+zdnSQkDZFEyXNPeFuIycq0mI
FbZ/8K/uU0yiL3LtYNWR8SOgcIjJ/DW4BjMygFncbyuV+1pIB5YVxniNvKBA97vKSBCmQt7x6hq7
mmxhm5DvImvokTlsLMEyORjfWykey9J6znWHDltyiom659TsFpSL+dGOsLgSsIvWmDWvRhV0LFTk
MY2ySx2ljX9qEmgHP1N39gtmMwoQa7BsVvo5L/VDlTiPVQ0wpRHvTQuWVs+dsyRzKftSR6yLLHYe
I06+LtTWemC861Ny65LZ5JdHeDPhot+lzkM+DCOfEIu+19Fl7MRGJlVGyLOJEybEhsqOD9PMR88h
UNRG5qENSRjFRI2ANRC3M446EaSg7y4pAQCMq9JJ2Sgj6rFyj8txnq16x018kRsIkQSbNHVHLr06
2Xa9FwOk0K8KlYMaVCLKxOi4hMGbNueXKJcPmspOGdP8TVNpqpluc5A7ONNbUaxy6Pq+E9bfRpw4
GKR17mh58RC7XF6q6lu8kFsNTT2/n4pmrxXmA5R06FUVv43MCbbcSSj/Ddh2y/Hg5FXgB7LnXsjT
oerIao9IennGew1PMVv0TIdbdWx0Y8bnl4UFV2gskW3Qtd6rmdNtcvoaBP6ZiCzW+v9rIurzt/av
E5H6qp8nIrouyCh9zS8uE8nPExFBKrqjgc6yuGYY+U2goyQDhR8rlSD79Jus92MiIlftwazxbJYc
7lfK6u9MRI7SKX5fTzMRkcgyUQiZiMCgE6f640QkorAoQIcbZxsyQLqnm88kSVynJ3bSUKraGy67
T4g/fJ67bDeG3pOm8GB5BKWgDHdekJGJ5ohpEKc2VtmA6mJzIvSLnmIgmU8Ha6Jztd/bifZShiGH
PqdYeDYSLzyVceuupc384BgsZdOW+Imcl+/khLmX9oRaaRJ4cURAVZOldVsxdi9Lme9ZZYW+ZQ/X
JEytDaudmH+vXywDOyQT/79Ar+GDnD0WWg9Cq9E/4qr9HBfzu6vhuy77NFozitzl7sQRNtGXM2tP
zSIQqZaaLLV04eN7V4Wc5wtNpLeImOwbCqhOU8ADgemX/9J+IjMJ/o90Og6GDxbchBsS0/EaCNPP
o6bGfWp909Nn8qZRK5dVq/NMoBBMKupv4HSNzxE6C3wcUNNRLy0Lb6g1jyxdrM57M2IRDJt4ajD3
FkME4KFI9yCB1LpI61UQqdqgbZJw1z3lVnWzLTnZlPTO0NCJGLMkn8Oxu2H1T1PlkjU3Q2klOy5+
9YpzhZeKLp1V26ARRnXC1qJgl5PX8rlcGhTUPqVvuhFcu8qW3iH1iJ08trCBF9gkE8b5hgQg0kWf
6H4yDuuolOXRw/a74vkanwJbT/zR69tjBCJ8NzUoonh2AQPXJplXLbKCnZH2n6ZXurs6qvt1TY3z
3pDa+9Dx66NvRu06COgbNWJeTLptL3T54WmoJ309jhuyOOw7PHEA3deuSzvJrl0rTDdGW0i0ENLI
HlvWncgsUOtDa+8gJ33kk+Ht2C5FTKpadu0sZXjklePxEYzFm1uSrDHnWN8HOgzWVoe5UZhI1JbR
pY1vOA6Z3EYr3qsZSHRJtRU0wpauL1drLkanHC/CsW92XkTyj5IDa1fBDtrwyxOroLU/Y0xzKzFH
AP+FtVMsJu7fS072zcMI0riueNdzQu+M3lRF5OxB2ekhFVRi2DAsGVzyA/qrkwLWD5+58Ngkpk7D
NErQJqILQN9MljttYTU1ySeayLx3DcO8KRn4fLgq7UUXLDo5KiaKRp/uMzqpibJRAl2ghRD7qx8p
PwvX+hJQCeON5abFAGIP7YsW1k9ZWTAeYXzZRDlR5iEvS2QFB87InDwaRXmd1G38OntkQ8wojEi0
uHByKnzfS38TF8SCbJnFa4p16oPXy48oG17R5rdj6FLX5mmfY9KpvUb8YmnJkbjg8yRHZwehhDL3
vFGHiHfipTj0qfcJ0tHXlMjb5e49hq7r2oiOFRzLVdGUVzinvqH7PQ2ZNvlGM113S+Me3KbZl0t7
1y7eQx3JYKN3zDN132yoVIlXMQiJnWVitablE0QBBPsR6bhxo9tQb2xQkGgxfWbVF7a+vCH+sLgq
zH1cRsfUCc6uNZ60yar9mVspnxQoLwVvNvAS0PkEUa/3xAUmINMu2YfWwJJJ9KpM2xNHiUS5ErIE
umjn715rc2bpfYHRvb4uR+1Otq2CxKTxMSTLQwg9rDbpPLqKTtlRvkKzBcOlRGYZw5scmzFgAPJN
vfrwLHrAtUt9066yow099t5OB7B1m4VN5bsmeShOmH7XJpILkT15u0oYLFYTLm4AwTJOGGemhhvp
KWhji5xILjbewmZFNvYnPofFT8VyIPh0JuR/kVvJJeDffGONurmzKP/eWHoVbFMqg7aRY+vUqgd0
eOhluTflZPsJ5IQ4yhZSGbG5My3Vypfw00Y5n1pzpFEpK9g54gBRLV+cUjpFfGAU+ZvazWCrrtRw
1SeG3GkJ4IYk51Jbh5T2FTngH46p/lez5j+jjkAC/++jzl1MRGgu+78OO+rr/j3ssONh44BziGHC
hBr707BjscmhW8qWqjoTH+Xvw44JDsYzbcDrPJcVGPbf6x/moC8F3kU6596t7E1/Y9ihUvkvww6P
DaLrKtCOKUqafxx2KNiEuNbI8npqdGdbDAJcJIfrahEjhEhWwMOMStfrow7G1dYv9Cw3CkJmTkrk
Vi+fY8oxToBAKTC3rBpiuxR7e+rbqzENqu9VF+Q7JwNBEmUOucQQ79O68jSy0rmhTddtk3fnOknE
i6bLbmsEsATXfByImhVBcZWCXmVAiW7nKbPPoWFoRzOMxt2C2fOhc2f7hcKl5m6EaHrq2sg5pH1R
1iun19KtYc/lo9XrRLGt1vwo7T57tvWs2Id2S9F1FbRvA5Bz2mdcIB2Nx3Y6GYmwRUN1M5JbyXpy
yWEcVv4wGmI4U/shhm+EMSNxYZBPmKdtV6b9zli6XvsQoZdEtExkPXHwoC2asxNVuA9DY4ropmIZ
7Y49EOilsxYFdeWZTSY7FFwiecqQcmJBPlSj5kPyzeILqaE40lqVze9kbeucz72HwhFML3LMrLdZ
c+xyRaNRsaWl3j7ObCfuurFc0F9tZsSCNAvPXT79ccjDPaiG8J13UrzWi2V5C9po+SAm+Nxo9bYI
46Om9iW5IVmb2w3FRNUYwl81+nmXooxehEY3X6blVPl256XTij4bDRF8DONtm3fsleshr0gg10/C
ibND5hkPVlpH+0pDMYtUM6ftNh0zXivv3KjKD50GiajSqW7GuKr7uamsFWZn08vQ6vkHCSzvXXNG
7UjfOfU/U37GHKv5TTdMu0HT2okOxLrufMLO1aejlQBoqqBgJnVJQ+qAjEOwGujoTvIwBWly6VCe
eGq1OnkxAEKux8WZL9sU2NnST9oFb96QGFwxnpOwCZ5xuI8PBdrDpi+n+E4juXUdDVyNC6z7dI8K
MVAL22IhGxhau0072a0fksN11iHC294czA9PYjjOrKMzjdYNCUwCZHopjY+qrJZtHdMw5pHipxnT
/Y1o/s9ZrFoA/sdZ/PaNojEw4P/Jzs5X/nQa6+pmB6uUayQ+n59OY+MXV7Kn//FvOCh/eEPZuCO/
6yj6/MevZ/iPq6f7i86VlGOVlJLH3dP9O6cxvNQ/n8YOl1/108FZxWj6Z168lQwFu6BpPE8crmvR
x/johijZVIniMk0dvKK0ZUayxfCC0H5RtYwnUncdNkYYsVEwWz8oXIOiRrnRXJvV5lw4a6nH2oXe
LW92YC5XVJh+jLJuaY8Do1llwR1qvjwVA1eAebBqRqehviLBtknC6BHo8WZEEtvGnnsE73wUjfGZ
TvPjGLG1Fum5zkgYG+bei1nSIw9y6ORWhXnJIJc/W5kPY4puZY89NirJR+KIh1Fqr+mgfYyDKt0K
QH9OI08Zyom/1zmEj1TXrjod06cBoXQ1piNoQE++zxGQEmCPxjpjXY6o0MV+zykf5eWNKUNa8CBz
OLPg4tSD6Q4beqFPYXyg9e62biUcgOBjUWCD4loaROCtJr0qWDwvU/KU19YqMINvUWHfD3bALST5
nEPFJcrMG5dySGAY3CaGsH0oNXTQuae+qc+ibDt1sGJrjzm34RTOwQb6nTOKfevqydpCWEUVgYm8
lGJZ5zFW3jaANMuI2vqiC/dphEqaa9auZ/d9C07C9CeATqtkZtFsxPbg2yUlgU2t8srgzhC1jeqI
Nn9bthO+d3Jsu35SB58R+43VxUTIE3vfB96cPhah5oQns13yJzid2HgzXKy8fMOynixWC8MUc2u0
3c+WeOsU8ZTrGnLkX/uw7ms31tC49R1viKMBvMwAoQsj2NrAA86OjmbLzYG0sDkX2wqv1SlfzPjB
JauPzD/tLem9pvTdc2Gq4vMoEtPXqh7r8ezee8V4sHJ6xZqgJxlrZPvGMB60nlGYYQMIdbAUu2Gk
/jYXOY90JORzW4BQ03ktrXY4TRBW7nkHOKBrONQJWU3XxYw44/ZjdR/Ww3tLYOrCSc2BFHf0URnc
3BYx64jWxpXmltzodGK+uWYbrD27ft/0QbM3oTvc1bLOKHt0ivvUBCRRGXG0HkR1X7qd33WSnX+/
UBoY23sewYq3q3FFgsVBYekMfcCjjdlqpnUOK3Zjx7AbyGa52zkO5LGb9bcpqNZ1ND6C3quo4dRn
dNwq8UPhsYGYhHbQNG98TZMRM9dSB5hQumIHPzf9luIM3megCFZL7R7TEaMC0Ql303TeIvxmgSIq
ba+5GS0juIzI8J7cYb5qkRExqBDQg0LHJzMfmi29ghO8mKI9ae5CSauRAumwp2XzzxqUZAGMJ6b1
//U8Kv512cftv87vcVv9p4cSX/7joQRZm42jTfkDrmkeIjwUftqHWoKsG7cBnQIL5eT98VCCH+Xx
NeBk8ewSweKrfjyUxC+M9HyZrspZvpJZf+OK8JdHEv5cqNueMPnzyE78SR9uTN5yFqDsM8nzVWvS
Pfr/9bRxHfrDY09lr12LpyvWccQG4he8OD9HC3Oj1L0qm6cr0DAHwknelih20mydfDpNFksPJKe5
3S3kaDYAZOlHNTrXvjMRgrB7oR2enMbx2kNBm8aJygC3Xue9JeuTlBpFfKIFGwUeygDJBvMNA9+o
Vxy8tIkSLccTN9UwVsFlbEZDGrsmEvWmLcdkZ8mKbdcgrxOnUNVnOT2wtA7sYi2kyTZsykTbFTnx
3ruiWaLPHALj1vo1nO6yKdt4v4bWvYz/tTEqNJRN9JVsR+sj5Y6xp77pWA00MaWki2bYzPTRs1UZ
F9EUATjOMPSmUGasod6R7L0ce2msnE674pbyaKfWfe21dw3IEZDSjxInCXbKulylsbisG7EJRX0J
2oVIRZhCAqLfIZzkBd4iiN3UOA9hCTQR75qOdLiU87Gx9ZcqScDeZA63k7I+N+DF914RXfaT/h7J
dEaaQUAWARYWNzPYWJU0lHjeZi4lmyeP7V8o8LV102TvWKIvF/VcXQwYVKY8pZ6ccos8sxs/tpZ1
uFS0isSnnOjUJrBARYVRtVuW5hA08W0EInyXFDZ+RC09NAsG3BDZuminhgrG/K5suovIYrWhzbr8
Ng8YgOYmHNeMf9up4q06GfFG8IDFBVtQLhgcpqo+jQI4mUHV5yolmGC7LsauMLGVawqP8SRgAhXw
9hC02FcHgsDX3J1qPFzML80BfMm8KzP9Q8j+OwERFzCvzHFN0yK0iigtuKkKN/chuMc2aBPopg43
Vo9A4I5h4FuqRYdFMtkYzkNHGi2LArlygRsGqaus7JcgLW+GAn4gD0ogyhsFS8jlmO6BEO1cKMUU
IvPCY3Tat/rwxM2zBCERKs35dZHDqdQBxMTNdLQz/XrhDx2M4pRDXVyEwZJbezNb40PTpgOjyKUV
aHvPeZyC19JdjpBQ3K1NF3bj2JiEDcg40zu9GeTf3O5CgImwzfk6DBJjbZkpi7XUe4ED+WLhT/Gb
0bj0RBFiaDpz76OwGaP0wi7PXuqtE2n37tQ+iHTYTCHcIjvCeziArmdxz1pvgJRVpgf8o6R9BuOx
0qJ7180ftIrW1GLcOmH1aTrTsfa04zRR2c1e7kj0cZfJrF+xwvUxl/YH0YvuVowJiHCqgRP9lZkW
xcTKKBktYXWZVpVc5WJK95OWmy8lV+7n1i1jTHPzHDzkXZDeToFD9/OUGWz5A9qO445CCk0RhuhO
X9OwBU/T1HR/5GNxOVR2fNWLhXt61gxBu+4rqT5hbFxLxkHmT7cO3PdFIslGWD611pSboZVXAf2x
GzSiAb3Ca3kzW9gOYNVfcNfGs2Hat51OBR7qb+2HQ+WuDCO5gD1zl1cpvuixxMRSteA8PfEsJbgx
Ofh1j+zpTG1xdIFdnYIq4sVesAamsnwXFKdBSZ0jPnIevyP7Xg+rlNdxTnfhHF4mSLuQroMbeB/v
/eStEyQdN4ERHGj6HQDQF8uqXlkTEZpK9kPSfTrNeM7sJaF5hX5QeKYvZtITF3Bey1mjOaSFQm+o
hqER+btrCxan6sod2P7M/geq1Capze+57KZdBZolKYaXAfHDptNktdCAhNtzWzX8mtNxawbOk1G0
j3ZfPNlGmeM0Se6mbL4svHHf1VwytDF5CqP5EI98RKfpNLBzCnPsv3omb7tuOTOuvkyRfVXiv3HF
QNdRszZG2CYOqMRBeBwWOmgG4WE1SF+XWvU2JnInEhuBJwPT1LkxxPqJpC3I7XViyzviV7yCmUF4
tHDuYeweOws2OfWvLzwJLuqgJMQHfRmKVrcvk/DJptl3ZenN3s6tjTJpav0E74y/fR45l4D2QP+H
RwznL141+AGGgMpNz1w792nO9pqoGcU36ZvmsiIa430PAW5Fy/qb3qVHXms/XiZQq6Z3FP1801Y6
P6Zoj4mu7RtbvgYQ5wYMxKIb7gK4fa5rL1vujuUqpy4Gg9RnoCOSz6DrdJFQh7DEJ8/OdnVQ3+dF
x0a7KPdDONQUMeWK46UKAUzYa/GrDAgNNBjpaW/qtkWuG6tSiPFaN7FhuUD0NqnbPBeQ3rea7p51
RBRUgrq+aA3aNzpss1vUw2+kRXKG+1B7HivJ+4UbwWZmT76yRJx9p3kGK66VRyDUZ/M0Ru3fbLpU
ZBZBx6VkCuEi/5euUyO1jTwvAu0qSYB4Pabeu7D/bj7uT99CTVo/YSBm3sUy5a5wpbMXoxarr86U
Xv40Zv6HDJ4ib/yuXX9RbPhrSB0xHByobal170/fw8QOl49eHJ51uuNd57x0QI/uSQr972+joBt/
/jZKJv+CTUCY+RNAJSwToKHpEJ57eHh1EjEY8jmsH3pxrcCPsoV9Zv8KAvlntWVjMPjvV4n7j+gt
f/uryKC+6scNAiMp3A/cmyqljEeC+fnfNwjrF52+HgpzaGGBlsCb7idHhW26SKikNr8if7/fIDwu
FwohjwjxBa79W2stik//8HZRjgopbUN9L890pXT+JDJgCrV0UHLuefCitPUTy3oIbX2fFIUGSTnc
GB27EVsbZlxH/YFdEGdIzuPSGLxjZ1PeXVmWsQ2T+d7VynrXJ7iSCiOGGi/zTdJX30JzIkbIJh62
OrjPXvMtrX9s8UHfzqREdrKR3IfFLA/J5PiyNgHeOkNzsk3R4+U3o+3kGO8dDgYdK9S+GosrKGsK
QaqU/njqibdNNw6g25sahsM6TEfXR0zAhIoUQUcVyaQQS/dq9ipvlfNTuVO6TcJe2xsJZPlEKdf0
Dn03CnPq/VaZ9boiGfZSGQ7CasHDZrGMS4PCOAdmAle7L/hnNNXuHSMzVoAgbxalmzYOB+ystNRF
qaqN5da+h9CKJeqcILxOCLBdw8aEJqO3TmmzUqm0ZTfYqyGgeB4qEEPBxaDptIBI7LxxXhOmiIgS
Nwi/bg+ov/nSgl1Nue6B5Tb7CpXkYNfLNXTE2Wev80Qg71uJsAzFXeEmoyOXyGu7C+7DAQ16HBt/
QJRuEKd1RGobgAMJbnRr/AfOrsrK52TMjhJpe1Ia94zYPSnVu+8ozkMGt6nIrJQubkDnR35GKy8k
LwsCbrWylJgeE6JfpUpgN1HaXRT3VEnvoxLhs8KeWH8izOdKol/a9kmi2btyWpcYOjdpSIRmDtnq
VCj8pZL6cyX6U3cW+i0+AKBkXILMwVrHA1CPYjFYImXg8kLRX1ctO0TdGZNNs/Tf0POfB+J+2Efp
TLSM7xWSw5b7W3csApMRyrW2zAjDVk5WQFsANM+Ut+uuh8/FzUvktCkajAGVsA5a73m70M3ZG9Im
fphK93NOpC/S9t2qKIX0gpFcUNISXJC4d4pK8tOyPeWzX9FIkmZbXHMow4G3QtHy1uyEs1UwgXQb
ymjxA9qZkFTgOoKBDsEM0zkyna0h2Jt2QZa1OMvUZfkUb3vzkOd+MP4fe+ex3TiWLt1X+V8AveDN
lAToSfmUlBMspRG8x4F7+ruP6lZVpipbufq/0552tZIUBR7zRcSOs8e/2Zn9Xd2M/dqeneussB8d
r7giOIa910hnP0ynbaZpa7VJvndl/+TksepXU48nOq3xtZIWWVde7636tNxUWX1mk9p2BKAgr+6z
Jjr1BSZYTYdWxRVDzwHNCnJdNL/wtE/TVZHrywHk63PcJRfLRlWz1dHZp41z0r3iAgR6m9PXRPsE
yOgqy5aVbTMYjmKNiuVIS/YiTU66SEg11s+5NpHAGjsSH1r4gNfsUbTdlV5k5hbGtOdP6OZriJqW
T2M46lWEvUUR/RYgHccre5nWWBtvRzt8XELeX1MLXL00HS49PxcVTIKjPvfrNNuHS/u9KQ0z0Bf8
YA0ZLZV4Jhwj4AkeH+t66CmmCY2bfkTNNxIxIyh1pp8NwLKzRn2lzfRoJskpiWOHY2hh8Fg3EPuS
58U27kM5NW/DCjd3T6aXO+YtQxwErhQfuFHe6Ap3Y20BWOwJ+KfcUprSDfFRDzdtLLZhqd8PcXdW
BwViZ+0eyLRy3neKmxx04eQkyiGm6Dux+tJX++lgzy6zbxxS/aRbctiar+0SzEJO0ovOqPjMVY2m
RmKtRK3y12gJ75s6okpEkzSWhIv9FKff2hoVt0I/Vt1x8aUNb10ivOAqIePVu/XGGTGhL81yMxvG
GGDYpa2dlsLJSAKhc1+lF83zimFj1u0Blgc+fy2O1g2iAc4Kug1zu7I25DSfcLht+kh9abop2U56
LGsPh4stigfdGk6LU/GjOgOCwdy03HqHyj0mdbtLMYTuoLUREF0IyZDC2JJx/rpo9dmKWLMnzwgY
JgeN1n7v0+TcT83LMkWBk/Dt7GaxJl/xXDFw4EpPU8fIRS9Td06PsybCrDfwEHCDZeWuV0ilrm9l
JZDX2bmvRXJeaB3KehbKxLAr/LTylo8q0nMW14wR2kbnXbUQKbe6OX7KeW4ZwaAROCME8UGnmZXB
b2sNA2fLhcnOHL2wd7ZBlcQCc9lcBYwYCae7ChUHjqVv2659SjLtzsI8RTDTewAE+4xlJKQwzUXP
73k0cqfWWEEIA+ruF4Niom3rtRve3xdiatWqdKtvXbiQjk8BmuPXWy7AjS0/rJtr9jzmLfy3sY6P
PXTKVU8hqlErVeAV4ltoZzjjneabEQNGS71uHSphRqIgPMMUFvR2zBS3VN7A0KrHLJYK5gM9K1jo
WpeYaYFf10nJJYvYqoh2s0XqzmGdBDS0GpXybq6opEqU9DMpkq8gU9YG874tCIAt5wj+BuFwp5Ed
WzdD4yCnOHsKFtiKSzNDXTKdNUrNvLYVrbuSo/VoLl4zNavWboE45xDM6JTopOKPpkumfiU/HAWq
6T2PlaIFSlNY/Es2bClukDV3GpWr2k0LiprVvPPCsznE2zgxLcIbInb3XOK85lLleRXbNGGpspyF
+tglUDWviU9vx8f/nqOND7NaEnh2fqF4459HafmDfx2lsd64GudVW07Q3xBBfx2lYZfpuAMtxzPQ
iX8cxjv/cpCHqYS2bFVl4eEf/HMY7/xLU5E/aXf6/2jA/Mcw3pEnaBeAkWy/1NV3w/hOjKIp7Hm8
UqvrNjKDmQTMD5eLX1wg393sYHMwzLflkR0lnOzZu1E8/sLMEI4QV52ZMiD5pKhXHkxoc6eFXO0u
FCR9/HrYjH66HEgayM+vKN/Rj1dW2N8Jt30BeFVgk5kjjgpzV+kycl11N2NbuYeht+qLnRH16OyN
nWL4xQsTWmRZemZJfNU+T7qn722DJPyMI9InfkuAwo3BM+B5dkn8161KeCd79SblSTayV5SMIqiy
gGL7kFkgzn+GHqOlMYkgDJREAO/tLeCQZGNRIw77hwB8OE/lOiHWwQGLASc4NIjD9GwrIxV9Irl1
h+EIXaVieR9OShPyVwKJUYSkgDhB+WSuV7M93oT0Y3A0NHZVpV0PZD24Nu1LlWR2lkbHirwVSfaH
FjcqBXefh8W4npx4NzhLx12p2yY9Jl427TixplVsUyeNKELLcjyfK+Esd06velTqWXNX3lUYO3d2
Q3gWvPmuoTOiv1lqk/9BFC34kjwyTz2yzAUzt7UzO4Y9aCfNl0x1T7aNg9MsTrWT7KcMiJ0XQrHP
LsS1HxGD8eGiVEK1Njatnnw1LfUbZ2QrGC3zPNUmFcgGt4D61IdjQAZtT+D8WiVWV4bMq6b5hOZ/
Em5b+f1SqIRmx2M3qI+N0BncV9J9vTxYOWZGNvTskojyusz6LYzyS7ZkB7WCrzLVxIOzHsd3M7lU
Tw6omCbAyC51Hpp+bokAq9FGL2p6wMTYY7XUse8nzXzKaUvcdK4OKOUbfrQrM3ZvOwE/XQMnCBC/
3Wiww8M8uRalcjcOJI0U/izQMQI34Xhd9N+cGEydZqc3OnxzTxSCjJNGLwEH9nS+6QVnjI4+LXs0
t2M7bFTYcj2jrULjeFxVd0tpXhdhQ2HqhOW0z7PhdprjWzvU9iQbfbd2n0xqqCfHamGhKwbp5/a1
JLRI7RCnHUjOC9uQqZpIDcN3dYyOJa0BjamR5Xc8miZoZaF5HcGMg2AYXcfJcDatdNdYBbVfFhyB
cs19+dh1FTNCuh8oVYezcWFS5uujsudrezO7UU/XCYYlwww3mBw+mW1HShNobpOVyNNWPu8y2nL3
bY4FAN4A6D3lkHXLfScvLHPeE3Gv7tIBR3zKZEjgfVgLV3/xRPpCgvlcNXkKNwba9diRKg87Guqt
cHB3/9303nRomU7598MjNr3+5f+tXtovL+0vZkjyh//c+FCh2VJMOSKilehtd/tr4wMaxWYDHZt5
iPnmRv1bhZbWVo+dz3tf/WzI6me8RwZszj/qkv4vKjThHhLPpH90gFFwbn/eJIxYU8YeYekSF5+X
7jJNzz98LL/Y9shU/7QNseERITIN3YLIx75nOe+2VhFyzQ1xrl4oYAh0vX6da/OSMzGx2v61pw+3
TVsKCkx8PppS7nWHqGCTUvEFLhx6QLWl8HBbOkTVOrqdRbwxu/qbQhHMSvdOwsIO0vXoN0ucX2mD
ZmUnY+gb4yoqUJohdwyEgplKWTF3GXAp89LRS2/tJznpHi31bLwNv2c5BzflRLzRJRhGTslNci6k
HjllpnKG7mXmVyGn6siM0ZrqvuaoyZl7pLlXTu0oQc443pNzeU1O6Gs5q08nkoaGnN9rcpJP39Nx
YLQPKQfZT/e5crFYy+l/jgxQSj2gRRgIEQgMLicuRhMWo/KzIjUEDTGhyBTi5KgLHT0NGwCnflT3
dw5XUwUhwmiwBSFMUBV/6KVSYSFZTJl7SKWGEdFHQ7Tk0DjOS6gNxBwd4gGeQiA0eemlDgIrASeZ
u8uj9EpBKLHKkTI4/blDQPEQUorGOplSWWn14ZwbZJ6RXNq62dlSg6lM71MqVZkly6+5QCPjINj0
CDd1o8vsQHowFZjsUtvRpcpjLOZdInWfWCpAAilolpqQJdWhEJmIuUfHIDL7LBCQRoQk/hZ44Eq8
ACTJDhNik4foZFbGmr6ai40YxSZ7hUh/G0uVSkiLtDmcY+SriqhThBuNXhL2PwSufBhPsZ7fwXam
aCnNH3HsfMLF+miHYlMhkbnQdZSp/WxL7QwbEAXI3XPFL6/PtKEoRMdo1Qxm0FU0NvpGNp3qkbZm
0UQ1OyUthv2bWucgryPf8S3YQJJ8jsKQVbnr043CUdCpm9cZ6c8FbmIiBYpWfVaQBjuHuqcMsXBA
NFSt/MsiRUSpJsbIilnaZnTiojSainMfIz0yLUGDTOjKUwtSHVpB7FMqle7iWGc04vKQUOKNR4y7
JBpbisAppNJJy4KEV8hvTzreqcihikAX1aVCajVwKHFO3E5SPRVSRx0iVbZkGh3+C1RWguBhMCK8
Rj0j5QQpVpWaLG5q9wth/SGI3yTb4U2+Ld6k3GJWwpkr2JBcJqn1NhwzfI+PYmVkdbRu/9CEq9g3
scivcqGoQb9g4yulilxhM4VmK9QjMN2VG89AYuhG6fvpqjZrTCqCLI1mSByj3nQ7TAhpwDzyZGsR
m3BWl1ttsbbhtHjEn3W2TDOvg6pvKqJoSX7lEE/iiqp0NwuzG8zy3G6X+VMbGi9O1uxY38DmalxL
NVSfOVdOYaarULIwl2S2Bcw2r3BPWEKR/Zxh/iiy8nYcICYRibwyExeJGxhXavqGowm/qsuj0zgs
iBpv2hlvSmFEzM4ZwmIYiZpwx4iZtm7MLEhNpPC2sRWfaXx6zOB3Yb8/jOQht+WUgTMNLWI4/Xp0
Q/uo9UQGQjNxvuB619fQFjqK1JuxuM+0YtwM9AMZuNXWxkJRMqVkiM9J0p4XN7sYOuYdr7vRGnrC
cppCJuhlq2XEd6k5e51IA+0VdrvP5+EBt9B9oRecdQkq+V0r4mAe+8JjzRGHUbWrz6XZK6y/ymvT
MbecBdBRXg4zHfiaq8rIuRvMmTOge8fDtjSZNLH0x49hwyvoIr8vCzBK3P+8gwCpecjTCE+pRUDL
MVyCWTSlmJVzbzUVKhmFHgsybkckygyxUWbNvR0iapTW8rSEJTNnUXUbS2C/d+iH6nEEbGuV4jby
/9UaIjRFNoMlnmD5QE1z52RZ50ye2JXifmcOOFeyEcewW7T+XFTP9lDvKU1C25gD0YFSmp1D1swP
Ko7iIUFuqOr4QeT6PUN/7zjN07CvlLT1qzAHSSNSCGiq+sy03/DxxjRPwq6pJaoIfTIkym7hUBGq
D40nffL6O6Ib08YVCvYBoc6/uSUSoPlZbwQtSohGti8SlAFC+fP2rxcFyleUlpc+o6lqWvYWl6ix
7TYfnwL0X78OV18udAZf+/eHgN5Zigw2+KXI8zNtxg+sShQ3FZ9ZLlvG5vCtIKzuhqne5G626/QY
dq2+Ipd/ZKU6WWEHcju7oSf31m7UwGDuKOCB4Ev7XglCATNfAXNxL7YacVz761z3iwPML9+5pfOl
NE2L+pJ3EptViCohnVFeRqgg0XyvpgX50z9GR/+2N+MdLEbKy84fMjmcV0aEzru/Ax6Qei4yMVzq
iMQzhcd7zDcmMkbDvjEMMDiU4UlB3rkpPZ5BT92PLkH8aq5ZqAz1ZkkL7lGLuBGx4d2V7EqiGrhS
YkkzK4B4Fu25MkR9SZTkwAWfz1zne2MXqNkzMArpj37J+nxNCW2yXfDBhp1mB3GeZEHWG1+VVt8A
JmYQbDQ2nF8P6mNDmDTGGM5WxNEmtvdweL+TO33hZrUSFioMFKrzvDhQv51Z2anamJ4h2BagE/Gs
k35J/Nhj0KIl0adQaMV9M2K68rToZBVUmXV2TbhFGxkis8XJNh+mMllQq/qVpToM0xkQs97np1B9
EeYGjOSedfHZVVCRnFHbzaSfcqONSe+iVdU21h88RovJ0WPiawYiAc4cpqVd2zNWLLTpINThJUv0
+Cszi61qN4WP5nLWK2atRtdsKM+iK1qfbgvbznH7c6dFuDg2TvcH4+DfPg7aL58HmVzjccC6yWjq
5+8lzOaq5L/1FyZgL4bXFf5SD/nFVppuxXr6OepkGqmL15o9+W7yxsnJz3wq5GbjzNlBIj6DZ1sR
RD9blfsEeyMmVGQ1GyFUc19YusBmjZNuoC8xUCuz2AF7r/1RS2RVG1XbJgsRxYoMZazmLiqwpFN0
hnOMtNWqB+Bf1s3GLpavbWW/eLoF1FlDM2kL/cHWZ87OGEONXvPReUHoW0oGVch+Iu++H0P9m+1M
2aoeWQa8fGeX033okSZiit1Uxp1NKHWZCMDO+h1T93OWxndNYt0WDpGMuX9ys8xccW5UA7uh1ixu
hoD53bB2ZTzaSEFYMjjySXe/KDwTpOKMZ81QnrR4aPymX4yAIfdmWKCYKlMVaGa7VaF9e+UAYBp8
aTygC/bq2nXHowMEZ9SGjm1ehhL6e2OsL5477btqfiF3+rWB/V06dgBU50xGDpEpu6ri6eSU9mas
6GmEzLZOSIroXnKT1TguafoIqm4O7Dz0i5oDTWVH3Ev4Mg6KdzM2/WviKCFpCxlTgQXSi2xtd/CY
qF/QNBpKoZYlBilrV4uKwIwWjGecUDMRn6DRBoBxH6sKD72SXCO3Yf2kJCpTjphB/XiMSGnnz7jc
NrD6Sm8P7FDT2DXzcKQejma5tqh9QaALbqOyTUf3uKQohl5Sr0YNE2insuguurZJNTLWo3sNkXwX
lT2ZuOZUylhMj2hG49xY7+bcOZjReKxl0SjcRf42daKtR/p64prxV8ctIbex9xcBszVZzHptW4GT
gZh0L8W0sedNZe5CZ3hkSENGWj3bVtuSXzBPaTzSeReG4VHog7Pu4HCtHfLq23EAUsK5YVfNfefT
SLtrB04hTgUEx4FwMISt9putTX4Tf3bsYBf/+5sqeRw/TVljbyZSnwmmqMwUu3NB2cI0SIveVdae
ga6vPt6PfrZ8/LFT/Ph673ZSPaZqoyxYGarqu+Z8GyYwlacyeiIY8/ELydn6P34zWXVFdRfZKUBq
P/9mY9fDllGH6bJocxTUCf1rSahLPlO1jytKlrJpOKIVqasK0NrZbQjdYSUgxJES6IHBx19GU17J
f91MpYEt2hCfUJWuqE++yzm+cetZ951+N+EA9MseymSffC5T81GJ8/o2EvharTjut4UlpPF0xcEi
mAFC4ZIOt2VvOI/Y8u5q6hOZpByEAabI0OkGmfdW7V2NWXRs2bYd6gQzveTLBCYwdtdTrT0WdRsk
ebgf0eCofHRXvVW8LOpsrfMxem4mr6UPLqRzpDOi33yq74bybxv9jx+q9Jn9MJTPbIzSLXLfxZ0+
x8uX2f1Nq9Pv/v13G4eq5JyRo2y+JO5dndJYbzz85rH4+Kl4ixz88AtgwUGu06P5YunXZJZWfExq
PK8/fpF/uu3g7+Fbgo5uawS83z16k9PhRKQW9+Lpa73/2o8FZ5KHZHJ+89d4K7n6+9srh1NwPeH0
8QX2OJpq715oThPi/UutXzjGfGVT8+/zTegDXVol68dVuXrc09B3+nILT/XTFLxgnfzCN7rbGfuP
f2Fdztn+fiP/+Fq/vdEfPlZvSDA4RSwj/Wbw1TV4jTuxLW5QagPZGbHRtnzOG21NeGEVB55fD4F5
Kb9+/C4k2/4f7+LHp/Od/RBAeu7qLZ/707TXA2fVb7xrZ4VktYr97aO1Ptl+sfUuuLp25Z21u6fv
ZzvtWPdWy7YCQOczOvM9XzmJXbntrmIG96vI/1StxEVdz1tr7+3Bge/ah2Jz9/Fbf692/eOL9e4E
rehdktdKwnO5wry/6b7Xm/pe86GL+aEf+0lQbopDtb3+egrE3lpzYU8PxCoP6QWAwzoMcI98C9ef
Pn5X+s/Dzz/+rD98oO+rG5KkGlrH5l3Fe28Vr5cdSvl9ibSyxk2F239Fb/oq37qXZqd/ZpAWfPz6
8vF9/1T9+D16t9qw1ChzV5P/UZcqcMbxuCjZZRBq9ZtNSa4qH73Ou1XHhQ83DAtd7pypV8P4VZ12
I7FSI2jABCj15uPf6tdr3F+rw/vLpIJxmhLDVOBWyLj53dbRzf/tBd7d+YzJzW274AKVWUc9ZQ7o
/U4N/s0f5n0Pm1LUbunMfNGq+kJT0qbWnxaohv+3X+Pd4tZpOaRtJ+0vk/yrLDlYp/+8H++nhdp5
94AJIDei7Ir5Mg4TmONLkZEFLa4//j1+83Q571YlO4yUmeEcu8FEvYRXBlneA80Qa2fu1imw54Fa
lo9f8pd/HwsMiIbOonrmu5d0DccI66QXF7N4bdMNLesM+bYfv8YvH+MfXuPdlyYHO6w0sTldrNRk
fn9TFL+ZKvzuBd4tiUtWTEZaNcNFZdEmOpIZ+W8+prf98aMvvtxQfti24gTRJ8x5jrkbrOh6O1Ct
cOaKsD606zjAxr4q/ijo+rd3Y5kH/XCtkb/1Dy+pMf/Tej1mj3piMEzV+Poc8dqr8YWg135YXdPp
xH9YWUGxhrZxo6xu+0Du6tfPzbVx4NYOuyeY+9WuXMfb3729X27kPy6575+cpB1VzIL9RbuSG7my
6ra5uS+19Srbmv5juTpQjHF8JfWHTfhhPo6r8TerF71ZH39C7/7ug9LZcePNnCX8wV98TFk61Pxj
7t96F/tEIN5/1jfhqmRiu2m39RY7529W6N+9BefdrUiZhGKWY91flCOWa/pIVuk3a0OX0lF8n3Z1
UJycrbJVXqNnY43L9Sry0+8ff7veLl4fPJrOu+ckG4zC7EoeTTLZGzo1V4k81e2z9T0F9/s99eur
5dIXq0d1U/nFpt4617jOfRHEe5qxP+fr37wfeTH7x/v5++suYwY/Preu4qENlSwpTWBu7a0Nv2FD
OPWUHLXV12gPuGrt7usdQ73TtHYeArpM+BP122xzl/jykPC/h4P/+tVMvhB/jXh/VdCJdL+m6vCf
hjX5k3/q9mQ/LJh1FskPBPq3MqW/dHsdirhDqJqYGMcQGbv4U7d3/oWj6O3cZ0m7mly9/jSs2f/C
k0UwxNGAwr2hx/8D3Z4J2k/PE/8SRa5UhFKgR2BIvpWfnycvhHQUuW59VU5YNTVoOOiyQC7yqXxM
iC8EBL018kNwJ/IMtuti9fvG0l6HSsUBVhTjYZSWdRp1Ur9XxS6qooBBClpmi8WrKhk+SShb6qRf
xpDSG41mTUxTJCBy6NSBQ0yXo93sXaOsP1it22LEMmYa65YTB5uHKOph7yaPYWrcF0VSXjlaqMgO
inElIGIHKjniQ5Ej+JiAFDPPu3EzpjST0L9TlSA2ka6M92Xj7TAUHtN6mjfqVAYwim4bDadoVQNE
UprLIAMiZrO11A6AujWdCrhVgKBxac3VubMc+Om9sc0o7oY+3n2dsZ/if4uGwKG2Z20kIbDp5g5C
BNECk1I4s111bZvssQl/1rTYWY/TyAFDUg0XvqUTqhnQuV1cJZo/MXXz81ayU5bbEAbXzlI0PhqR
DMc8WQA4WtHFq5OD50IMpoY9WHrlW5rmHkhmJPOoSrbjQn1UEyJ3KgNzTfqzk5Wgg07k7rURlUye
e4llkXnP3rhNawc8yTfdrV4d/jkx85ElDXjpWOteYlGaQFBoKjCd3k+pD2LklmJAsPVVlTOTmnOT
5M3c7dzKuyXzT5dMoZ2bKZ0ClQE7Gq7ke/MMbxddvzeZ3K+zwfNdxXqgotg7NEMKO56xvd2EF1V6
sNww24RJfuyq/noMMZzlYPdG4ggTPX2alTx6ZmeiUlJ8GHZF7Ht5s1kS5zw385NeFRuzHD6b41zv
C2O4HTom1toyfueVJ/iS+ffBabQr6DXGqtFm3BRgqMMsPntCCU+D0X7R2pBLaqvp+0R6FWOlcILG
EZ4VzGUHNX9BCsTb2KZDfYkGxTnU0vk4vZkgnTdDpFE32Ott9xu2sPEwWMbKDZ1NW0+73oCFbBnQ
bML22TPHeI2sj3Wx5iUYNNci27UjB1Bh8RG79EUoRbw8GHVF7Zo+jxiynTu3sY+9Nn/P4ybziULe
5mEcHe1lCJZiuOjx6GseSDSmQouc5n9Ll9rb95XzbXLw6xvuQi/JQON4pXU3CNV8xO0Z47vrExSu
6SlqAd84CgVfMAkqipfCyBUrsND8xDTgIh+jmVFt+JrX4TWCq4A23atXQyyqtS1Ax+IwPzZ6qQYL
ascuEngEsAjQ8HMYUx2/POaPFKamDH70xLwU7DJja31X1TC7r1SzxkbhEkzW8hgjzNui/N/dyeSM
/MHuFL90/csvdiZ+6oedyZA9hC7JRNVzbC5df+1MMpXooiXyX5ifSd3oz1Si9i+AWmxKcnvCUy1d
1v+7M4E+1F20zT+cZvy49Z/Atqx3Jy92JpPGV7nNkZPFu+2xPf540tHli5P/yq9V1i2yHihGGskK
QBvRtm+UK0JvLLIYnLJcn1in3V0zwxl1F63zh8lF0ZUhae8el2a+LrWG/isZ7OgiVm7X2Lm5AEof
BiBPd1TLBUWBujTi0GJA/NxZxKlkaMTAU9SRIomd9Dz34rtDumQkZUL4ArWS3EkzmV/JyJDU9+jW
6yoQ/UkhdilpFSJex470SqVb5DPSAOhQTCn7cLL16sHBrT3K4Mvcmsk2XvSXnEwMkJenWB2sjROG
AgAJdoYWLXVN0Tf2BLs7WBO+JZecTS/zNkYaZHF6F8ogziQjOUM90bwoQcCkdUa7UHcFb+5oyCjP
IkM9Skm8h/XtyjPyb2CN6+2sowEmUWaA6gjv27ziay4mX5WBobJLz5mMECW0NkMFrnManRxr7UzV
jLbkBkCLD7EMIUWkkXqrVahWLn1qCG9iGVgqXe+gvUWYrP7skWlqyDbp/XSDRVsJhIw9kYfequSg
wE0CC9HLmynG9WSSlUrJTDF2Yl2SMSo4tsV6Jlm1kLAi3eaPMnKVuLiMDVJYJmmslFRW11FVhVHN
9HUZ2Yo7ILEaKS5BmitOef+RDHgtMupl1+aO7kfQiDIGVlDgV5ELQ1Dyx6hdmQmGl1nGxlTyY4k6
dcyIiJRVZfxEtut2ak3Sii5xt8UQ20gG0RoZSevRwf1RxtSg/ns+VX3mtqjEVVW58BFC/u6E2zIZ
c1PJu2nk3ggqndrES/ak4YCeyHCcqaPAejIwB3msX6Vk6EKjourJOyFhOhxZOpx45O3UtHpu0obG
txwVViStP1GPYMtsHiIW02jieo2mXuvE92prpLNFo5qcYF9X1g9CGbZVV57jqtpQI+ehjiWQ4LrB
C0x7bFe2TAq66vAEcgHqo75WiBKOST1DhCBdWNrSssJvReywwj1PFGy4cwkkUqLVcCcaziFRxVn1
sMyVVxoRRp0oI1yKK0WQbRwIOdInY6yEaLEZkH/UF8w9NucbHlCKxmyFqFODi72SyUnEqnqNdatA
qMRHXajDa5xNmT8VBvYnaWY2iGFOBHhGYplOOgnMMg21MzKzqZXWPtZw3S1vgU4dp/vKLT0MeArp
MEsmP1EW6UuUadAW9kkk86GVTIoWg/lNWAAvBCHSyhieGkKlMEJT5FccApExXs8ild1X8Dnn3u4Z
K8lgKjwMvT1CC+2PrD2S0V47gIubRoey3O+tEv/3xgBKYj0Maua62xhw31aYc813qSmBJjtTu5D3
jSYtcEvFBGI3YL7dmbQ3YyU0AL9dlLKYxZ2nFlp/N3qtYhzFJBiNW2UeP4GH14errK93VcThr04x
3ldmZm6SxIpWDUhorY1uu9AY1n02HUyzFJtWaaetq9hHy5kS3wKGhS/L/tpUVYeP36aFJTWfMgXc
fDzA5tGgeR6Mioc5KwnU8X9nKmFVn+vQfIlTyrR6F1MpHrHX3ovxm8WyO6McYcuoA1J+j+t2zqbz
XHf+lHgMyGrlbJbtjRKKY+FWn4dkfF2w1o8TJXmdBgspqq183RnTAaCIpY7gRpz6JcmoYk5CvKg6
xGiD6l1OuTgR9fQSdt5JSefnPNZfF03lX4ms12woPpVUgSrLQZ8nyjMsID9Re5tBzF+pMZU6kz/l
xzx2ziqdb743VS/oO/vYMODRwHUlubuQc9WLi+3I0h7L4yaiKDcAxHR/dKyF/IQ4IwUSNqE8jk+h
3jllQwICBtDWMAfWdtiFKOJOsOBYgmik3PeZv1jRo9526NS48fxY4U7lZt7Ii0P6le0nxoJlZoE+
6RtjAtDHJSFSTPUYgB481S7gQ5hJGIw05yoZy7PIHdiNdXjlwVXqio6zWf9ieyN9pUN2N3Pz4QTJ
7SwkJLe2UvEQCnD3YqRgN68OqZLxHsXyhP0MvzToYJ4BYHSWqlOzW/XfO897YIHeqLScZkXc0w9q
7JgVPgBc2SqJM63xeu65z10Pbn3rWdWXhI0On6J6MVWwRRbfOxqKwm24aO3aUtt9JCEDcz9GK92i
USHOsr1nzZKFVa5TV2+2nZWM68Ts8OeKa04im1LvPw2FtoNvy9Fa4KWchTkFmUr/OmxQ0veU+W3B
wcdr+ACVb2fYBBVF29qEifbgfr11h+dbrSkWdJ3+IEqugo3tHZxuesBPrcLOYhNkydooCeFOZdSO
OVTKNUTZiAxPmQPg1a9tjZpZpatlsF8t9osOyRxrASwAownp9TUwSSTXsUhJbFVYZkviMCxyLHDW
uFsKna+E5V7rLc4DV6PXyK6mr2UVPaJQwFV0vuI3+jrZ6gYu7VOVRU8QCW2/N5J9WNRPauXuDBPQ
MnkZnCsgoOZsrebxUW/HF1LPW+EAvc2WQySSG9i7FNT06l1pykWcpmTW+viPMdV/j90ycPfBsbt/
KZMufxHdL47e/ORfR2/1X5IEgqSn07PtUNj999EbILmcBZkcpS3Nsjlf/zkUAmaLyKx7HgBaetvk
f/pzKESK0eC0LM1/NkEJzvL/wVDIkAHLH4aMb0MhcCSc/IlakrJUees/Hr2hGBlZO+XVleC0tJxT
vbbSi0YnsR70fUEJBenXfg0q7mKRJCYi+9WE+x20enE/aMBRC604NXr7TIrrkHflbVIkfq/oMNxS
quUs61xPHJRLZ9xSLBD5bZedAFE/Lmn53UvoV6sGvaPnxK5urGjZaAUpwBj3nMCURnEYNu+8T889
VoyJW4rfGkOpfdHhiU0DNZf0M1CkuVcdo03or7X7aJtRX7GsVCC1hP3eWhZBZ0GqkA5ch4KAbePQ
7PTWy2i8dTSGb32NnhfF5qlNk+45HUPOtQyD9c0ghnRZ9yI9OvR2pGusEh0LMO403+vcltkGOAmw
O22kNgFV2PCr8nH6ImxZkZGXj05tCcBK49YdPObmif1ShzTNOSM9oqmbj5wKqnMSqs1a70hW13ES
NEuIXs+1owqHB10NPyntsu8d5XZgfS+Hcc9MwadM6zSN1pUna2Td2l63uc4BOnkh0n3MBRf8qhdn
PFJwz5V658a4xFtPux1obbc1PSD2d3Elzc1oV4Uy7rSkP3CF2AFtPEUenlt9uoiq/aLO3a0X5zs9
tR848kFPc3ahFl3ZMQ63Jq/v8npZOaXsU1W3o9Xdtj3b1TTuU9t8LJz/Ye+8etvIuqz9VxpzX0Ll
cDEDDJNEKifL9k2BkujKOdevn+couG2J8vf2UMDwA172hdGidEgenrD32muvhXKhY68du4KL3dH3
n2jqPHR+pAqeZrF5pnXNnAiO/slxqmTVqRtUF9iefysrFNQae5bTwA0x9QxXnXMbgTows7OU/teq
V+/GLjtt1XCCGMQZHHFCHkI63z8L3eys0hys7oxFU9er0AgPc1P+rhrhwg7q01yr770Mnr+w5/Qs
UsZSQXdFOUSRBLu5qp40jnzWqP5sKMKz0lQvC5AZVBtuDV9bxhgD0WSQzRCgXFYw2qhjIwVSbACt
uN7iO3LG20z2rxAVXLi5cYKk6EJtEoL3lnh3UE46HTE/3sTUSRWkvJQT7O1WZMYIvdQnnqVw8/TH
Xe8vswrcFEnCTWmpELb6q3KInInrtcYlbYiHgdn5Z6arnw6GmpyXMXzEJIoLul3UTMPtDa+AidEX
57JpYDnHkmqEFw142bQwu3yWV87j4FHl7/HVS7QTK/Au+6I2Zz0WRC2ikzMIg9/rcGD5aSb9/e5h
X7TDQtLc74Tup53T+ws7aW4i0mlN0tB/0esKOuSIqGOU0pOQ0Lgv+UR9eSulc9VXTl1dv9JLZP7o
YyXR6fnG0W2/CHPpsNIT+ClhhrpNJE2lygoXRa+c1mFziO/O1KB/SSaZmrM6+LZUOJB491wUdNlO
U706VjU6e/yhooM0OIeGeqIV0iFCDfPELM5yVZhGFskDop98GaNES2XVzUJ3YLJq8xKP1iXWbNoM
DVHaiCM3mrhjX5MBNfjUA0OqvkFncpCf0PNBPlejBKlmX2tLh16sJlijJ+NZo2infRQ8mloRInOp
4j9JC0AvdLjRFroyU/UL2qgryYBPKTXxIh7SnGyzO6X8M0xanRMA5cp86uQp3rGF20xIvopF2Awn
Gej1xNSC8ygqbluzMXH77m8802C909KW4rLSok/nxkwNwDpdUmV467RJOkUG3KE9S+pO8HqKj5E+
jP599yvPvZxck3+4+zk5NuWWe5+/+nnvc7nTnylE7MTdLvobfkJuyoFD6gZfTfRRqDZ1v9d7X5jN
qpC7qdM4iikrAHWv976QvtfRNJAJIkREof6Te1+1f+cZce9D0KRViDZS4HkkFN4Ug1qVaLqQnOGc
W6tawAJM55UuVxE1f9stjlFM7w3SUEOSaAJO89Oua65lVMINO6I3CrklnHFk46RPyQjbEFfpptJX
OuLJ03jQqoWq1JSOaSQ4QsE+v1R1+sZojINWPHgGhj7ZVwcT1qlkyA9pQSqp+ONlEtAC6Hbo2EpQ
1yeah2ieHbfTNGtFNmhF0yDrwPttmhwb4HtsdNTLSMNMuk1o005QIZBL3ziSrL6fkHBUSzy8ULx0
zNSYBnl0pSv2pouK6wwXlDxBGKuUTQkdMqlfeQ46OmPt5OdyY37HlO7KKRjFVaJTwqYOmAatsD6N
UWJyTmXKPoWmxpPeay/laPySNPmtExbHmM99pz/8MMwT3uzYIapjhye6IXxbOuN0zO3H0aFnDCe0
Ymqr7fFgZdkUBYJiirRRgoBAv3CQvo8wSpkYdrZwUVG3pOI0VfOvIfJgE0vLcSj3k3LeGcP9GKhn
SgDHuSPpCnwvnsqhVtgXlWZLwyEeVAMxhXDRlWG7F7T32wqavXlG41S/QP/xUCU3axSHZtNxM9rY
rxhWe5z2BvaTpWUjdskhmTb4fesJXSylDUvb8TiNO1W/y5v4tJEwuyv0fN4iRjSrho0LtZ2W3Xqq
ut56GNIfjeVlMytCPRhlOaqOch2f2rF64ZYDNr+05mAUmQMhjmu7wMhPAW2domVMSKNjzgrwtGxJ
+8Iwu2zkRKaukHeI7YQL9GwNnLem6IAeNop52XfeHVrOaFslFea2SD+1EnmhTRKIHhUlHbqs6hn2
9vKRFafBPEvgKGLajdN94XzJ3RA9La/AkNc8djubjpkCjnFtBGt5GBHHbLO11QMJVL0UzCrJHY/c
GrY+roT0l3g6sabaIN+sjDmwnAeLvvauLddiTVFUO6Jr6rRGkWnapOIS70eJGpwFjqXrx7HUXZqK
/y2FQDRJ+8SeI5J6kpjqkWnbnO2ec96n2M3HEnJPlk+06yECQP9XDZ8ehR3oyOdZLy3J0pF67KKH
JmzuwkS7zwfaiXXwXWj/Gw4pdPS8hKYK+6ztDHke2hRg3SptT5yhutBy7THUYe1XuX+kxcN9Fzpn
vZpeB2kcThNj/BYXtYzUjuEtbCMMF7nAKWqXDtqsQHbBjydhGG3CkdbkQXUPxwadH9QJzEmlV4gS
ecIC2OvY1EE8l/LoLu2yO6X0kd9s9TU2699TJKH4+ulEyDNk8oJMO20y+0tYSse0Y65QO5UpARtz
08ecF0M9gMSG+i1ig3j6fKtRzrPC7CQrESTsYAMLwbCv9UioEHmac9TmljOrEgd/RgrfdMQ4+rka
ZWi4FsJW4d+VqKdr0eCq+vhavCmDNKiH9/ei+LOf96IqXLhkeuNkXXVYwr/ci9qB+et9+XIp6khq
Yotg0U+H7QtSivByXi9F54CfyzLJK2URWfi2/4NkGH3Gt8mwDrEbHX/V4R/eyhsGEBhrbxZFlVyk
SMTrp5XaoDQ2NAEXH2oaneoAF7atLbS4HrBa+j4KZaseiStdaF1p1v3Qdv48RwSrxKC8EKpYqOPH
s0a3zmShmEVQiVRmTtuxK/S0DKGspdLuPPFz70wSqltt69fIPmfn1VA/SkKZy3C6R11odfkZtWOh
3pXZwXEv9Lw0JzyVSMtLOTNmmdD88ms0qHFSjKnZlI9Shi45WpL3LQ5a9FMOhzLiYRIiYn5XKxOr
944sqz5LxwhYV8iNGUX3rUNtMq6HeBpGyrVm1F89m/q+I8TKFCFb5mHFNqcIQ6okRM1o9VhbQuas
EoJnNspnmOWdZwJxAgGkRxwMygeM6lV5lcjGRq+TQw2wqtKDY8reET3c0rQHzqIDnN92jhK5/NoA
d2U94D/u8V8zgDAnvNe6bCaDjQFFPpRqdV6OwZ0BdhbpKL2rmgycZpgXWO1gvAnSlvgBlpS1RNVG
arzFEAXXeASeIb5+Nj4BdTIS+YMA74zCTpYhXU0TQ0B7naxfSEZHnVsoghoSjA6A+ePQpxgZCnCw
8OJTPEHluQ1uaFY4oXVFCTpdr+wMpFxGkzGn4RG8u7CXZZ6qh8CcQABAkmVA330+xPZhZPnlLBTQ
pdm6/dwQcCbSS0CXg3qEfP4XF8QT5+wLU27QmEq7KQI/xWFJzadHnWPigZeqhkdnooBQ9W7kJAVV
xUMF2QNVcg8JTN1pl7XHMhisL8BYhCDvQ9xqzNa46EBrvRDY1lRD5LUzZNf1I0dB9SEazdsa/0g5
8b5A0tjQ4CpNoxFExxCwcCsAYgx4vqZhQf1C5TC28jsa8rmhqu5WEvAyfwpxRUDOmsCeJdr7NNXM
kU/PfiToTRLH5af64JxHOuIK9dCDZQNqN2A6817g3Bats+yV0oaTEqhTJO6Pupqe/wgvl3Xt4tAC
l8SFdwR+rkUhnfP0XQa3EF+QWhZIO3sNcQ6wd7u26sMUR3cuSwzVekV1p1omH2OaTvkBqfYkxDhy
BNCH3UJHelqAPQD2Bykh7SDw/+CpEkBJAPXOddTjksZau9a1lTSgQ4e0ukQ5AeP3uSbqCyhEzm09
Q9jA+iGLIkRu6T/KUf7mUJ1ACfosH4ZrVZQtEPjx5+ZAv8OQFFd+U61jHX/aYFja2Yh2uEPv/1MZ
pFeAqyud6Gv4oVbld09qjrusvqR54bRuw2iBwMVspLaiOVCqFVFuQYdDnYRNJNJ+ijFlXf/IpQR1
3L4TdC9rHRTld0uUcKqMUrgqyjp9Z5urGi/NCfZE9jSm+sOpW4BaIG/YUhmqYQvQv0qnJAfycSXK
R17VIDY/tqtalJZUakym369DUXTKRfmpLqqY8IjMtNLpVUgQRfLplEdq/Lo2cNXthbtfD6kFSyVQ
qdQo2XQZW8I2sWMPKLz1LmJ8mmjGcuE4St41BsbnWe5cO65+pPUDFs0U9+j8jK/cHMqOpxQLr7bj
r2VX4cLVIf0FxCo6MdnYRnhnmRRZzbaLFhyrOhr//n2fYgDY6MECj6MVB/rVoGeUUuWkn3EBXOZo
RU4Cw5i1MCUOfZlaTFtpOhQgTPLsdIV1hD6Nivik8tvLwMBOXaUQ5tL6SxdhCYLlxfxt214bZmgf
jWlzX2UhJR7sliYkYT6WSAWmFqP0w9Ep2Nd+GRxiSniJg9K9qbG3i9iyib9tFAp7jyZM7JjQLcdI
tcyKr4qdiKITdaVk6E2UY6DV+DQIzzLObCNPZURE5HoRCz8BJ7jLchYS+OYCM/tyovCVEwoRRXca
Pc51j0IXlpfMaRuYS0gGBPs6JDDMvtg0Bqis3t76Q3TZcSdO69DOmBiKKTSoe+hgDCw320IRNxQF
FmE1mUtjhwUrfAoJITYkc7upJ3cU/yPz1qghPKTDo5EZF6GXb3qF4ZC6+yo0YyddKbH0mvQEbfXi
jDLbKfc/LZlWSle4sqzjvIRdpTZI2mN9iXJVvKzG4lZT2fiYst5Jg35eB/VjV8QLxw1vuezl48Ck
ls79v6yQZQfYvnHG6EiTCBYtv+0FsIcWMW6bLqQuYXMDOI0JJ/yldqZa1kPQZ9IsKTNkToV74JDZ
V4qbFHNDtM2mKObM8xwhlTZu3KVcDmsTRjPfZ6suosi+6VN4A7YrrQLPW5c0sXu4kKC3lR9mRcbf
W/lFFqHLhQOjN0dG5SEPcaTEVuubLiNZHRbmBanpl0w3cZGM+6PR036EMirEWqs0SP7Ttm739Gyb
FigVlmbRRM4Gll9IoqAEA419o/LNrNozR4+CObpz5AISp7Y/kMJhCtFRhQ/XcqqeRrBhpnXghihy
5seBcFzU6/JwGLFzazQRecvRUejV9G/YaBTJNcKyheqm0yzEqxHS0KPv0Std2F65aBVNnmZJ284y
eUATmFrqIJl3iY2whue5xjQppBu/7G5h0EA/C5xp1sUnTYVGiteQ/nikF9QB/OvatAq8Oupl42Go
ncjOLUXsCy/unKlW1UB9uYTZHJW+qdbWi96T4pkapUuJyIkNGcrTTq3ucy+56Oky9ZgtrhAU2BAw
ngrOQwc1UcrNH6Ys3UjQ6GZWIriMTvTDEixEaLIP7VAeO9zkk8EyHipswwu7KWepp6zcVEtnztjq
096M7rwkqaZo4ahTG7AulBK8Oe5lG41SB/8IG5u4idKEq9wAeUbaIzxTg2zp4hJEQTf65klGPqEk
caMgUgpnULqyEgfH8SRb6k531xNzISs9Qu7Ms3Re1GjADMiUTJKo4OPgPYimMoZDWaYf2/D/bHvA
hcgqQAa67oepWlS9O7iSkIAWctt8zVu2rl8ql7GXCgxVO9XMAJltIywnSExcU2un9Q1EivCy55wu
09NeL9NFaeorxa4fwgRCI+WDu6InBURq53aM0YsY4htVh2DVoSSUWfI9vV4s/i7VKEda3SyLm5O8
KhepTCstRQbwXNSnWLXhxiE29lsTumSfbsakXI0O+jweRRBVTb8GIdRjzETzFgZrRZRnRRx9fsHK
9B0MuTNEWGZFYx3KffnD9AnprKz/piXEfC2GOUEcfqUqsqQRfOZH6dq1o/uwbs51vVglAeIDHm3k
LpTlCaoVR2hUXfW+Mu8NhDzcIrvuK+co1x3q1KSNcohztzaFHkwZW8OQxI3n2NqfoOS4xC1yGhty
q66qUBmmhWep0WWcjubXIQtMevcko+UHRo3ByGCbMEJz6d8eDc/QrKC1f5yDfoOtsCUB5W9+JqCw
9GXqTmQo+LxBPPglASU3VYFDZeqrsoBH/wZm7QMkKXSIjoqtKfAVadJ5zUFtMFsNDiWQLcxF4Sv9
D3JQuP9vc1Co+aZOIoWJLdT/t1xIFDTDNFZDJKpqV5pA9IBdW97UKnbwobBAHLGzvwmovZ6rdZJc
V8IqEdmW5qgZXWWqNPTPOsJRsdC1Mw09wHkdJ3BvrHCjjfCWamHFiALGvdN02CgOAIwEL/2F43n5
FN8Va+o0bnaj4+tYyg3sGpwe28CHe+IVtEwJG0jFs8DcUMCZey0mkZWi3CbI3x3FMfS40NEOqXou
NZwlPfzrF72OhxbV1+A8FgaU6Px+x2Ga0AJvynRUg9tC2FX6wriyFhaWUoQegsIUnNMq5i56uXaO
ICUhV97RlIRgFBCOAHNiAeug04JyBUhPhsgldtkhNIcmOWlAgyJQoU7AQzU4kSMAIwPkSG70eWR5
8lwFU4rAltAb/8JsnmYCdJIF/JQJICqN/O8GyFRvEl0CY995RXQnKCDzXMBYLnhWLYAtTUBcWqrg
7OrhICrgL8kEbhOAWJ+aKxM5VnTDsadwBGpWC/zMdzu87IDU+KLDqWPm15nknumAbvYYHGkYUvFJ
tEcXWA7yX3sCZYzmhBqJhALwDhoLrRnueGZkfKV13s+oUAJeaveqVlIXjR4kF4WkzPdXEdCgKTBC
pMMJAgRuKHXqEjUhdAtwKoX96JwT1YLWJjoGGOZJJvDHTCCRBpBk7o2XOhAlAv8wXgRq2Qr8kvVB
3mgXkX2uDQDO9zIUhmFp1Rh0WLDVJTzpAIuhnM1wmKsmvmVspIo8pREJhDQszNFFLsgJDUTv41WL
murEMjjl1UQ50SyqbbFgnLmy4s88ww4OByPCwotyK3R/9ao0jJaSV0lS4EUPhZrrRKjBMA8gyM2z
0FnIcoTLVjQyyUHlLmlops/QiFASYYNPUTg60rz8Kk7TnpWtL3vbqfDMTuSb1HcrlNBQWM5SaMYG
sls0swIuuAQJupyCAbmbgfw8AGVYRoZxU9YuphdpPUWreWpZzhmgdbzE2MvkDgcQtmJzKdmlfm7V
3MPoK9dTLEzxxSv16zYS2H9tnFAHpPJHu8RUloxVid35Shmy40KPlWWRBXxLNR392tdKcc+lzlt0
NDss9C6AGl0G0dRJysNqACgCTJrZRXzvx8bCznK2Otskz62eiU2+53616q0uX0aSZc/iQFHO/S7X
Zm6Dqzsa594q1SH2NbZ71hbEKKEDkj844yTGjniiUVCcuFCOB4VwGWFnZCGHEfVCVXWP5KLWAUMy
/XDwXGcmozm0zIv02PNlBA+9RlvBzR2xilOkQz1DjSujJGRKyNeP0bBCF/gr2al2oYZoBnH6wcwN
gE/8KF9JGhlD79FsH+bfCiv0flQpwpo+2/jSCsMNwiEQ4fADB/v+N4b7jOFy4fzh/mzu11vuT/7m
l/uT61Onl00IwVG+/OX+VA7gOMlIw2kIUf3W5ebwDJctYO1PGtTf9ycXMe0JPAUFSf9nxt34sb67
Py2k10w6CpDZQalO3K+/dPvGdYmeYdbL5zVFRmjcxqFJjfBYRaiS3E/JLw1RlaTxifpGhMhmRl8W
qjL6qswMqNSinsnqM05KUeNkR1Dt7MzDlvJnbPf5aTlKUBpkLBTsBwWR65madNgrN+5sNLul49qL
wMrlGQLMh02FKnTqCFeYTr/t0vJID/z0pvA8jJrz/MFELSmjclgquiiwQVQ2veIhHpxollWkjkXX
HfV53wMOZH56KWsAsKEOOKlRo4L4Pa872Z0mnYT+iCKU1uLiYnDrtdV4D25iY9g30KjjDXmxhAGd
TIpMuqpjO75waIDCGgl2AGpnSKcOljVzA2AMzD8QCXMHHGh0CoWO9lgF5qVvwBaqA0JyP/oaqNpN
nTn5TArVTR7h7uOO3m1Jf1/Arm9gck8IBo7cwnnkHE5Rx/KRiKRVQQ6FjN+3JPWOw9G5UWhMw5VS
4NOqfJNboYo5kL6qfWqHsUsyqdbGemgqxHqt6qvdNajDogYFiRLaty5fYLihoDUbXAYOSbOUoG63
GgY0X2FW/JBLbnpTMIOC43bIvKUWVleNiRJ7T1Q+GUsyNMukZIWTEJdjPLPAz4SEekMjA0ZcoLl1
XEV0vZXJPEgr+9xR8+EwRr5+0prYuNJmSA95uVELStPOaHmXkkDbxsB4cODbnhWD+iPODCpNpZnJ
Mz9UnTP8xxEOSdG/cyNU62oDFYc0TvOVF2XnVHTBTWP7vAOzn5qmQ8V7AC2NYJlUSrZqSvUsRwKU
BHwsJ3Wgg940WUqPCapbPZknIMB3M/e/RFHU0MqK/p3qp7NR9Zk3j8mNUzyb7Gr8YgUDbRLZfUID
GrQVivapdKnY+Q/dR5vS7w8bBNynaWSWU7kutaUZF8vcTFZ9bSAepp0PSnSua00/dYTsvJyFd3Ln
3hqJVB3hnYE2r2TdlrWHwKiinri5SsxhA93iDBNOGlm+SoZ6JXN5FVF4FQRYxTfxt04u7zHLztBP
p6NnAKSwy6iZlaI1IZNTsB8m19ClFaZTtELLFFcaZ4hIvq0T+hAfbHXUZlU93OUaMnWtgpJLNdKS
Wo/oe6KlGbmjDD9LPuvi7t4X1XNT1NFTMygmGaV1DYKDQyRsUnIPRe0djYKHWsbytBQAr6jP96JS
H4UN4pzU7gdRxU8H47GmrN8VNCUlFPoLl6Q/ELV/9JqROqy+25ACCKpvFUgCCkKxvD+CN9E1Co2g
FHwC3vDMG9sOFcPo1BacA8ztrypH+z4INoKn+zEuBzAUpGiQlplgLaQgay00Br2RNj60BlvwG3LM
2e2JLlgPruA/jIIJkVj6HH3oBp83WBIJdIlQBte2IZqgj1iNEymDVYFuCVRqwbRQoVyENDvw9mBh
uFAHoDhAVaRXaeIa8gMNVy96IP8f0Idf3qJo956nYIHDZbMph6tNBRhcvaZw4tmLDAT9Jvvf/dKf
B/pr8/TKN0O++c//WD/S1TwLqroMHmpyz+fnlo//+R8vpCR+9tvN/fTGnt71H8eJ13y65pFX0Ezq
pdCSIBbhHcCDyzvOUu/laUlR8VzB1YQL/jlK+GWOPpqFP3/A5+n88+/88c2/nQSFfH3HSTAONKhU
JPGCTcWDKvBvkyD094EGiG3I8nmtfZsElKve0tP++UqwDmB70+5JWPb04KP+NgmsBGxtAEKeF93/
8Rz8uhkM43/18fl8f+8DRBf4+k3K/B8uAWpw6BiCEj099nIhGLK2+5FgHxh0E0BElj9YCBAZHfEf
W+Zlt+zhngDSIxHY8WCwD5gIcgZD7DAeb09HDgaLB3RJiCF7OQna2+Tuf3MwAECS2+EQ+/x4fzBA
GVUMW7SS7OUkiAN955Ugemy4Cvmifz8WZZaAqjpIfO33btj9YHAODOjL4p58Xgdvd4OQu+EQxYbt
eb7/j68IPvDbWEHfOVZA6IDNDhtbg2UmHrzK7+sBYR8byTdb3deASdt9N2gHji3jYP4SL70PmCwi
KgHfCBX6/TwSdl4Jmn0AY19VKPR/sBKwZuIOZcfs60oQHP+dz0URGTsYSX1wJqiiO9GmIMxpsZcr
QXuO6Z/VA39md/8oibIOUP5F5Zpr8OnB2vr9TFAOsDjEvMsRUclTfrGfU/EcxewyFTqWmmC3tgYO
Kx5vp0Ih0Hbo+tjfg2H3OXAOVLHtCRuf52DLFQEhjnqu/rz/9u+eFB5uOx4MQqpOFfECydnT4/2e
wHpONvFz3dODQd45dIaozrFAeCiOSPF4l1PrLBVdI6d+js72byUIcdLdVgKToDsyYkuvEBPT+vvp
SEiF2BSGL8+vtX+TIO9+RdCsR3MDFIjnhSAAi7eTwA1KuUu4FPPY1whaKHXtth40WjRo32AqXpCU
d5tCFt2QwhFjX49HoYmw4ySYNG8qpgHd5GVBvFkPAlmwkf+0hV4yr7V/m8J4PrJ2CRbMA8IE/Nde
Uuf3aQQ3qSOEKAQnay8nQdk9WmASSCGIDj+4KFkJJs+RVD+fQvu3EuTdwWegBWh2uFS9uxzIHyjC
W9rLctu/T/8CduyyD5wDRUAqNLQ9B4wc/r9fDhphAo0I8Cj2dR/sfC0ArAj6iK6/XwLkFPBKkM96
iaL2dQ52x1XUA+idtqHDKH16cOz9thAU48Dg0jDQxXx6fl+jBOUz7gZUiDgUrBew8W3ApAj4xTHp
F91XYEEoO+0YJQAs4JplUdZ5jhLeIa7qgTDFphl2bydhd4iJ4isbwpKB2J8eW9JpRzEU5GL3NZMU
lLPdVgKno04VCjr58xy8w1VUwEaeFvJhe3o8vlSHdrknLeTRBIvvFVN4lzlQokY9hdrk3h6Mz9/O
LpOgH6Cejtjna7z49kzgYFTpFtAttox47OtUCPeKnTcFF6HJdHyQRAnKgga7BQWzvZ6KF2x8l1UB
j0dIJUDUf/qk71Ipzge8Htg+L7fSHsbRu8cMVJ1knDaQJ//guuQUpUWZnbHfzAV1562hPR2VrAaE
0l+X/u+RJCiMiemHyr369NjTW0PdPcHmPISg8XNRvANhSbC5NWzo5s8B2x5ujd2DKPMAyVHL0tB2
eHq8zSyo3aMqSmF7P+hdnAVva/cv9fRdDklWAgKpaLB9kF6J+4IYCrXd57No/1bCS8Voh0kQNQkN
sg5dF88b/21ixSSYcJ4Mrot9PRN2D6LY8rQ248v3cl1u2Q4oy+gUJfY1p9B3zy6BnTSE69gOH1yX
nAmU8Khb7+skiF6j3WJITQNyoeximx+QmihYo8YM/Xl/A+ndr0jKkLZwqfyIxSGuSAdQynypfOzf
wSjcjndcCfYBMYBYCy8U4G1nAhquCmJgz489PR713aNHnbZ3WcBKHyRWoibh0BSC1speT8VLBXGH
61IDklVA4IBl32Kx6K7DA4Tq8lK42dPl8E4e4Z8zgKFBIw4rAqM3c0DUyBMWPZX7ijII98QdzwWD
wxEBLrC17amUgN6A46G97mv+8AKH7bINSK2BlIBgP0qtlYMnxwBjbzlN+u7XJFVKmpmpQz3DB9tA
WJ7k4MSlUzz2dVO8UK52WQ8iqeaqFBnl60f9DV8gi5B1h3nYW3qXUGzZ8WSwD148Nz5Kqp8uDzrP
RdcAr7V/YdMLsWKXlUCNyobSSZbwwUoQfieqoiCfuqeT8M7X5Z/fkBbVF0xFDPOjGpVyQKsAsDxi
QHu6Ep4Pqx1WgqjgQ2UhWHoJCreUZ0QMQdC4rwejsXOhDnYbLYJU6IETnx7vqpXCExpvS6C2f30l
/AsHx88G5akfxI9z0UWMMd+2DuaPfuG1J/f9879gcU+9lr/9pmhVfn7xZ8RO/P9//d65/HTw/fLs
60H49Eovf//yEd+/+G8v9vq5Xn94FGzKdfmAEMFT2/TLGz1bJ/Q2/3fMP4/rt0iiyPNff7a9zfrn
rfDn0RFr3rwO9HdPtug6/Pujvu/h/tcGT9aPWfk60C+Ds3F2HnwizCpex/ll7J+Y6w6zMl3H65av
pNoyPut95/c+RQiweveVEm1xwX7C4Gld4uuebbXPFcnPzi8x28R/nWXl1vnn7Nl5/Hn81ywrWTyv
Y/3y/XIc7zz+otxU6bbBudZ2Hvww3qTp6zi/vPHP2K5HTXKfxY/1++GVz9iwyyTflME63jL8Z2zZ
Jdq+W4b+jB17vCm3zLmg4u/8fR4HqbflIBCc2Z3HPllHW84wQZb+hKGrarNtTj5jg55k1V//nXqb
eLNtZj5ji56uHzmAX+fh720kSAY7z83pGkuH13F+GfsztqgYO8+2ne6iHr77W9+kj9lDsO30EhTe
Txi/fNg8vg7099yI1p7dB89476/j/DL2Z2zT02zrnHzGLmVofLE2w5Z3/hk79Wydb1noolC884Sf
bdr1+9gRd9vP2KLn5Zoj4PVd/vJ1fsYWvYjXD5stsaNAJ3eelou4SbYFd6ItaOfBrwJCxyp43DIz
omd95/Gv1w8lKUFab7lLhW7KJ7xA+tdkg+XNthf4jK16vRYvUKbr8nHrQaZ9xqYVLzILNt62D/EZ
u1aMv2AHPATVw7bX+IztK15jla2LZtttJTq+P+W7PmmC6q/z+6DKt32Oz9jM4nOcruvNtvE/Yz8z
fr3+a7Iu79fbYgZRSvyMmeI1pvH2V/icjS0+BSKG4+vb/ftM1T9lY/vrrTmh0BPZfX7AMLZO/qds
5qCKsF9qXt/nLxPzKXs5i9fbogeB+u8+MQQmyZYLXiD3uw/+/7Lr/oMO37+E4Vz/yRN018FvNv56
29QIUvXOU/Nn27ad33rDSbDlihcNfru/9QaAKNmGy4lKx87Df2GEZtteFcZwO4/+B6uCXSf928cq
zn8eehss+7OQ9R6sfVV33PZnv2PR4jce4s26/K//AQAA//8=</cx:binary>
              </cx:geoCache>
            </cx:geography>
          </cx:layoutPr>
        </cx:series>
      </cx:plotAreaRegion>
    </cx:plotArea>
    <cx:legend pos="t" align="ctr" overlay="0">
      <cx:txPr>
        <a:bodyPr vertOverflow="overflow" horzOverflow="overflow" wrap="square" lIns="0" tIns="0" rIns="0" bIns="0"/>
        <a:lstStyle/>
        <a:p>
          <a:pPr algn="ctr" rtl="0">
            <a:defRPr sz="900" b="0">
              <a:solidFill>
                <a:schemeClr val="bg1"/>
              </a:solidFill>
              <a:latin typeface="Aptos Narrow" panose="02110004020202020204"/>
              <a:ea typeface="Aptos Narrow" panose="02110004020202020204"/>
              <a:cs typeface="Aptos Narrow" panose="02110004020202020204"/>
            </a:defRPr>
          </a:pPr>
          <a:endParaRPr lang="en-US">
            <a:solidFill>
              <a:schemeClr val="bg1"/>
            </a:solidFill>
          </a:endParaRPr>
        </a:p>
      </cx:txPr>
    </cx:legend>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Amount</cx:v>
        </cx:txData>
      </cx:tx>
      <cx:txPr>
        <a:bodyPr spcFirstLastPara="1" vertOverflow="ellipsis" horzOverflow="overflow" wrap="square" lIns="0" tIns="0" rIns="0" bIns="0" anchor="ctr" anchorCtr="1"/>
        <a:lstStyle/>
        <a:p>
          <a:pPr algn="ctr" rtl="0">
            <a:defRPr>
              <a:solidFill>
                <a:schemeClr val="bg1"/>
              </a:solidFill>
            </a:defRPr>
          </a:pPr>
          <a:r>
            <a:rPr lang="en-US" sz="1400" b="0" i="0" u="none" strike="noStrike" baseline="0">
              <a:solidFill>
                <a:schemeClr val="bg1"/>
              </a:solidFill>
              <a:latin typeface="Aptos Narrow" panose="02110004020202020204"/>
            </a:rPr>
            <a:t>Amount</a:t>
          </a:r>
        </a:p>
      </cx:txPr>
    </cx:title>
    <cx:plotArea>
      <cx:plotAreaRegion>
        <cx:plotSurface>
          <cx:spPr>
            <a:solidFill>
              <a:schemeClr val="bg1"/>
            </a:solidFill>
          </cx:spPr>
        </cx:plotSurface>
        <cx:series layoutId="regionMap" uniqueId="{63485892-E1DE-4260-AEAF-586A6C922888}">
          <cx:spPr>
            <a:ln>
              <a:solidFill>
                <a:schemeClr val="accent5">
                  <a:lumMod val="60000"/>
                  <a:lumOff val="40000"/>
                </a:schemeClr>
              </a:solidFill>
            </a:ln>
          </cx:spPr>
          <cx:dataId val="0"/>
          <cx:layoutPr>
            <cx:geography cultureLanguage="en-US" cultureRegion="US" attribution="Powered by Bing">
              <cx:geoCache provider="{E9337A44-BEBE-4D9F-B70C-5C5E7DAFC167}">
                <cx:binary>7H1rc9s4Eu1fSeXzpYcASILY2tmqIamX34nzmOQLS7EVvl/gm7/+HtpO1qLkrHwrrlurWs3MbiVS
k00eoNF9utH45233j9t4s5ZvuiROy3/cdn++9asq/8cff5S3/iZZlydJcCuzMvtendxmyR/Z9+/B
7eaPO7lug9T7g6pE++PWX8tq07391z9xNW+TnWe36yrI0nf1RvbvN2UdV+Uvvtv71Zv1XRKkTlBW
MrityJ9v7XUcfM9kGqzfbn9H/3z7Pmg2sgzuNm/srE6r/u2bTVoFVf+hzzd/vt26En375o/pDXeU
exND/6q+gzBjJ8JUdcYM9eFD3r6Js9R7/FohhJ8wzlVKuPhx28t1AskXKXWv0vruTm7KEo93///7
LrH1LHgpfx3yMm7HlzIi4QGUP99+TINqc/fmplpXm/Ltm6DM7t+a7O1sfOKPN/ev6I9tLP/1z8lf
4KVN/uYJ3NM3/J++2kb0P6Bt1VX1GkiLE51Qpqm6Ju4/5gRpSk50XTMIoRgDDwPsAemDFdqP8rb4
AQhvCxwZupjna8zmdfkKc9k8IcKghGK+3n9gDLbmMlVPDFMVGATGNsIvUmo/yruXOADpXaEjQ/uv
GLbybv0KWPMTU9VMahrsYTbzKdb0hHKqcQOD4OlkfoFG+4GeXuAAmKciRwbyRXaX3f5+iDVyoglV
6IIYDxBj0k6ns65RmHPCtjE+WKH9CG+LH4DvtsCxobu+g7n+/fAy4wTGmumU6/s9L1hr1WCaqZGJ
53VxsEbP4LstfwjA2xJHhvAsfuNkcn2XvQLI5gmnwtDpo5UWgHI6h7kQRDP1Bwd84nq9SLX9aO9e
4gDAd4WODPObLF6nrwM41QEn5+yZWU1PVE2Yujr1wQ7XaD/OE/kDQJ5IHBnCf8V5kL5GHGWeGILp
BnkujiLihOOj61zbXpYP12g/whP5AxCeSBwbwglstnwVo83gOKvUBIA71ppTKpgq7mf3xFr/dbBC
zwC8LX8IwNsSRwawncV1+RqulzihYxiMOfxgpHcCZRhp1WSG0PTtKXy4RvsRnsgfgPBE4sgQBkmX
BmW8rl+DDuEnhqZymOrHpXgHZQKUqcYYBxX2NEZ+mVb7kd5zjQPQ3iN1bIiv0zfWRqZreRe8igOm
nRBMXWKyR9QRG2/ZcBDaVGiqmPLZNy9W7Bng91/nEPD3Sx7ZAHA28ZvLDAmV379wgzHhusY5JeYz
pJgGw68xkGITVuxFSu3HffcSB0C+K3RkaH+osYYnr+KHc2SuMJM1kGQ/nLGtiQ7+hJmUEJNO6LGX
6LQf650rHAD1jsyRIW1nSMKNzlpZvYbLZp6o46zGYv0wtXeyV/SEgCzTOZks5i/Vaz/ie69yAOp7
5Y4M+Tmyuq+ylBsnnBFD1wl5wHxKno2RtqnjHzJx0w/XaD/aE/kDcJ5IHBnCi3iTpr9/vWZISVNV
J4LupDYwm4VJ4LxPFuqDNdkP7Lb4AbhuCxwZrOfr6BW8MKAKH4twFTTJ/Wcn7qIngujEMPkkDX2o
Pvux3ZI+ANqt3x8Zsss6+ZbFd9Xvn7OaCptrEE3bnbOIvAzCVCSlH8z1dlD9EpX2A7xzhQNA3pE5
MqARtcLdstby2/pVkpTaiUZV0+Di+SXYECbTCMiy+8826C9Wbz/y+y9zAPz7BY9sDKySfCODdfz7
JzujJ1xQU4c5fzDlO2SKfqLDQdMJ6PLxMyHEX6LZfuR3rnAA6Dsyx4Z32r9G5tJARRGFP8Yf6wN3
vO2xvEwYhmlOIqzVgfo8g/BT6UPQffr7I0P2DMToK8xiHSW894Wfj0W+mKVbTAniqDG4Joyiiuwp
EX6oPvuR3ZI+ANmt3x8bsqgmf40ch3EC0FDnp+nPhsgGvkNN7xTaQxV6Btst8UPA3RI4MnQv1jJ4
jYkLipNrOgrEHsuH9pBeOlIdcM8mJvlghfajuy1+ALrbAkeG7vm6LDevAC9CKQ1VJKagD86VOvWu
xnptfK0B4G27fLhG+/GdyB8A8ETiyBC+Ccoo6LP696+9Y0qKEd2kP+q0p14VpScGUtQ6Sj23MX6J
TvtR3rnCATjvyBwZ0udZ+eav1NvEm9dYjbUTVaeUmT9W46m9JubJWG+gcbBje8KlFyq3H/V9FzkA
+H1iR4b9uEjl2asUFPET1Gmjktt8NOV7PGxhaNykYEX30CQv0Ww/6jtXOADyHZkjw/smS7PkdXKR
GhOG4EDz/rOzboM2IbqhYUxMbPrBGu1HefJEB2A8kTgyhC82KbbevE4dkTghIxHC+SP1NZ3SlKGW
hBuMiYlz9iKl9uO8e4kDoN4VOjq05S029tq/fQ80tjirhjBM4zFxMV224YdrJhFYtbV9y/bF5lC9
nkN7S/4gqLckjg1nWMlXQBm+F2ryf4I8TtspC0apaQos0dtW++JAfZ5B96n0Idg+/f2RIXsdr283
r1OxD9zGbVSPtWA7KzJKffmYxaA/abKnPOfheu3HeCJ/AMoTiSPDGTOm2shN/wqz2DgxuDHurnrO
9yInBlwvg003Pr9Ep/0o71zhAJx3ZI4M6Q8gPtGJ5PcDPdYZgNoG+fmYWJ6aaxAnKOPWkXieJB1f
oNJ+nKcXOADmqciRoXy5zl8njqIIojQkJ56No1BLApDNSRXYofrsx3dL+gBwt35/ZMiiQOLNeR2U
b66+BWX+Gm6XfkLBfhKw2A8g78RRILmRl0TbmYnb9f+g2n68n7vQAdA/J3pko+By06xfpUsJNtoZ
lJtMfdxot88vw9DAVtpJKeDhGu3HfCJ/ANQTiSND+EquwXr//mUa/cPu/W7TeKarFLZbmTr2yxrT
2qDDNdqP8ET+AIQnEkeG8DX22bxKVylxIpjB0cLisQRwxxFT4YiZ6FPDJlX4h2u0H+GJ/AEITySO
DOGb9a1EO6m0eo1l2jzROfoaYJV+iJB3UB67EY3/oJBo/Eyc7pfpth/vPdc4APM9UkeH+7hlFmHW
a+COqj8dHUvQiOgnM7LFiqEroKZSFRXfkxV6dI0O1+o5xHeucRDiO1JHiLgTbLzXAPw+N8V1lPVO
+U+O+n1mYuf041DYZkFHvA/W6Xm4ty9xINrbQscGdrCRr1K7j91VhootsOaDxd5XXoQvUd2PbkT7
TPrBej2D9rb8IVBvSxwbzphAc7jht0F5m/2YW7+jhS/HjhxV5ajLfsaE03ETB4qQ2J4I+6dGh8QG
zwD99MF+XuYQvPcKHh/s44ZoWQ8/X81D6uF3QI8eglwjmvqjReTUpoMkRRsjjI5pfA1r/gKtnsV9
eo3DQJ9KHR/ib06zdVG/Vk0wSHGNYkrff/ZQKlSgIFyI/VYdc+4Fyj2L/M5FDoN+R+wIsb9A4/HX
8Nzui8w4R5z9TIiGlr/URNWKthOcpW8OVup5xLcvcSDe20LHh/Zoy+LX2XuJshSUimIX9XNlKeQE
az4BezohXh6N+6FqPYv4zrMdhvmO2LGh7q9fpccJUp7oGYkQjD3Xv52iow26WyGf8sN/fOjQf3Ow
Rs9gvS1/CMzbEseG8HgEw2vUqaCokFGKFv2PXOqOv4bqhbF/7E4+5OZgjZ5BeFv+EIS3JY4M4Q8b
f/0atcGYw9gLbWAbwDMb5uGR4/wFsGnkwX+bLNWH67Uf54n8AThPJP4LcP61iluPPB618tcPW7kn
4HrpaTnoHYgjUgx0Q3hwvoHeFluKnbQGQV04QdP2+8+Pez/YaZx38fOQn2eDwIdzhnYOy3kqu/WM
D4/465fyX3cIzoca3str5CuxYZap49x7HkEqRrdKR2D1tEbwcI2emZnbT7QHwq2/wrFPkzseGcKf
8HLrV+E90eQRrCZTn2sVh0mKFs5ENVQsv08hfoFK+zGeXmAL0f3HWU1FjgzlL1n8GqEwerBz9KlA
adjEACNdhS84QSeibWwPVWQ/sFvSB6C69ftjg7T+hpj3t2/CGPfbEHSSQf39/WenaxiOJ0PHMBMB
0gTZA/V5Btmn0ocg+/T3/z+Qff5Uup/n/Dnraj27PyHwycF0v/72/uXgbMOJ6KN53Os5PVjO1d2f
b3UQUk88qfEaW3b1qesyldoglv7zLc4ZRPewceOsit68Ono64oLt5uEriiZUYwEZunmbcL1GditF
A2H/z7ca6G0ybulQR38LbX9h0MusHr9C6yKcamhizyXiZXT4FuTn+Y3XWdx7WfrzhTz++U1aJ9dZ
kFbln28J7pE//Oz+AVVdwGFHyzoDlecM5CvsTn67fj82tcCv/081sCwv6rq7TFsmZk3r+rmVsZBH
dsTb5p2h6P1p2DVpNFPVqPpSZVrzMdLKrrBKkRafn7y9fdqgGGOqDTpYo/EHNiThELDR1j3VRkv7
PBJ+3VzSIiWXXjSkrlXzzPDtrqkyYTWtVn/hTa4ElkzMqrCLUEae5Q4l12zspEjvRFWpV7iGXzs0
jsnHQVdMsugN3d2QXiHd/NcaU2x83NEYhfvodSB0jhZx6kTjgPvAtq8uWad7nmN0Q/yxwTkpbF7x
PtOtpu9I6ATcNa2BG31g9ZHKFkkje+LIJqvu/K4siR0oue6UOJyzsarEVxuLSz3yZl4W+tdRLU6T
UvilAwsjPpV+cRbFrd7NglIxLgLpN8ni10+1CwP2lKjokIWG0kid3z/0k0HBe8VrlTwuL9PKFZ8y
zyTU0iKKoZGndXfddlLc5C6J//71bcex9nQsYh8autxyhhMM0BiEslGtJ7fV1c7T8tJLL1NzIJck
8uvLtJR2YLr+p1/fCdNn504C1R8cLShgmM3JOMtTrR8K6WeXZq5q66LNZLxwK7OnVpT7M7Wo48Fm
am9mdsj0NvlPg2YcFNsPioGCllQaDixEZ8Hp7bELJPC9NAkueRHp6ySs9XUUjzroQ1LODJllVq8C
+kUbFy21iijjmyoW5aoVvXbeGUyqNmvDLLJDniYfmcwpc3yz7ze50uSOqgwJt3WRaXKpM2OorV+/
vbEL7VR/PpoN9MbDSXzwV7aBUo1aT3XdVS5I7SbrQFalZxElqlLNYn2feqetH0TfPFPk591Q+HMj
07rApqTh3ys+DJnd+x63tSxsNoFk/K7Rc5+f/lpJTd8BmWkMg2jcZoHcgc6xvD4dToY0A1X6FbsI
tSJ3helUwh8WXdUxMa+aurZlV6jvmqTXa8v3fW5Lki5KKvNFrOXUjuIieZ/HetJZPG69z22YZKu+
rCor14v8o1FGpuMWqWvXWRgGVlCxsLXcsEwv21wprwplYDPPIyK0lMFNE5s2frLUjSp+T0Pv2utT
1llxzYvLyi0+VDRRmGM0FC8y6Clsg1YPg6W2Znge+7r5xVVr7dQ3THI+eF0j7Fb1tQRnbPTBSjFl
n1htbw4OaXXFGcLuNi+L6qZWFe5bbVLxuVsW9UpzKf1Q+KSNFi5XSGANfuR+A08vGytIC+VrnfDE
yfOSrqIszVekEPFd0OQG5j1LoptAuB23mkLzTqUra7vHe1gQjYqrok26mdbKYk5IR5pZjHbWnt20
nlnYDfXdWVIy6dS5uPJdxVMdQrJqiaWGtnaqhoZlVjz+u0tU/4xKkd/orNIXtQgVOi+NZFibRiZn
pdqFw7yJTG+udJ26pmXcfi+9PNftgVZqbaUebbx5V4UZJkfbznqvqc25zFzfiSuWLFP81EI3A5nh
RScNt8IyDBWbuy23eKZ3g6VVsWuzSkmThTSimafVvfquZUTDecdSja0QI6mas6oV5aJjvDs3omGI
3Xd1W1RJYvVB3Kfyznd9SocvZat0PPEtIWHKs1vaJ2HFJM6IretcvayiKom6UxEUw6IRdeWuEhkE
uRXSOLtRucJWYc9YbdfAwLX6QhUd4EpM00ldF+thFUdtMTOi1lNtGVfEvfIL1eDZMup56zt9F4vq
3CgrhhHVuhkpW7vGWjg3FD90rxpMHcOzCzM3MeBYVCbzNA6ksOICi5c765rAsBUXdJFu9a6aauiO
7iaJ7Yu6dedtzONkVrrwCuZ66iWDbQ46LGZKI622E18qsdWUvVdel4GSJLPMC8zvSt3wQHXUjFaL
QDNr81JXXM89TRmvuB7aaVcWQ78s0U9G+rPc83kyc8tmKOZClmkw72Mj6ZdqWSa5rdM+Dmze6X28
kEERKDZgpZ+VPBmIgyOho8TBf6pyFYeqUuKVp+nnMElEsmJSVPEs8ivj/VBXjM1DJaPkzG/9kqcW
96lfLVzZ5OkNFmN2GnoDjeZ1Dg1mWRV7w8wk3SBsM+zz9iIxewxtBVNFOi4h9alkuh47nsu82uFp
AzgDXsI/SYeQDZs4QvMFx4QCicP6xC9WRA20pRfwyLBpFBXMCbLAdYbajXRLaWUurkO3DTWbBUU4
WEkeDsqZ6sbanOSup0NdwfMZ6f0hW/kBab1ZJDS/tcbfWUQEIsXw8Vhhd22gDFbVBcpXiS6EvWIF
mEf0kgxpMASW2WgK+9DHLa0vjVz0mZOKorrQ6xRLklfyCAIiYXhbbuCT9MtA4tQ/Lfok7uZlqw/B
Gam86oMWUn2td27iWibB4J3XacfZrDSGAMrXJEycmBVRaZutOwtIUHyJ2xaeReiFzU2pG+23XPps
2fDWc2dmpKvUSk0X19HjLOzmqWzI5dDlTHtXVjr5QCoFv2gNpTTtivS8mzU0CYOl7ChtVyn3SnoV
KFx8StViHJxhWJQLHpd+ed31WmXaatECG79NoVhWwuieYQUTn5ipYnQnsJLSweb5LltVpXDpdSjr
KHpPzVRoq04L2/qi6qrR+fT77lqPFKObZW2CW2fZMDRWR5NqWKgRHx9+VL2FfYJeeUIuNT3FU9SF
jlflR1k02CJqMHXy2IuCd6nkmPKyhlfg4TvYVFql/lVBtF6mFst9FXC3sqsvEsXPSytQ66Kbd9hY
ymZ9U9DRaGAy2XgiGJBOkNFPrtLkk4vTHE/NJghMy/T1COOi94x1mzKo0cmwf8+qTi3PPLi54VmW
p1F4Y2K1WJSpSi4L4RVfUFFrFJav+QE9zUxP1Geun3mN00tetHBwe7bIKV6rrfKiv43iSL/u6lLN
loXaN9Hn1ki8cpm4SvK9H8RoQ4Ii9h3EASabBbT3y3luJOKzorrJPGlzr7C4BjPXy9Z/H2RVeSaS
KNQdnUrqwezhzBSr8an4JEOl8WYxTTFNBsVlYqWlGSk2CQxyf4p+7Jgb7WixZ6Gu4I12zdDMsMi0
xRmRNTVsV8RVg5WWNSpc7yL8KkUjPig93PTTQVSS3FVl2pdWgnPlm1XQUlyqS4g/2FrrGd4qByyt
rUTCmA9Z01QXXc/jm7ApC8vk5VJLukZfDq0BcCKVlMMij6Msu0iNTjtXKlXLZn6RJs2Z17e5b5t6
mfgf4ImUd6pIYUZgOsvGivyyLS3RNmaBVaAvbmKvIMHfJBuY2VgDPLD+Y14xReBipStnPlci71Rx
8/ab76lKY8e8NKJVIFTyrisVd1jIuiiDWTDUGKQBrUJ23UXxoF8mRh7HVpE3qnGhEV/r7B7eTTlr
/RyotWYaeJYceALbUZbxjHSsk04TU1MuBrPA6I+0zuNO7/Zqabt5aRSfW70nH0JfYqxhpROfMNaT
8joVKYGBpbkI52biG63V1V+oWbcmsaKo4R91mhat0+pepV1obmw27wu3FBKLO0b0LA8Y0ETg0Hfn
Aaui7JzL3GfXtFNjY+V2mcBzdZ3iXURSyVsnKV3YDHhjdXURxy70lyLy5qVvRr7Tdqq66gsN8743
DB5Ymuvzi3uv9JG7uH5w8h8C8Nss72Xg+dXkj//6kCX495+jzM/f3NMU//7TRXArszL7Xv3yV4tN
NqZfyumPtq6Muz9qN9IXW3/YoVKeIUveb8o6rp758nkm5efe1pFpwE5YpoPqeOLE79ApPw8N+sGD
bQv+YFTQoAZ9mQVK91EYij6CCMmfMCqoEYNdQx8jVAtNGBUcfQcaZoxXVKQqfzIqaGUHm476I2qg
Yx3XcIbSj2fdAhQs0uOfnzIq09gIDVVGsk8bD6RnGioYt6OOyq3DMh5Sep1m3VKNgnPuRTZr+tmT
N7PnNthruhWE4UmQiQVNgu62AsEyHOrtG8GNjnTTj9prXcekrmC1tZk+1KdJgGGdUS+CC8EVh1TZ
lejr8yLKP3IKrz0vq85u4YzOIkmis0bqwmGZQETZV4Gl6DmWtFb+3ZZ5biemLy2f5a7tl/FNjhva
NI+vMzVILcJTTP+CFo4J42sznmhWMphnRdLZIlSlncLOOUI3loxF6dw1mjnop8qpB0GcMuqsnGuf
FZNfCK0WFh7zb1+LM7vp9BuEde+VpLtUFP2yCsCGqG0QWiBhVjDLl62beLNEkI+uZ8aW6jWNQ/3A
t+qmegfrPgdH9FmYckM9/tVL+i9ySAorqnnqIFq61qV7ZsByzXHS6dIQrlyUvgRCUn7MDG8ZmJpn
x75/pgrtW9r60bxJ1BwBQx/YcdbljlJ7mRVrWTon1fCVJEljD1p4pZlybvYx/LacOYURfa05+ShL
7yLrktrKSP+eF/UCuxeWWC4Uq2rgcrcaCyzYMc32qX6j9HlsJ1Vh2lx8FVUyU1nn1IUPpq3WIgsD
wjENxoFfuIh4/d3sy8BSDf1CaWp9paZJ6hSZYRPeX9IW635falbrk2Aekfgay2w4Z6xdDIl24Xmu
Z1VEW4gG79ZvI99SDL1x8kJ8TbFOiT56n6VD77Ch/BQYZLA9mFyLVfFN2dYrokeNI5l6q4KOtLy2
/xQHgY6AaLiiXWpYpR82WB3kHYnpHW1jhNIdWWaxWKH8k9hR2y6SSH+XIH7uwO2dczakthGnt0OY
/+3z0rcTI/tgNFHoaAWPlm3NFpy3NmXu3Ew1GH8MMd/qtNbHyuMX6zTMPDkfTKXqbd3opEXULgoa
q6cS7gYciNRReTsnZhtYpJDdaRzrpUV7YqsuWUmN3bWqWAU6mTdDJjtQdHnzKdJZEOHpiDpYeqDr
Tt2RwIlCumK5tiRNdFmp3qw3i7VrBO9JpGyw4z+yClG+yzAaP/S0+dB5ZQUHrHWyNiIrJdGTWdo2
56aMM0cpS1w3Su2mbIJVXHvtFyPk5azz8gsvUF27zLul6Y7eVnmeh5HTVOWybau/QSaEVidCuwlV
OKXZRWRgyrI0uo6pfhYrymqIfc3yPd+fDV2fzMMmuDNaUARhGzKsr+Q9wp9Fl1WbaPBau6sVKzXy
v1s5Sz7wla9J+MHKsjf4ugvVr4PeRzaP4fv08ddYu2nactnX9WmeeVasSCtMpU3nqur4QqssH6RH
y7RlQ9lcEj+zgiFvFoyH1VwlEd5no31NNYJYJGsdV5HS0tp8UZP0qs/aLzIL4c722ieQuOZFriDc
/gCSyPZMTbrLjCYk/k9mdJuKG60olgvNUGGHqI7N+hMqqyxLprm90V+3vc0tbeGedjfZxSqsLGWd
fs5n0YrZruWe5XZYO+GCrX5txrH+5f9mAh9vL9BtDdtQ6dgtdduIS7fWG8Woh+uGr3N3JdTKEt1X
JUv+A2W37z7YKqFyVAgg3aBOqFVRYc0K4PVek+AcjLMVxxvhrdq6/A/32V79Hp4H7xNrIEECA0mK
7ecpCi3Xa+Kr14Z+Jo2rnGUYv59//c60fZg9fZjJTWpfVUsajS9tXn7y7WjWLNU70zGRubhIMMas
93ImrWROlx8vTSe2LpuLYP6pnLmzd+Fpay2lI88rBz90sjn+m336tX5jc/kdUFHFLnDKE/YWI+mz
/RJiMHck7VVyrVvepftOnakX5LN3CrJLsWunt06/kEVnXxbzdqnrdnLmW+xdDn1bK7bvVfnd7uZ/
nyM5Hn34xw8vbceRvMjQPXHXibw/L3H9mJbD7u/xmEXs78e0F2NRzE8nEjtDdQ7mGPy8gXkJT/FH
Wo5ACO4jzkBHIo9xjP7HrBx8SMSo90XNAuGxyl6UlRv91CcjSFd1TUMiBDlBQnGtB9/vSSakyAoQ
FD5yP0Ud6uayiFpkvHR+RWjgy9zyFFcZZlGetQYIxXxQhVMGXHOdHpQE/BA1IdVNaxBPfG/NcimV
lLnrPEpCdda2aayc4aFL95T4YU9m3qAo3rUWpQHIykLz88YmNe1q8I36AJotBvsB74qnnIHSRWRU
2WDOhNlbsq/5YIVg4Pwlhy0prBjhtcU6JK+WhSexRqVJmVpG0cbyytPiurBq1rd85plqZliRaTjq
UNXKRg9Etfjf0H+IobBEPT/078912x36963/Hoc+SklMdBIjGK2aeMgt/xz66D2F3DL+RRBDcbbG
z6GPw8+w2wqJS2FQsDyIbH6OfXyFzZi4Fv4HVh/HUr8kfiIGrjQZ/OhmCJoXezhNnP8w9jt7mrcB
zcIx/ExxRRPZW6FOhnwhWeal75iS+nSm+wjjvwpG5TsWu6lxmjRBag+NODdCcS5TEdl5En2Liuy0
L8BE08qb95qW+chixF1iSzas0o4Vs7oR7yKz/T4SATaX5lrUdKFwCnc3cDy9WKhevjBTdtnlylIJ
4m+67JjNw+zcC9t3ER1jkko6njSWXKVLNQxzi8nWDkQGhjXsF4gTL+mgOgFFeqL19Xheq/2yJ420
UoV8CxNidUWjr6TJ/841vhpke5un3YUpwG3NXDzbFyFDp3KNCEmnbCN704nAaVuhqHorUrPiCpN3
DjctRXqJLIsqO2uiuLHbSg2tiClylic8XWEzLZ42VVSnzIbPSdlcIMGKlFFYUktGmpzRgGGdpouQ
1d5cRpjoRHp8FrZkbUbwB0t4/IXG4Vln9Zekc7/WYXjjp9kVaC7EjImrz5OS5kjmpKs24NwSQdkh
JZjojtpqjZUlZrbI/YY5NRICNlJ2cGn7d4kerUqvAAlLw7s+aUxLhYNvIWXzyYzhJTKvX6e0bi1J
yPeKKqekqVdt1Z/D5kSWK6oQeQaeLkVbt+eZRKK91xTF6ozqfIjiTaKk7d/A86zSvw4JmKygtJs4
vo6L8FQ13Ju2DCtbtlFYIiElCv9coWk9zNIg8jwLBFjmGxapIlFcdp7OV3FpaoqtN/4iME2ECYlX
iAvKFf+UR1mzoGByV3gvuTrT1CBf+K4pbtzIrYUd96RLrSIbjGWj99oil7oWO3HdeQvSZ34M4yrp
OY/j+rOZGeZSGSL17/+ZQ5jDsTnPr8zhXzEIsrv11CA+iP0klLDgj01yH9ik+2X9iUHEEUPYaM7Y
uKhTrPiPvgDDGSawhwx0Ekwpqnv+7QzgK+xdYljA0Rp9tLEvIpTAIE8NIo4GRrsp0NTIYoFVmjA9
ZoeBVpt+fRUGVX5qxkK7kGl3ZqZxYeu1/GQkiVOEVbRMMx4PGz8rC+Vd3fdIGw6BjYxV/E74eWpV
Uf+u8rTTrEyyeRGDPiBDj1KTiCiLIG40S8v9uRc1/gr5TNX2clezwDh7vi2aIp0nPI/rm97Lvwi/
z0AZcKSgkFQK7ZyW2mnTKcOpDvPlu3Zv9sFpHUdOT11lWSnyuyfSAVUuqrvoYUMsn0RiDHqbTzmK
ls9oYEQXJkuRTg5u8pr5+cxMenWeEzNwGgnDxRuROhkbmBPHAbWoIcBAE3EWcVnNCo/YekWrud7l
l6buN1YDRmvexENnKW6FLJWftkvZlpekLIVdpcUX2XrnPWlnvto7tKQXquadtUPlW1WY11YAdt0K
TdOGV1PPUiBsea5SzXAz77vbZsbXfggbd17oBXgn1FvYpl+SpZD1ez9iNyYMcr3KDV+p3gUkLZZI
lNtp4RvLQu/L9MaoVPApfu3yxmLc1RaMtE1o6a7+HfaiXY1HeizqNIqcIUmv+7C8NLT8NI39y0Kl
Z2alzLOyPVUSw8kGsNdFaqnhYOtBftem9H1QiS//Mx73vpSGqfa8L/XQY35qO3R1lPppO7B1TRvP
MjJxRLcGSvZJHAGeGklR00A5E+zLGC38sB3m2JxmPAEHGyqQEx4v+KO8D+eBoz8orqVhxoPkfpEz
hcB7y3YgIIeNgg1C4Ti61ZmIaradqSjN4zxSQ/WKMl36c90cpI0MeX0rw3rWaKBh1cT9v+yd2XLd
tra1n4i7SJBgc3nYrF5a6iXrhiVZFgiCPQAS5NP/g/Z23CVOpepc/KcqyU0aS6sl5pxjfGNS7HCV
NEnpRA+5Gos4H4o+xc7pV1VXt0E9RTFwphS5KjvOO/6qLXsvx/4krBIuHB3KmPdjCoFXbYTrPE8B
6pokkzzWfb/vV2144WdgFfu6iC6kmGNnwFWo8xJwyLy0cSDDXcPLbJmsNHBVqia/TVpruRK+zpOK
TzfEVR8iHqD6iuZ6FpYTt511ZxV8SPIRmlHP+Ybl/rEqnyo+PwOK0Ggcyxs5oFkaepk4NT3W8IGz
cmm2c9vigu+8c8EXL7Yd77jQ7nJs9DGU+VsXTUdO/Gcy++LaQ3+WsCa/mDycDYxYH6aBZjIkzssA
Iz2eIGIucnhAh/fGghK0TQe/3a+qexNYbxB38EKqaCdEeDFXDHolXkNuiwvIYi+ybOVmzAXPplmB
rSA93TY0h20FzXcI6/u5y89ST8+1r9pYBORkwn6rPNHCja+beAydTSjZts/pWZDOjem07DQEywTm
6kPpRxs90YsJ/YqtwjGRYXnd1LaXjI05hXI5TTLEPJh3T7ygLjCdvoR6KR56OQfw3tQTXabj5PdD
rGT93obDBXwXdioEu4zgAKeN8rNJapU4iuxkjgNN9uyOVMPe7gqUnUBFh8nXXUb84q1hwS3L560W
k8nqtj7MwC4wDFqfjNcdF7/Z+KV6xH9DDaMQBccwzFrCZVyU6qqRZXWKTH3nn1pHVHEESsnH9ZQW
LtieQMv32ul3ZTBs/bEHGqMHtsEfBJ3WZ12r69gWI0qCJW/ReW9LKj54s7ONmEaXF9KjLAPUhLb1
0qapr3VZzJteio2nlipZ8jGbi6CLYTiFiViGiy6qZFzWucoI3G7C2qOg3qaK9BKLaLj2xHQoC1Um
xTBfDhHeey8/qoVCTwx5MH+EezA8Fo0Cr8eiOoz9tgluSIfYB4vDobau7S7qbwDP1NXWMXyjXHsj
LDSimuTvgplPOYVVU7QVeu0+OASNeZD+8KoEZuuuba8DFm2tQlw7XbUPw5omYPjSzgQAGYMx5ZUN
eYCqS8etPLy4LuuDYJ3Yy12rjJcVuTfFURUsCazrOul4narWbFx/fjE+SXtjnsM8zOxovscHXcRh
ae1nbp1Q27aFsPZN1Ma+cBJWVmlk5buynjcibFhsIM7N3nJwO/UICT4t6MxSUhu4KyCQXF6eAt6L
RAkC/TPYTpEP3KXGB/KghnI7G73R4ZSMtd5zUEOxaGAu1zItePRUl6WI5VCcxg7G0tLzaGNqX8eL
wGDQ25euij7KycNFMCezATAjPBhe3Xzh6XI/DS6UN2IPRzJN+GxpnFt6p+XwUQ/juTRhKkvvzuas
jqN5wFQR+DHojcwTuArtEIKJcaKNI+xbqvNPvS/x7RzrvYpYmMhg3DksMInV053n1le5vYzHouNx
ySkQDD4mhacvpqA5Gqtp4lpUicfCD5WrY4UpQK+j0Gxvo0BfcX98tEm3zz2z8Uc7yERZ4fwzjRV3
fnvj6kglfBnOns3imZW7Cgdgx8fL3F/ueuCkPVHXOQGh1I+QYyjwlGhOl4VsfH/IXMsBtCJHTIfN
glPY3URUHe1mWe2WMYmA//Sd/VrlGBcV0c8uD6tkItTdOwG7gtQZd4xdO0t4gioEO2yx+MZfJsxY
cA7aCQptx8qstni0dxnV26gwV25lbUQ1X0Ghe3fJsmnqLpW+yuQQWhvO+yaZLHWeVXelgvDecA1X
iFLYWjWNMgNK7km4+ZyybnwvpT4Wxn6odAPdvj0VEVgJPfAbvZCU8OGdsjnT2ukuC2M2IKnuhUNg
6oziASdwJht6PVh5GzM7+mD5w6PpzXGqiw6+GzBat1vxIoCJgiWFoWc2saOnFI5xb97nfVTCCc37
2dv5UoqHsbImkTpW42ysRU1JaMKssvmeUFHG3VQvqWmLN290oQOPrUnl4LxEy3J2htrN0C6wlBFn
Y4aljHO3fw/UKJJIiQvFAxyXs2nSouWPbUmu2prcQLSb4rH1YlPIj1g2naKvPATWfJa+2S8E59cQ
OAAjaXNvZuuhM+0dmmcRA/lJu4o7cThP51H4oFiW8HZpYF1WutTXgyp5Rqug3HmNncd+PsLTrR13
LI7f9VNXX4yO781y8qMvAaETHDG4eeJTyKc21qL/2J7IHmsgZvjbZ+e2jp/oZrzqE/BSSfRydyMv
2gPP2kTt+Ilup7TYtZviQNmuvCi2/za4nxvcFT/46wb3f+qXt3b4tcFdf+qPBtdGQ4qlPBT3AcMd
sx18gn8Mxw6WMGGxw3p3sB9n4/A/AXKoyKOua+zB9MMB+dbf4pat1AN6j91NfoC7lXyV8f/7ffld
fAVD+A/97foFAoMHeMNBJx3ght7rF+w7pbzt6CLonMuzXbl3opW3RKLT8+S1MF0ZT6NXHJgNBtrx
duU8l2ktRL7JR39KlNF5bPddHwfzpFNQkTe2tyxJ0eFSQ7sHI3txrpXdI/sQ4Xc1QVtkVdk5+4gN
JO6K6nYIYMUuTRtCFzMXVm+3cd2UXTIto5VYhuYp2NYyq0ZixYOa+ku49He4CwS9CMalOZWEqLj1
SY/hUrKMVMHWk5hrw7GdEr8oWLwMzV3RhLgsrbqL7UHu+45u8lCxTOIQAx1XfwJg/wA42Yph/+5a
17qFeuTEeS8vlpVDXCh7hdGA3o7qORnaKWuGfemcHOa+jcXL4CYoVru2zVk6jRphg0WXeEdElTaV
ESlZZJd1c/kyLW0Xw11402o6OKpDn2DjBQ1jvseZfTVbaJLmJrOWk1bOwXjhMy39fWuXHion2AWY
KqeBDVe8Nmbt72DWGecs/KHCwaszJ7TxkbiBjBVjch8Mnh0DOb4hbPKuI6v4aEhzLZsQxGHlVgl3
CmdD+pbEqLIOGpRBZ13eqqwSEExzMTnxYIcn2CX7WXMvxuyTlmFzY4QsY3vRTta7ONxDCZXEjwCv
+yAWM9ar8ZYpG5avEz0yqy3jFkpeb5cHKYI7L1peHIs123oWsbJVVo5FlLYQ/uIO0HLced1uskeS
+Ko/uA5eyzL028ity0TkTmNfdZ5qbuHp44EHGXeiPS/e8JG3U7sno3WFL/hL1PI2HkrWHArhPKFc
XwyArlMr9JAimtxPZtKfxmCeN6B4uriXYb4DB/1a4xKNMdag1kJK2fBJ31LCMIGF9mEsyw/dEh2X
HiQHbYttO1mnfp5R4OzQ3iiWY5wSOVRWKS9VueDyGe8Klr/2RYDBzAV5Xlr1bb64gC6IfuzdYC96
xXYhxQE9t1Xczn6NUaTZ+4zeD4VdHEYFEESUyy1+53SCxj2Cg2jbTDEfYNAKHY8D6HEnWj88484J
9Fg/dXLvUbblkIyL1rGUTXOQRJvEWJCUi5nDYJKVShYj2ydm52zXFMVwVfo0iie3T00zYyLS9UNI
UD+ZKsB5lk4sScvxAXVNllcYeiUXHFe7InvJ4Qm0pV+kA9F7ewntfR8W+8DJq62P5xL3vjvHOBZV
HIJVhFq8xG3f7DyFacPy07JdFDIBaPa7CiPpQj2VgEkGQOIVQRoxmSrPAVWOf7A8elWyKEaXde+Y
8kgHfWjd+TLyhtsxGNGtynpbWLmImzpf4kY4l6PR97ylTVzNxVXt6WvBpodQmAtZL08yB/oqkImL
67Z8QG7k4Bl7N0t5p0Lfjnvd2LHdti6aeXMSss8Ce2g39RyCexnMRT6416KZq8xMThaQ7kC0buJZ
6neP5s+cOWeEcy6RJbrqy6BPwlG+5jk1sRbLU1VIN/Z6DGgAp59lHQConHMIZ6S7awsPvWzXZmOF
bw3CY7N4cGFh7rjnN+42giqSFS1iD5S36b8l/EsJR8n7TQmvOt58+pMSjp/6WsKxFwB79Vxsb1lv
WYBa/V0J/1zdKf76EjSFfPVNo4qgXuEOBy7F2gg/gA33rYa7BIIWlu1+xSz/QQ3Hvs6fa3hICOhL
F+klPE/nZ8OPDcFUlm5YnS2n/8C4Akmuq1dnpvvKgc5Roj+VON8Dikl+DDYLVIho7i+nsF5Rxbrf
17yvY80stLuabBi1N3br3k58JFkYtDoZ2XyyVZ76FmoYd9QDD2FWVU51KmhfJaM17CohX2rfsFg7
3lsO5SHprJoljJqjCcc3oR1cBgJiMZyCzJ9HGjszhiVbW1U61NSkgJZVEuhIJ95s+9ATmnnTtBhw
ZrBjhFVHbaiL2Uw9uYigpaDJ31rbP4Dx7DBXNzD1RyngKUHGKZDYa4LoCqDk45gvDEo07K6isACI
BAr/6pc8WVhH4rpmeRzkGKvUZg7aPO7Bc8dkMg9LwS4UJssu744FXhPOaA4mhpCbiYMlY6zOREMu
cofc5XOloJVDJ8EedeRP5YiIm7DC2PPcXe0CfMzD7jGkg5X49gzVBB5Yz9mtImX3jBDFw7x401GF
EriPktvKmZCU6odnw0DKN2JbdxOGZk1bsF7wDbSbkxjm2EXByIPb4zDRfDpbuPVVJgD1pIQuLFsi
hBRAEFhbq9U3rlW80SpvtwhsAE4Q4tj6L8q8IKuy8Tr/Rc5uu9WDva00+qgBc1b7EDlFc1vZUD8/
cba8Taa4WVzU7EB3LY7OoQjDFziGlzncnb2tGntnFGnPZMijs1fn8jBHeeJFUP+nwN+pYUbfUNgc
I3s0X7rlAt+Tt/W0RdTtcWqmNAA+ceGa9hPwd3jBLYsg4vlhsXwhrP5FemwcMH99ziGkpf7smMMP
fT3mwDXgvqU+stVAZghg7u+OOYL/tQIP+NtFoBkn0H+PuXWvFWx4OM5fxhEfJ+DXY25dp0JX741S
F3dLjbx/NKogmP8T14ApBedoiGcHdR/J3x9HlbEzEmm5wj1L49loYsb9NHt96pSui29Kv2ldojEm
zI8Bgc0lmfdxcMOTQg1N6RqIKQ2cIjUURzW1dgyr/cICZh2HS6dTI8dLM/gyBR4LybnVr3PUfCg4
CNW6uhFeuW1mdQCDeNN3mGXKftZx1BEJD42cGuC4YIqCeymiNqmiWiGqkt8vbflIkcNDX7mYxDf1
mTL37Ex+FgGtCKp+L+ji7pcxHxItSJiMhdkis5+RsHuHlXijJ0YPDcu3CEq8hnyOI7k8GJiPsSA1
iV1k3mLfA7e8Aua2wUEddMXD5OhnYUZA0aLYEd02cSdBHtQFwpMKfWXCO/dS1P2hEp4bT8Pw3o8F
QAqrRWdYhWdeD5jAWH8u6dgdTK2QL+GYboK6FYjQDCyJbJZfSr9dmVW9+ICelveQgOgdveDjwvHm
dnldXBOkV+JCDp8KyCoXZVvtaWSh2SHdvC0aGZ4lN3UGMhmfmgZxOzDFElGbCYm2pojRevpbPqKk
+AOgas8E7NpmrrNdupLFPeMVhkWovsiqApOtXZbZc1UCljdVZnEOGKNYU+hwKFzfIPOEdg7RqdxJ
HQNRsPIk33h2l2+8ya2yoVZkq1oXgLFbnmA5HhdVnkXj7NXMlpTX4Xu+IGhbgtLPLMnddNZzmTl5
MG+FZlVml0WIN8KZ4XH20VaVPuqMGSDWEahpNRsQK0dm7wanYbjVHS0yLCIqd7ad5+k4Vm4sXde6
rhCMQAgAr7Q3vh9z3/Y3IbNUUs5TGM8t6zILSUDYC4IfKEaDLSMrKi2vtLabrLBAlbWqe20r0NG8
8JE+7SPv0EWoEsxZtycs61vESfM8SVreN4g9gjePGiDJWBVBzMrm541zRjICVEm35Ij/BHiPB6i6
4YQzu5g8DPuB5m+i5gF80yDPRlZbO1uVG02rlbrBNIEAVFxHDaB3CLcxhi8dW+UUpkNXV4k/lv71
4pjr0ugbf6pFJknpgJQj1SWC02qHbN27apZX5YzFRnWQ4KqoGi44clKJa/y0Gnp/789TfvKtYNyG
eePdEEs/ABxSVmorbfJtQYzjxFx3Hyc8q2CxALwUZRXLsOi3Fp/vHGuCUlgwP7HH6NDUBHbMNDvQ
nzWcdQlRFlF75IRZxpvGOlieveOuez+u0As8/bsaFExQNldTIBPLCi4kfc7ByujWH58w/n+aQNGY
FadpVrAmXBEb/Rm2WbEbvgI4TNgngkcruuI4jt57j0xp4izVhT3ZTjxGwcOy4jy8XMLVQ3qTAfYE
IEa8b8H+YPXKSVOODPuKBTUrICS4A2F6LGhq5tbE4woSDfjjzYoWBdKlm3nFjZy+PmuL3VbgkGzw
SCCncAra3ZgGYJU4mCUjfB8CycorypZtHO2AK3CxRwGoE+xC6CYr/lSBg5Lh9KiBZaeB5V3BeQiB
KgGYCinFn1whKr3iVB24Kl3aO8TPwOt7+aZc0Sswi8DTVhzLMlGqzPBJrqAWHXmKBLj/AVZ+TbMW
PFdD1McWfFej6RNgM7rnIL/KYXlFVh4AJ4JCeNHVplgxsdpZ0soPLsFmbosVJCMgykRktRB6nZ3V
+7t56tNyhc8sPl1j98upIhKKBfg0FUa7ALyaA27N8votQxIcn2liKgf/Tl+KkPNEcv0OWhQU1KSy
sZ33qvaKTAdVYnniGuldC7VAJ5U7HwtVXdcRMkTIM1RYR1L4zS7QVZPqmkNJBghKAKA2uQziel52
ObYT8CoJbbBfMiIJRpFPuYY9gDpmzVu4pjKE/gObg/nNjc2HIft3Bvw8A1Iwkn/dG/131dqvQ+D6
Y1+7IwerxdAWAVhCyuGLJPtVx13nwyCCVIvb1WHj0NoCfR0CPUBODoYzDzvJVh4BPc3X7gi3icdu
hy+3rHU+/69/MASuOv+3HARkXNwvkzoYDbFiEgbmzxtFjG2xcRgafbkgbdIPOmaSxjz8uxgEAg+/
PhDFjUM86NKIftg/7ztyEPPt/dLrLm1No3tR9Jaf1Ii3LDsMwRRshGq0t5cyX25LWD4x9rF5j2UY
sA9dW4aHgc3R0QkgxnaAnM1VMbs37tyOWCkxs0CCviyl+zya3g+vprwfx03pwFgevZHDGLWq81RW
0sl417UEcfFKj0losRwHqsybJy7mKFsRDYCazUdaedNl4HXV2dM2smFOB8Ns0+YoIhUUI6uS7RQH
fGrdsz0ilHUaq/I8KDHBOm0MdjVcoUR/orJ7a3qGDSD2XTD2O+x52lLLb7fExquwOg7bKd9EdUZN
vc/nuU9dVMbVmEJcrn8vQsxNnXfpkO5du+Nt5WBynLyh/ADoUULkEvoC0u9w2UvqHyoewUStqwzW
ogTjarnvHjai7JCktbFMqO+yesz7mFcWzcgUXsCbvZSNnNKFhGPK+IImpgnuZ8d6qggYFOzAAQ2g
FCMB5kYCAgOaMPpLm2dYuYVfoQjMV3+4HzyFtJwfNsWNZKOF48wZssjY5skDEIJ3kbQqlkIPqWcN
c1rS5ab3VXgoLMe5/O7a+zNP6xd+GRGBNUsENwKbfPC1/rHP7+ehZ8yEw6XM6pcJzOztchvE8FDh
ZDU7iK1FivziNsiGrInpwdu4GdnlifgyKCI1/BdB1B9llfAzm4j9YJFPVwoIo8ePz4OaYdJMYslR
TthhrgqTCNbncTd5BKF0EWX9mCOlhSOcx3loX7BgQCYAn5Ev+jqZkSOMcnuOIaY+I64VbSTBEKJU
B/9heQ4Aq8VlbgEWWsxjX3UBClWPDJUs3dRMGPGRLqihZZhsdqPt5AAvypek98IcQmm0W1wH+Tyy
BQDuxL0a8KWIgKbUza40HkA/b4hbu0NHw04kR0AR8QQnHeGd1zVwXVzEl5OJ3G3PVvPfZfdsaneO
W19oE6Iehx02L+CLFkS9B+a6vP39R/zjIYJ3FnMkDAEf5yXux+1G62n2nekULWSKujofLu2xLrc4
CCq8eDDYFi8y2sJu8Hr28vuH/AxqfTshf33Mnz5Ny4zBMAomL7HR4wPFyGWAkoA9CrBcQF+0fW7H
0Na7OOgBhVZSxRTb1E4LJpM4tOip5eGTzRHRGKX1ngtv0/X9BWn9aztfPlLWP9cT79O+6bsvFu+/
eoWLT+Cva/J6V7E/bkH0a2Vef/hrZV43Z4PtBWS8uuHBTwghSliIbxswwi9F+2tlBn6Mm0zDRP32
U18rc/AfCHW4ubSNaLjj27Bs/0Fl/uU0w8NDrEA2cf2lAJ1//K7TyrbDMh+W86Iee1y8Gp7Hd2/M
nxyY62/47pu9Hk74HbicsClqRSXXZ/Dd1bR0ud9hrYsDXQQ2qY11LzyW9G0cd79/nB9fyWcU8ofH
+emqbS2n6wekfM90jTgNpyl4+/0DrMj3b1/Jem5890qY0yOtUOCVkHVPlncfRO+tNSeRdY409o0Q
O5Hjhw58Eb9SEGsd/qkEcM2uSHsNY5BNXaz6o09ZhokwZtgQU94CRElNVP/NW+FAJvvtM11rx3fP
1AVFpUAy4r1ws3ypwfc86pEnreOdpxzlAEYUn98DyB09/jH0efL7t+pzEPTnD91BicQdstGEIZX6
4xNoQuYocEzzeR5L7iQOEi8nARNDJXOHdW3rBgEg1ECwDwPiqlRPN04FGXlqWgx1K3A9rOg16bQ9
wsG0D1ME7G9b1U+kdg9TbkMwIFbp3Bu4r1tXRGWIGqdibAHKBn/Yd3qOyYjVOmpGsBqT1nIefZ7V
DEJ5b8Xax24UE13V5AqyySbXMNzgU8s7ydampUJqxk9HiDwE1i0A3yRYqnguu1TQO+zT7FMfws4C
dJIjZK4dfQpsdE3dbu6fJKribGEYnRqsTfKuy/KiNPV2bEh7X6OQdGDcsza6U56feiVq7KogUc68
1ON9mNohBJxWVB+UBYWiXoY4orlMBfNOv/+E3D8hK76/8H/ulCceQSkwcjnbW3eX75eTenS34X44
y9g5qV2fDFmYRsm8cZPDcKg3bWo+WHuxUVt76yNwW35ZnfKX/cxPRfeXY+InktlDOiao169sK/ZQ
8iC5w0PvN739N8fRT23TL4/z04EX8hr5+QKPY8F6vTNvPUs4TB2S+vnfXATOj2/xlxPp+4vgp04x
wiU7uBEn58JNyiuBdQ8mGbCvTWZllLDz9Hcv7c9OQNynA/o42kIkWH86AWu/NkFQuQRTCLrz5RXM
we+/NH92AH7/AD+9d3bDsfaMEXIGTKgpQDMrkeZvG9s/Obu+f5CfTtnIRP4yw1I8RyOYhoPy70Br
//51/FlJ+v4hfjoeZ9TqAa4eOcMagHoyYc/GTVSCezZfvmz/293RX+4DWh/oj7VB/1+t+llRv79u
jy5fOjTA33Ymf1kPtP7Md10RNvwgRxUEa7YUGapv3Bn5D9xAApABzREM4+/0CgQr0EYg6OBCtwB6
hp/62hWFMHqgbwSuSwm2LqMi/YOuyP3c93wrYCt4tg533ucbFBLcjvSna2noZe3RkSxn7MusY6xo
gwEQYVDp6HzvlP02L8KP3uT0ad7pV1uDqljdZdt4R0nzKu2FdY9UVWrT+YIuWOBBFRYW5JXCQht+
9nm1mfPwyq6QbOKOJlk/2VthoovJRS9ft1ssX9vpkpxRJj3U50Xg4ACMpvzp1qetBjfufLL85gh6
rkuwXI5dBL5Y532B7Xw9zWaiaNxb9rZ2+d6mE/bKkPAh6NwrSaozjbAKSA8NMrXuWD0If97mRsC+
ptF1VTK0KiJpqB2mMy0BzlawUmblfZpaVoI60x1u0ojHmem4XSwYLkiVJpbv7GpL2BtmHKxLrLC8
RUXcVglh3UHbTGSkmxpg7kGUQpZJeEU3UV+9Ms1ThY0scTfKrUYDJ5IWdpZZArMJ7GKD1Sq7oWmw
N0VFSS/B8niVsydze3Ttih8cix7yZsbKxsHuklwEpwmL15Jo8m+xO83fzOEAaKcZ8SqiwTuHWBvW
TBos1QIEnUoKij6ILn0B4b5pIJyr/Bk9wF1phVBxLXfnzfkn9Legt7EkDQHDOoUvMcUEsm9sed6u
LXJUKVHbd3MYyRis1r5uGpN6rLtxnGoHUC5IsIwPzPyCnX0tdKC9P2ELnWOvxHAZbXiDCNpS8Dnr
sfoxpkx8xKJa6NC9MybKWshN1DvYLk1FhkWxfGvZTpFayrE342RHAvgQqbEjJgedpS26Q/R+Alsd
ij2yD1jAg3VHI4z+2CdBCQeJVv0Oa4va/DacQgRukd0AB4c4Xi6iw7IGOxwkPKBw3Ekb2q+N7Idn
dQqLi6C4F5pmY9ikkMnbY4PEiFyTIwY2iocsiW3Gp24Nl2Ah5INe4yYcq62SEQmUcY2iBMikYGXk
qV5DKgPSKssaW2lbtlXIsTRLiEvCelBrwMVD0qUkHZ41885wFbYaWRjKwWLLz/EYIbcl8jLVGpyx
I/WMGeM82uI+WqM1NTI2bA3bjGvspnR6ng1rFIcXzUuEbE4BkMSsYR3cUf6iQXpHrTEe7NJ64zm/
R0PfJ8xiBVa12m8u7x6wSjO1WAWZe40FYZ9WZjnWh3ENDE0K7eIaIXLWMJEvvGfVjUfpBG/BIo8z
UkcL0kfQvRC0bOnZrMGkZqi31RpV6gL/iL16ybCGmCxS3IxrrEkg30SCO2Fl3hweOwSfojUBla9Z
qAahKD4CX1WiukbcxEpIO3zoLHVTrkmqBpGqguZt4iNk5U55WiN0ZVn+bpGwINWaxwJiGiUDIlpV
EV3AGt8Ho4CjWiTaw6dOkOka13SXqJfnaM17qXpIEFXo1xBYtcbBoMyc9LTsI+TECO0QGHOcNFwj
ZB0vb1VFX6M1XKaNLOKmDx5gDjZIZyGCNrSorm6hsrrHWRhHS2WweRJrc7/oc//bJff/3k6U9Z4h
f11xExiPn+9Kg1v8/Vp515/9o/LihhS4k5cL8cBBE7RGCr86BZAqIJ0jnPgNlviqR6C8rthFRMFy
fSmvf1Re3McZkx52m4HyX3Hw6J9UXrJyId/NrmvlXTe2RytMAW4Diyx+HB2jOlgirCkbz9XIsVs6
GfrWPlTG8Q4NkIUyKX1E50oGl89Yp7DBavSS1iO2HfhpgR0IiPSX2MyljiI0t6NtTnMOOror/CjG
2knsD+UL1jKrh6mGbly7e8r9GHsmkKFZCSdjDn6nfeRQ+j1f0BnWcKqnHGhnHkQGeyrcdzdkKpk+
p3Ih6CNE5ZJsEFYfLyHEyLIME2+N50Sy+DD7ACdl5c0ZvMQ6tYfuzvOBvnraIsg6onJiuUsyTyr2
GE6RockfK4ScFPGBckuZUj69+lpAiO3rFEsTPwLX5Akm2ScfK2BjP/D3rgkT3cPqxqLjJxyX2zDo
liRHyKcIB0S/ZL0j/kjTsQ130iBJPnsj5tbRvM5t/lorc7ZbHJoUN3/gdsST2hNbIcweBjtW4JkJ
y5RGmJMh694YJv3UOM1T19ISlzJ83VyrT35OlkvEPl94R/MjPF9sWqekxoYyP7Oa0Lkh4DtSD3u6
E452EIysgWA8iaND+/FDGI0DELF2UJt1FdjiBTzz8qDdVLNrJxXWdmdhUUD8jJAk1aSRF7Mdmv/H
3nksR26s3fZV7gtAAZ/AtKpQlq7oyQmCZJPw3ufT35XUkdTSOfojNNdEIXU3KTYJZH5m77U3GREL
Ww/1NqUGI5geJ8Kq7bIYaQUs8UVPwqDUu+SU6FW+8/ypvzOdUT6i3I83lQ5/N+ty/RJdM3rDKcte
qhaNLQtpl7uqKG5ZjzQ3sWsmB89o54vGD63NuOTV0cQwyW7GttOLcCprhYeeL4ZW5uZKFnr4PnuJ
5m3AtDeH0tTPWeUbQRxP9YO+8I3fhR69jJb60Zft5QOUQ5znAC+GIMOMvhQmMEDlTx+VU71rAS9j
Xe8XXEVY2Rtm5R3Wdl153LVmuGqV6z1U/nehj4h3lSdeKHe8jU3eVn75ptCJEFAOeqz0cMVx1il3
fal89q5y3Es7MzaVcuEL5cevvq35ZnInfvXq49qvlH8fCcn4iJ3RO7hVjrtf+fw1D8d/h/V/VgwA
4NWbWVEBvs+wfw9zZWT5+8P8rsrfyuq/j3H1UT8f47AiDF5ysiY4zP98jOuuZ6lQ1l8jZH5f+Hqc
/b4BFs9Cp6ZEbz83ULh8hE5fZZPQYjGn/QcNlOHxmf5yjAtM8wIqNeA77gy+9J9HkLZXpK09mMs1
bpb2RqRLcZsYtXiucts8LuqdWwySCzzGhJcTVmgeet5NQ72lQr2vsXpzIa0lJ9evwkBoPfs0UFSB
h+kzV/XLaBnhBfcSnKC55+NHlt/gR3sMrBVwRc3zj7MpeaX6uN8btZV9JLDud2lJaaQvEkNE3c2v
RRxHx6pByGlrfboxS3ZinefVa+DQj77ZrOPcelvCQhwH1/C2faVNp5L3OsBrg3WhR0Y652TSWAPn
U5Lh53Mb1LyJs7dc5f/xrZ46OpU9W7k0/ayhUtiMg0F6SBl9ibR+iWeA6DiR10lWHzEd+Os5LbOD
KX0sM7YwbyIjetaz5ZgMVru16/LsVI0e0Fxpu96N5FFGg3XkkBQB3pmToTXdIelxwepxbO+yvLRB
p5vh3jUg8CQ0GMcGze4qrMazbKmpSYLJV/QOEjqsE6SZV63MyL8iGiVbjUR5HLVBi28TrO9UlAZz
/M6kMxRTfWji7jiY6WtTC3g5eV+u6OqRndHyxVEje9z7/MAQMrU4nOgNQ5rE1NYYkNI1zrSPqPfo
I1VHOarecqbJ1DK6zUZH6VWoDhSe2TqjJQWNei4E8ulsnncmTauZTr1/YatOtqWlpV26qWhxdYD2
iFuSQ03zO6suWNAOh6ovdlWHDAclom9xUByVxamjjXZUP93RWI8xLVmHUBCGN103fco1dut9STs+
0pantOc1bXqs+nWpOnc8LTdLmG4lLX0hkx5cVLH1bWTrUDUvnaXeoLN+8CxCAySDATfEkQ79/7Uw
23dLzQ58hggwUncVQwW8+fhvwpoJtZo49N+lMfkxVQcZFaCDrdAOaDygPITcOf737SOKJLswvu+k
QV1PtbqohLqyInV5/XsYf8tv1Erq/ziMk8+2/R81tfqo3w9jfBYcnAaXofPXwxjZstK9WJZyP1DR
/qG+8cn8w2fBA8DuzXJ8PuFv0yyYaz6qG6gigimUmoH9g8PYVF/anw9jjglFMUEChCyGRd+fD2Os
XUWMTUq/5lpg/VPINHCN1yr6ofs8q2yEWre8SLwRNM7kmxdTza+3prh2IbcOTb11veg2H4bXrpNr
fdHo3LL4uWydHW/+rVUCcyVRAq/eCzg43rG5D6TI4HLhkUPpM3KeDA/1XN4zzoIR6Ov5ummMHslp
/RKmyQZM48lBrwrn4U1yEhupfDZtrVkXc3+M8eP7cyrAMyT7bsAKkpbyGef9Hnxzsraz/mYW8Uta
lA/Sqy78tHlmulisMsf80qbyiYLtMTMQJONR2GI52EohbxI/Q3JCvg1k+mE9UQp5CZZQK/QyDBfT
gaiuVaYtmBRKeycabdt2HJ5L4T02Ew6wul/AuQ0YMafQPqU6YOt00vbuhDjASIDZDgjiKns+mEge
p9q9nerhlnFE+5A7y1te19nabbxjFOtPOugScInQGPT5MspqZzVFQguctNz3o5aiAxhOtt0duAXp
UULnuBg/cM69RuHwsHjOhBuNg0N602umdyrhxbrMhf1pCbagiMIeXIlQYtIx+msIgYhygiAwjW4A
VH+fdsvO86agHhPEn3zPoii3NxOEAWY/WdqP7RXESSMOQqh4ux5O8nzqK5Te0q71/lB5XhT0AtQA
89EUC2qltwLYnA1VA/Bu77/lYzNh2nfMnsQWfS5Ws4Uofl0wt9gsOZSRKEbPUNv+ZTE0Dfe29VHG
iEW0kIWMZSM/Mc2Kf5v0zSS7D05QmyyN5ovFo0tyDUC4spArYYC5ipzsVsh6OQlLXGkxenUca3wO
3V1VWvycz/ZL6c1AJuYRBFUG9ApxFARq50dad1/mMn9KXCBEMeSPEePpFd6pS8pqOHydeWpLLQGX
11sBQ+Gb2bSijeVneztuX0gyITNIs/PACb0XfIe4RW0XdKCYfiCJnFZlPmEZLHp/UyZkmehU/5d5
pF1FL/m4KaPoWM7pD3um2yt4XkrsN5k8uSWFSlWfRyuNgzibH2qbnAiXYVkeYwnCBoCt1n0K0Svv
HH7FM6anSDbnJMzXQPI66C8vZHgxOFq06oS/UiYbPhU4IJFtNMhV3Ib5StPibp23MzyFiZ94Gje3
AyruQwYgHWjLlWxR2Jf1l4uPcZ3TOOrbZsnaj3/vle97RTnx/v5eIV3ybfxs37r/rvPVB/58tahQ
btcls49//Fzn6/BqITtzVbArUWDOn+t8xpfwpSCAKm3JT4sS8YunHCpsSGDDKLTdP7la4F399Wrx
2MUgl3KRdZoop/4yrikjD3/A6FXXOtuMfY0dhAGrt2qt6TSIcQGxZnYX82BWO0uXeETn4aZMbZwP
ZfHeotvbdFq3xwPrBL7VLutocq1VarMhwHMBfVabzE3cexplnCs32jQXN03kP8UO1RCTA2s96/JE
jNAFzMW9V/k4KbR41yz1U+hF1Vo23qVsF3xhVTbuicE4RkVKXIDtHCWrYFQY4hIi6kPk0Hb3iXf2
J16Qsk0gA7RvJiIr0lqix7Fw6tVEqh85VmJk4SIv3VI8zSFxR0zanv28enLn8eRnBroT0C1Ocdl7
U70m2eahbBFvaQYJZeF0EtK+Lct0a0Tai5nMa/CY217HMt619UUtqmcq6Cuu63QVO/OOtAT4uq79
1udYe8s5B+Uv+iBxZbyC+5dvrHZWB2GzBJ5XQvwax4WQuuK6nWb6/MhiQWEmK1zlV5MSlUZyMnbM
erap22CWH1MOG6R7milvrND9MPv6PhuW7eShn7ei8ma2WaHExSExi54JWHfjDuIhbsIoqO3l2U1w
IyaTU1Ny2tk6L5NqayVLtylNgZNJntu5FFsjzo+zkX/GKqfB680HN24N0n3McO1W/nU6CvMqD8V+
9qK75sqO2WPgxZu8k7sw7UMMuk0E+xubOX7SU7j0Vj/u2sF7jl0GGgOanFVeJTuspOUqK6oPGD7V
Ju0x9JmNsc09UEKK5N8v+wQxihIYvret9Skck4WWHu2jxr5SGT/zCKl0QfIXpFxNj3Q/xJmxiKYe
QDlTNsfCcQ+5YxCcFW9bL8LeTqZasMyzyZKLFZr3bT0snaEPplE7J/X0w5fZ1K4dHYiiDitANjY7
IugB1DYmYsl677vKo26iEC4pFDe27e1NhSAgp+CNtK975lcbJlKBroCNPLo8R/5TZY3WOlYwAxw9
TZD40RxkAskLPm2BQwP8QZ9jA6PxuPVHUkvN0ALCFMNvci/CsTNgEYFRyCNCQhAMDIEH9mJrKdwC
A1l9qykEg05s0GmByoAI9MNSmIYeXoOnwA0zGW6HuuPvEvcT1HOJ696GExDp8rqqeFNSBYGA8ngT
QoWIC9IDagWKcCFG5KX72kOQ6KpzYlMrtsAlPK8ID7NbXc3sDVcjAArfrH7YXQ4BATRFYRd1IIDU
brRZyza1IlhMjuJ2NE60iaW2AzCQyldTIS/aizQ9oJwOkgq5ahPyGIxF+LYoVoa5NJehomeUYDTm
2t6XBhfhAmBDi7LPbOCVMREgBTUQjs7Hd6yoHICImf3l+T1ZkF/+CLojmnnuLEXzqMoosInAZO+K
bG6MmvJCM2fn0oADoiUFYNkRuBLph2kgfBluZgUOGUJWNFELTCSexsuxzTwKZ3a7uZ/cxS1Ps2NH
xFbkXPx2yE+cxDVySxd5rsIaYK1S1nbFKNc1RBOL4pYqmhcrlmh/NQU+gSsZbtl9pZuq6e09s1Pc
dvExI6CQGWFzLmzrlENS0UP9PlRGfcMcj6Gy7ltSzmjzKjZSTMKN9jnznW4K3K5003U3pKdhGAFR
9qNVmDAoQhJJ0qRjhBvF/5En/Tv4s/7PmkDJSlefZdL/j+Gf+sifigKSnVnjIJ6g1PjT8M9APUGX
x+SNokG5Wn8vCtxf6E9xRagEB/tnvL3l/qI8svySy5bHoZT4RzWB+LOWS9k9TMcgvxoIpgIH+X+R
8HQDpnjWptoVnv6UXJ3DmMAfKXO3XJUEFm0zsey1zkYVFRdnnQ38ekzQNk8NGXJLX23ytAeWbRBW
mg6cnK7LRGpawk3TeBNZnd07eaSPhAa+1npzuQyYVOmzL6iF28DGNBHW1gPr/l1hFOkm6vPb2WT3
6TTWh4uNbxQuoWWWfvZ1DcKjh9C9TdsnfRZfXHfzNp3qu8JMH4RRGIHMeLsHTUhm9fSVA15cpphg
hrRpmxJOSiaPti2bbICG3eJfJxrTDnHZwxY7xlJMyYaFLFOfyUm1TTjbr3U+ass5nUZv3LLUmgqL
hUhf3Q9NqtcwtQ072uDcxZQ7+fBx2bsStYknQh/EulmsYHRggkHmvBnShTARpmNFBa4NEfyPXojP
EO/NKkw8Z2X1V/n4YHa44cNlIlHWH0B5L9WdmI1sRT/8ilUFmLbfmtxhaA26amRE1XXHRi/fGzNO
WxBBcaUHzjIauFwL2zw3GblTZSwcmsTsXo/HX+8dRGD6Ztbt59KuHvFdVte1nKsL9GLLmojGANrB
tRXVhzKvrjqj2xUMsXJfHEEoPZMEZtSrzFoOlYtFs7T1gzFkrI/4ewdWz+UasnRY6bm01nw9T2zf
kiPeQY5pvn00PiGstskqrvE43OdePm6LGheh74qTXSQ9JJ+pSR6zTjOx0eYuzkEDZ4o0l7PeyQzl
V4fdLq88uAL6XTQu57AhhlG21jV1JlG05r7p3LOTikOYy102DpyoskNVGsFiKa5nHzT4bCpc+7i2
2UN2yHzj1CGOt8BfLap7uFKsu7zHQgP14LfdHmX/fV3Ki3ZK7tpieE56Y29gKMFsGNfMBbDEyMTa
zePkbElhMbezWC7cstJP/Mg5w4f0ExPFamz52rQlcgKCn8i6Mkl5lGJnSefVbAlXVWi3fsgvZRTe
FhCKD4vTRxd0qnfJML2XGvaV7r4dDGPtN/45itNNjRW4rOWxdY1H3U8nCDjprktaCqeUSTYNcdJl
r8UQoUIR7lYNQVZWU2/iOkI3osHxaJbpzQ+NKtALTD+uvJr08TrWvSfTnE5Vp7FrUigN592qdXej
h+mdjOLrCQ9W007QOozHvNGNQDdhdJJPyURcuwp1f8dw52pIem+FF/h9DO0iQN9w4ROnuELAdMpz
/hgrrqkf+tXUFgcvGi7wkp/4kzKYZ8s6kgDck0hBXNXWSEBFupIY4NuYtsoEdR29pIkZlA4+4NbR
vyQtCQlTL50/bScfRKjHl2B5r71XMqiAEg9faGMZw7rvrX0b1c+LIInZLMjLmmz3wjOHW89ocqzc
E4y+1npOhvYwkXWea2O4qjz7bKXRgSXM2SzZuS5yvHRGQIpU+7uwbL2D39b7OBOQ6LMnfGoXkd49
iBK5BXbU2z62N2adX8bYwDN9eMoK+65N+FkU9fhhF7xqOmbk0byec4Ca0YI/OU3GfW42p8Y3b3lI
jtWQ84a1/TWBidtRsDPkan9m/7iRpLRtx06/qfLppPnGSbN0yrBJO9hAEPXW3vYtlZGc9hNbZerb
i5lsjz6X537M+pUomkvLak9zzSPrUZcUXf7A1uU1m5Jr6rVD39qfHbTruHIPhhU/jl1y53jdPbPT
fOW4VC4OiKbRe890EqoLsKuSXO7QbC+WvkQBYPKGGdNlXGWnRJavc27d+TlrAYQkUNoa9p2uvsOO
tyUO+topqlMivK9/5xXf8wqL3v3v5xW3CdOKLvnx+d/zCvWBv5Umhv0LzGsb/DVWU+bXf6wlDYwr
Al0nnA5Vs6iN4G/qEht+B+gOz0VvaatR+B+TcOsX3HaYM1GLqrAe5g//YBL+LYH+WdYpLGa/RAFQ
PcHtttTI5OetZGwqZclgmZdt1TC7vtBQDxDQ4Nt6VwCxs9MML4dpZZvYDXlvAK3JrbEshliRnuig
H9Tz60FZCKhAtIND0O/lwJx4M5ldeSpCv7hbrHK6HsAeX6gy74Pk5OloFlN2ZxtTe4K7RWxzP3NT
MyfdV/jltkbaOgTwkO7xGmOn8Cnj/WzTco/Yfr7LTIOjNC+d93F0jS/NSiSKChfNuk9CxwomGpej
xxi/dkGkmSn9g54W6yQW2U1RDOG9mfqwOmotj+904MgRCB9hNPKA2o/JMN5tD2slaY+Ryf8Qv8Vg
rkbDNiDqAXWoljf4nuO5bYnXQzbZmvYmlO6oX7luzcDeIbr6QUsl7KZmzIRYz0ohwRlMAjZW+aV5
zQbqM3ssWAlAddkIGqW2JrS3r2GjlE680cfWd05jbbVv7AJcqEcx7DqMUdAEtGZECrMkpWURLNCl
hyVG6QEW376VRjeKvTk6CBhE+tFzeR5rN7TkpZM2/cFrAPDeyhTh4NI6JcVDzINJqLdPZrC2+/dE
+HWCSffw9ycCbPOhe/vv40Dno347DqD24D3/XVSgxoc/qc1AelLek7Zl/yoB/+088H8By8RvoQPD
56bE3L9vxjyMcby3vynA/+FmTA1C/7wZo08yyEP69sB7LOr+fCBgZY3I9g7t60zWYjlItyqs9zG2
+vDadNdWUUDh0UySGhVAYYjvFhsPUcaWiyEXOmKDdMjVlDdZAKLZRhxc6HudyJmNN1tgc8bqzVhk
tEYV9Sabbt4UVtxhbAFlT7wM44n0Jm0IS47gjdcFiZ6jR2Czt0hgHj64H7hkIaVsxhJJK8aAGzvn
ZOpPQ1n7K0MkT6PhnhOr3Lk5Sk2Aw+Uod0kDYm3UC50VTnUmA/KxcqsD4xos9zkRomavAckhQhrM
h3zz0/bsuo2+H0CMwBM0b0y9zy8HW1ZbdhvlBtV6RdPVfFlh9AY+GDGwJoJ++WTE6KAQb4JRYx+S
F+XlbNpPdRlBnmT2ube7UqUxMQXNaoMQvIqxsCT7aG2M84nMgDQwW/k5cAIOtB6GP+0MRN9dXe06
qwvattqAXUEDDeNr3Y7WZw9zIpvAJ/r6CoTSRYmrXyJtBw0XErchevzFyb2nABZ5Xu8LiBZzld7n
EC76vjzXrX6KIV+QBqViDYozq571oOAY+py05a7XkHd4bn00nOK97GIopCK8AL5yUaoAKvs7i4rR
ens2ZsA8r2mbR2bQfSdXAYNeavpNYBjk9urPxIf4oNLH7INtMRSXdiJ/e/hAE7ilo4/Wk8dvU4Z/
MsDr1imKuFUxzvt+ia/sEgI7c24q4D7+miBWw4dbXuj073s5n43ReLVYy+iVfElGfESu01mBiOwf
iTkfJz1aXvMYAQpRMmJtW4yvx3bkSgBp6bRnctD3AgT3xSCa+yXhr0XmC3zayLsO5w6qfyxBRBKG
GtM4OZnrB7276Hspvoy0sgPF1ht7It2Lmv1c7plXWYRL29GSY0vc+FwbDrS8sV1rVfwRZY1c58MC
ZnwCmpsu0c7UuheABvuK12ZdemjovQVLBcpwyKEw8gySjufJDlHzaygrtOe219FjWgZAlPTBCWOs
k+AsIMfC7fQ9OgnIfiITa4Tgx5JZ1SouauSQtL+xm311cX9dF/bb2EHiyWGGZkt65Zn6qUa8yDLN
P5VTjrHdssZ1agOjUTHDbD2nXTOTY95j9VyZPlKtzHuRogqKnCDeLnqxMqu+k2zRVlrszQrM+0BM
1N0MBlj3p+cmtpGfxP5Bzs2JEOP6FFbdswv0h1DAO811D7HlXWskyca6+1nb8qoo2n1W8WxKF7Ff
bZTDZjSj23EEmqNXezwSuzaN/SCbfXDk4+y+dmN3IFVruA09Aj2SMt8Cpjq5fZcF/15tv15tDKX+
/moL8v+3qVrw2f/jduMDf7vdQKuoHEciXWxPceeog3+/3YiMJM4JhqapXN+Kkf3H7aa7gniY/0Tt
qTvxN90H+jwd15EHL10t+/7Zco5C+a+3m8fn0bl/mcPh9jT4P/1c7jZRODuaMXbXOoOZSfFzR0C6
GtjPlUi79kaTirJLHvOzY+Py8LGHrHqhCYC4MOE6bSwRl8GSyyQxwDr4XqbwYtNyIK1rA5K9tMGv
FYr3S+52i1ptqLCx+OO6UVzgFEDwoEjBiJRj3mPx4AMRJriYOBAJGFoAGKZAiPYtyOE+mZ/CiXdq
TOs7zAKAm0kU2Bt69EFKwf1s6SetGK4qnSU2B76x0tuU2s5heFQDPM6nZLcoAjL6OeYk+UvYm3gH
6+4UA0vWxyjfRo2L0WFy9RXAtXcXzfa+V5TldnaWrV/Nn27lfkLcSDcgx4ZNB5zZn61nnLvlsR7y
aoXW8s0c43OsiM58mR9+WVxnjGs8axRrUjyq6nHmnGNaZ+wyA6ClA72Sln0bVZCWQpYNFMqfbm4E
syJdVnm9Q+PwQ7TT7eRm0R4BtsdFgEM8m6TcpInmBoM2X4t4slYJPM0EruaoAJtIhrA0GUj1SoXf
RC+4y8fpYLn9a6EAnY1CdQ4o2qWCd3r68ujl6eTdzB0q4rqfJXwsz279i1irv+QQE4zBcizoUgQW
1cz8zFb+jCJhRdokqX+omyU+W5n5ACsK2vJCvWASjyGjzHqRuljVODr84X5w8+iKy7Y+Sr1ofYhv
2b52qmBibGGwGlqhFWLVxY6QeVnyqHaHWFsGb2Up7aUVMUWpoQVsnKonUUWrbqI0RLiHAwiP3r3Q
UPJPKYzyYd7ruXu0h5JvMcr6MJ2faif5IaziItRghpRGg+qlxWgitOHNLjo2RLb1whDwlQR36K6R
2C2+XWEMSPemzuZRgLuZ6fY00yLLT7mRymyD7IghaHbhhoK4GUJavWW5K2T5heLHC8bBc1cu49F1
nUXOCrXOh+FqzyjEWJrOt3ncXyyjds9C+rUnkZkcen/VDNqpmUGLWOHDXKanZSr4aYXmY1RwWcdt
eB/O4tSnfIdqMwIeUxONnnn+VWnaL6GYHlACyFUe5SiDNFQgItHfO9u/ndr0KqpbPIaKMC9GNVS7
tWhGV0WYnNvOOBCRt7Yx3EdoPwd3OtWa8x4t/aOHRSwqHeiIjkpM2lttsap1YNxZtzw7g+ft0khD
TpVQfnHMQbJtNOwNCuEWzkAFGN0/t11xtPzxMrPMA+PRx6EENzhqobVurOlQt06y5oEFvKjlt9AJ
32urAGWW5Uw6XW+HeMgK4I15QdiT2IHpA7u5T3Fns7tO6yI9lKJezx30bxP8ojpxOaWYMmb2eFPR
srLp7fXtwPA20ukdDaodnW8BZ9LZWtzLdPA/2HyoSsN9MF370rKbFNciNL1xqTEEqCOujSXcXP3O
9MttLmK2x0qG2YHCRE+d7wtWrtClWKFjhVu7PG+DjO4M3X4XBQVnZHqXJOuFuygisTPt8ltDALRs
Ipx/iynezURkgVHmUHfdGmSORgpGYtqqtNtmENvaXoZ3aSMZebbGfZmMWCWp7z/qWLtyq3EMSIQD
7Zs8TfF4Te7QvnC8L2bsU9CjKgCFqIOmbGrcpJ2j0Rp0sngqIk1ETLqjZdW7YxXg/Dk5XnvvK5x3
q8DeUlavlUx8tvmjhatMPocjYG8xdu9uj/xODu2NneRXMcRwC3L4DEHcUChxq2yPuTQDuAR5MPTO
GXL45eBreFIUiDyFSO5BJtc1vB2tgpU7MBsIix/uLTjmyLCPOVzzdFTBVwyR+Grks6/Y583yWDjT
uZ7SG54HvglQ0gto6dJhj9krqOaIhBthycDmor8rYawbbnfUYa7b+vxQmmw/bOfGhcle+3aJb4W3
WuHaRe6iwlIId9/FApEorHupI9DmjN1MSb0vIb+3CgEvYMEjgAOSrPDwjgLFQ4sHGV+nB6kg8lo2
HcpvrLwCzANeNQ/YVpONr/DzlQLRZzrMJSL/jFVExhO813T1b1X2XZWpSOK/r8p+XY+25Vv7I/lf
/gj10b+XZvYvCHJZdEJC+HWl+XtpxiDS09HRoIGyhY5D4Y/SzOF32IPCBRagn75hPb+VZhalHhMJ
sOgue1d4Of9kEEkx9JfSzDXgNDiuAI6i7Bgqk+Xn0synMCPQyoqvNLCaG0cNyDy5WAdXDc1QNjE/
6wFntSuX7A2xBrzLjC2cmi7F/Zalgf89hSNYllyzpo5mqho1qJu/Z3YQwdUAL5qJ+zBXcz7ipqUm
+B71Wd+K0Ox7Bkjt2DIQ7L+ng17P3KB1MIqCdsPQwe0u0/uiYo1o91FqrnMA6Xex4RUwyFPQNnUN
Ca7q826/xKgTc2cQj6UxcjuwLyL6s/DpjiynlsvaLqXBAAXX3JrmybuxsrF+sWCUvmhODT3XNwCf
G2MeXjOuiTyKkzS5xDHtDWsCEyC1ewl8Dr8yD2WkF+vCSodLXRPFlXDL8ZbJRRy0QIptevYSnZcW
Oushb7xXsyxmScSSX0kWZgNngPASh7g0Ixe3NPyVXMu+SPZ5K+RHYWoqt80mw3O96OzhzO3gOyne
FNsaSP/1RqvfOS0/kG6TzNr40nNYG0E2one1U2OIS8AeMeNRRp24WQhMmZBU+HvSwvhjS91GO6H3
8ty1Y/pq+WV39kUntmnuGgh3Ozu+L6b6yre6erqpNL6bNyXcRD2IOqUPjsJqaGj6jCG89hIzfcny
zryf/YGc1RUuQUqjUk/yvW6VPXZArw7TQ8MCeT4WIrGnT3fyok+I/2I39Fa4zZO4UlQ2qHso8JZV
obVik3lJ90zbW7fXjaYxXGBa++/J9Ws/SW/19yfXFjrs/zqxdD7q9xPL+wVqJbsO2kkBKIs+8/dm
EqUnwwGThlDnT6j9yG/NpPiF/2YaivVDwTJ+zmJyoHsi8cRD8B/Nxz85seBy/OXE+nb4ojrxFMMT
ZjpfxM8nVlaAf8ZoJa4YFR2jvhnLy34yF3edFmNdV8ibB7nzpq5bF3ERIdDwVfpu5Zfwg/s0fpmt
7q6Im2UTd2W2Zle7w9K4yXDPULGVJrvhHK22n75bCOYoMZwk4E1rNqV0rpCv9ORuai/VVNwCNH+a
BiIgzz1E8Ttg03sfjXUpQri21CCRnmhXWVh6E0uJBni2Fr0sdR/fhNjo3Zs4X8SNU3pdvLYZJ0IZ
QBdaIdQo9PLeFZq1DamwpqCbjbDnPehieAa0ECPpQ9NTZvox+Pas2idxmi40D+3llNrHaXBuHc4O
iLzloy7z+8GGSVzF9YephKZuPOC2Ja+Z8DUqMes9LlO5ajX7yh1MtKPz44BnbG3RymqjttEKipdI
6SvtusZhv0yovkphB4YdPyHn89aFm6F4c+7YaV+TSs4kVkt+gJS7Z0H9qdskvHUF3xTH68/CwvgU
oW/cT3x+zBh19rpYERX+lOx1bGYIaxQ4Iffum9wwt1WZIdSxetQhqbmPOZnLcWw3IAQPVmwRZFzE
Amy0kKtOz8oAcU1OybMcrdpUKYTFWlox6lPb3FcZgCzTyyZSBmfzgJDEWWmD/kOv/I03EEHJQR2i
IUESUvpvUVxh9hO4shgSJx5sakv6dyIE0ezH3XYOtR+OL7e5Ph/IvbiKWije0Ok3dUvyelEqz2xY
f+HQ49JMpgzdTvExxf6Mdbd85pHumeaxM3LV0ILH62wbmFZ6r7rqUefQ8YY3ud+fnYg8oSg2bsNa
Q61HLwDWpXXW8Oa7Nc8b4ZbVM2wWCJZRf+z5CfbdsAVXluxmB8myqzdVIEv7UIzL9dw4T0bXX/l9
ck94YbZO9O6xiOJbIlYTVJHDzohc7UC5aa3GuL1dRHivT/pZNgOviIG/Gb8gspEkwWTRhjdDKPdL
Hmr4vrWPttFYn9l1tlscymtp+OQ2Dni8I6fDB44bkvQ9eaxqcZ2SZrutsIus66G01sUIiaaxpwvk
vz9I3MZa6BF00iWXblpjD9fFiYxqY6f7OeAzNhUGL8DGNtI3MCvTdvH7a3Aqz6MW62te9XGFvdNd
x4P1VSwqKbWuSGesiWoVTOgBuQkx468suW37DFHSJMu9ZvN0hqoZ7fLkE4qJpKwXz87k3JkGP+Gx
wtyTt+aBAZe1oXS5iEcNgSrRRGu9sO3t1KTXSeSS+pLdFvl4FcU821Ms8OSkWZAU/o0Zlc3WzZmE
TPVkbZoWN0dTuveTgdleb/Wv0LRfdSv/oFA7NNP/Z+88luNI0i77KmOzj7LQYjGbzEgJIKEVN2EA
CITw0Nrj6f/jYJNFVld1W/2zrWU3C8gEkOH+iXvPtehQYgyDkWa+25328BkcWxTFQzH15sYMhlsp
e2OXusVzJe0zR6sg4KgJdmcfPXt2EXX4tceqRGdlmTSv1kSkuemwY1XhaYPTXLiackYJ5kLj8tpa
5nPjB9Y+0BmE14F3tQwjPqQ+QQfc4m/BEFCuyGJ/I3+pO+gentiyh79d6/le6qQTDx4SGYITvtSu
fdsXPXnmiY8seYiAp1EQhFldl8Rx6acRafJGONb7uEh8KA49cWaO4RhVHuHFJfo7DCyrYGjYQ+jM
mqDov2kjT7LRERKjR5NzSmeHVK+umUMfWElomc3NVNJ6SR9BurGgBEvh3lg+mbaxJcPUyWQos6S+
KLzpIAtcj+XM/ktDu4N2kchYi09r3WZvrlcyP4qyZeOU0Ta2Lbl3SzQmVW1vBer1MPHcfOv7jKw4
D5ddmTVfWt/Zlq0GAT3aVQwbrhMtdQk/SwNSrthTB31BTKzGfpzxTHTtlma99RrjAFz1HIQCkvsi
83dM+EjF83wdn6qUx2QYvgrC4LZJ3VtHs7ZQxyM2Zuoel/ukLJf7ZSr420xS2zqYC1YaYwlCo9HV
Ov14sCDGot/zWXo441mcB8coWM60dClCn4JqGwkE8UWE5cm79dFPnVPeotsdkPIzubiqh+SuNBfJ
hWjkW7bhEJoSrSXYt39zG4RlhWv7u9nv57U0IFDA7UUumCdXfWpeldGih6JKx11dL2csL8+J0QtZ
wFyNUBE2Vtbo7PEYFKZee6KkffNxX+RdxCjVC5QzVnNw6DpklvlyAyeAUOylQVegTw+I8V4qoV3l
bXorYAWtdVN3N1lruKvWrt9zdkMxRJ9tb9lsNlObb0l+Qzjl+nOdMjcah/QUBQPOAEMfw6lpo3UV
CfBBbEqzOYsfmiQn+i56xi3N0IVH18uLj7bonx1LAzDcn2qo26HdF2+RYwYbIyCaAAb1w1D5Kfl9
KdMfTbte9FoPtTy9MKBQoJ4UZ3lLJWJzpzrayAFmGO+z38G3j879SBY7PZVHVnqBQnURJl4+FrI9
zaWJ30IWBZJQbGpRe2w648zJi69a7X9MM62Ny+y3bLR91GXvvjZuu6Hqdx25w13Nv06V9kAc+/kS
nxXEhbeDh1BevARD9pp0HL4jgJKs9Q5ElqhPjR+vO7c9Auhh5iT485Ciy8SrO5sXPs8psqetaWLm
wxi3IlT+Ns1i/mMO8LGAxd/mxsomiggLCmAoKrcvVGCHdK62DZUOClD3uDh0DkMNcqyBkBlMj4bF
NycpFuNidiaYt++son+zsdTEXsQ6ENG67pFlTBFjWFx4QRljMEOKK33rNIv0vp0mBmkdUUla3VzV
aXAumTmGFoaSQWPP6WWOAcaj2JF7wETNVE7TqUA9WKNzJ9BqS1gLU+sF0Ql+n9tibPjR/JLlNnXn
ys9ToCGWqh7ag2clx0lmH4nhkP8++ZfSyHbVsuuQx5j+rpVlaJB1rom7JB/FCipHsdZ9Z5dlqvdC
OFlZy6vlT1t3il+BnJ7b5sBuMtIT/ljNCzQm8ijMKXO4iMf2jMfnLpYsBJg8PRi1h88B8EkHB3Nv
xfneJCFm7EUY+VZ9XbptQaphmbo4DQCgao/JWFU68peya4/im7A3/VT50j+j+JX8dUrdSbXQVoLg
+FMb7AfiWE3ML2clHGZatluILV+1aIo1yABhqWTGqV2FdiGGMBqrJzIYlk3pj4CeZWxsctaiVlve
ojpkc26R0YGS2U49Z1VQeGlR2pP1HBwSz36BGX81pyRgJx779CSFjUXd1a2FsMG/TKOhxMHEACeS
ulDnYuu40vj7qb8dtfkQsNoOkvOmJWwsr+1w7r3T2KfIpbxzhfJZEeP+YuAF7QL73Fgk1U1Vv3K3
kAuU4+Ev/fsuTe1jP+jvwA7K3ZIxYpCjv7fH4QpzF47MhB0yrcSKumaCx1l+bacCjEKiYaGpFmLb
3XO7yW9MMW7occc1+r5pz7mLG97aedLhsnO6bj+MPNGZyQvill8Lm0T3zhgpbxZmGnW2q02q3cAQ
X0SDfzi5FDWIHQct+GwdnBa0bOCPJw3WCsuV/rJwsq8kHJGHYuBmk+mpivWTQzRZXo4n27x0WTJo
SxO2rRYfR716FFN86JP0uff6+zqo2N8v+sZvd7Pr3c5xt6buPcnG/JLWxj7oNE7GIj4s0lsO2ZDD
MsvuEzWU9KgFN0lfA7EptC92UY2PxTLGAGyzszkRGOfGrFrLYrmYRombyDWe6lF/mTNxPU3li6h9
HHKAwgsZPOdOdZ5ayWMxsb35p6H/bOgVkvKvG/qL9/bt/eu/b4fVV31v6E2oAA4rYOaPCBhdj3/6
0dAbv6GQdG2ePs9Askav/3tD72KaUGR/BZ9U1v8f22H3N3ybTCfxHoOm/5uJZUSm/bGhR/HGDprB
QgB3CL3Vrw29pZmT0TdCXLLG6NsjPQprhHQsbO3Rr4Q3bYrPUw5rQnNtYIsczAJbRrGfDwek27uS
8iqZTBQT/kOizk0S6e+gy7Rn+pxXyVMUZzNIjFKoubu5LrroUgqucicjgaw2HQQ2NPO0iJezlo8r
IkReSLPhvm7FWa0vV6U70zlE7QOF3I4t4rIdfJIP9ekrq+Sb2qr4BtZS7+OZYPHBrxAcBdcMKj9G
ZIqbIivYEhnUKvXUi/soLq4026IB0WW/5oC+9Kvoeirgn7hqmxkzFV3Nrb8fXdwXhYCs5JrPNkAw
7nQATRifcmCFzbgJHDvb1xYpGEHr+RSdkQvTLnkaRNNTWtONxQKo9lLreOqSUqFVLI3hnNsn+6SL
Yh0aN8uhlUmSO6NZLd8nCVEIAhr0roMZeaY3ZXzj9d786I7ggisPi3s3oz5NMfesYyM1TsCkjs1s
m1dIQBm8dJzZbuP1uzbNum1SFey6yFogtiDzHyPQDHswaUsoE6RA9OBEt86CCMTMaLH3MQ088+uW
zrUIJJvWjnix9Gh7ED0PAb4JsTXppUfpCePVaCwQO4Ny4wK2TtjCDJGfhb3ya5QsZ+142epIq+ws
INboM+bJasV7Xg2PTSfOK12PQ/qBXd4DyvEc5wIewwXWDD5IhJI4NVadhGW72T6bmjjPJigMjVnc
WfR2G/qiN5uSw4y9E1NddGhJj8aVPgPpPhIeKzsVTpItF+CPypUupo2oMyR8NhHWQiaHoaDkmiMC
52ZEyptiid+WeYKGQfIa7ZfaORZtvXKCkrlQ67wxhGrx4umCS73vQouoiwFmBaCs+1hFfKJHd8J0
xENL1rIFU51BgDtR7OtOtddihuQ6eIQ55b/M+L6JEWw8to3AZfD05k4g1v4CEozR+Rjqs45XatI3
glXpStaClZben7npjP7Nyc1Nqrw6OqYdV7l3Imw8k4dXL1DOnqjsPBikCVMChE8qfQdDofdeRPFX
ttQ5e+J8zUKZLGNlG1L+IUlyqqEcRYPyFlXKZVQqv5HPR19XDqRSb/s4jDCM4BmKK1hJaYaD+lgq
q9I/98fn/aGg/H99fxxK+SfaIvU1328Pw8HIh7gI3Q5U41/GwYQ9KQ39D4gXa6/fbw+bW8X0XI9L
IiAJ6ffbw/nN4xJyfNvEYfOJC/gbSnoIA3+4Pbh/AMnwHrBgI9m3uMJ+HgdbSV4b8ej1p0K4cHqr
PA3nqgBTdC2/bT/Sb7sQOxl1NiNi5Il0jN402JGaspwI0k3BVaHTbuQl2hSHqtUfJqdFnTG7DVFp
Tp5YaEJLBs8rm6AfBHNalI1mqEVBVX5ZWnewr7xhCNoy9AiII5zacaZuxovUZN0LUvN2Wdh9Y1yn
Mp/bEUIvkX3tLuvq4CJp9OQQk6qJu2Wy75sKnarPgrkZKvIybZEVodFM4xkR6HLLDLc8ebkYbtAo
Tq86bI0aCVASv452O2/zTi/OU1dUmxzQ4SnTHHuLHCRh1mgUBCxMluQGNaMD3eJ0IUpvOhlsv8OW
eWU1MYmmDzHbF/Lb4HH0tCnrhGb3kDhZf2dOxPXwG3Te/CUPdmOST+dEUcLvWtJdzp124y86Ud9q
oJsPOvE6vkFCm9P3TAlJ9D21epttxcDNYNcG1TXUXoxzFjNollSQ/iOd/bTBMjIMgsT8wpUKR3ZZ
uBmFOZivwu6cs6Hp4oMk/erJcjoLy7DJ0KEO4nDxi+FyGMQbv9Ly0ASucWt0KYCfjLCOC5uYgRUm
uOQkkeOGsXTSk4OBcxcQmLjJlsA/LQ2otKIpM0bEaJgTK5ZvdDP5OZKB7mEoFJwryErEaKmJtcjI
mbAmnWAGGaH0IInr2kA6uU0bp7uyUqsOaTCqM2YU41nXiSOt/oJ/S/O3jSPnj8lO8r1fF/FxJsiH
95Z52kUaufqxSDsoPpVk4Nn3g3veSJ+qI2YICo14Wc1O28+rxQyiY95q7gNih0e0aOa5yabtkrcf
bTWMWBddZSqLVKtfyiWZjzna10Oc0t5WKJwu7K6WN0mLi3XspmYj02HexOMSbTsEc3H4z8n67WTl
KPrrk3U/FASIfu3/vTZXAQ3fT1cTXxHLNOUkcAOHD/tPtTkOJoMD0nJ0SxkDfq/NbeM3m/0XxgRL
mRLY3P84XQkahgBm2hTo31d0f+N0/aNu0/Y5V8lwMMii4rRWPcDPZ2s/EAKJY3G6GvRjDPJW3lTd
7qdfCu48GVfl/yEe8qpKy777f//X1n9VIPBT0JqwBMAJ62CJ4uf99UUwLFtZJrr6ypqIY+lWttOR
2JtYZmldJXrbjJib3VlcL1Xq+qckSbynNvZMcU2FI9eJXswmPNR63c3VoUnmc9hDG9dKN0tqMJvG
cSNlfhU5WphX2kF2AemW1W2vA8OXCc7qxruZ024fyYbisZi32KWM0LGbo1aTF+6L11yKF4382aGu
D+RwPiFQZLKUJpdx3218Mz94CYFXxtx+MGbb1Xk6hXljY5ps7GGtFfiiemfaNyPjjsHDzw3H2upI
rSyfYlc/6AHMBTbd1NHle94FCWo2G2Vj8R7VsBn8osbyqs+k5nbtFpX8edR7U+iXStE0KciTp7/O
XXmEUsVFYZd3mKSPkWnetzOGMjPt8WXKbp3I6a1z7aO023LbZPVFmcxTGDSeBd0XlUJUtZg3Qah7
dtVvYmldFDFa276zrvMJp8AyDk9aZkGp9eaNY3qk1Zr9R+aRa48IoKIQr67Kyj7zptZGxtWkq1w0
2d7VSSNgjA1mMRtKAgnRf4B/FKwTl0cDR6XFn3NVDdqNMxGEUpj53VQE0C588aw1rY3fvj4gyshO
eT8Za3ScRw5gbFlGA+HMj7mB3qys2gawktNiMtf23DAszMvHaCHbOWrAxFexcWx9Mvn60dstnvNW
p6j3JtmeDZ795ndEH6Hy+PALJjkxdUPY9MEdIt0PO53WepO+c6ZPbCCyfWIiZsEiva7o4kazezWy
TF+3NhtKS5SHPBUsp8CVp75S+FpwhO2unza2pgdrpxyuOKzvx3ggCDfvEd8nrVqj3lLFE0HoxcO6
jNAf2uSVjrGHokUZAv3s1sQWgKaP6VwwPgqd4VEq3Y8sC744XDmq9bW2Fo0UtLJEXFCltOs4S+s1
58p9LJvb0nbwuQrrMs49L0yqZOLDOn8Zs5xPz9SAXZn4fYDmegbff4enDq9/Vr7jE3S3Y6vfizhn
ZAYQZNYA9I5xzypF++g1/5kcZURpMMw8y2BBTlMTLGQIu4RO9pYE/W/y6Vcxjk20r/ltBEtgNHdO
PC0rImz5lAe5uBd4NA/OMmdXrjXdNQ1m8qV+L1BowyHNYerUX5kOsCFlX4LGj8WOmHAe0WI+2nYf
5i6osc59KIPNTBMjs/OiYnSqaTftkAUFS7i8ISm3wMYzAvPRvLkKWyJx1l3uOIQnkRJr1bu5srgU
nWLtsc3RiCqueTYVOuYEuOAp8Z33VJ+bFcddw4LW2BZ5TQ65PLN8+0Wbh7MJGEDhDM/xYOOMX6yb
tjQ20GxuKsM6TIZ2Q6Rw6Grxgync545EhMrQz4IpvrI9/0oWCRqjfgvIbx0F8itzw5zxaBaKrhcb
knLXogH/07W0Tiyc2no8edhA2kbkbKaXkIX9hGCByUfma6wNtUvZt/APArGJzO4d7uzWbOZHrXt3
Bj6Jo+ttLZuIbjq2Cf91EE0YcLJBatpGp79+8OJx3jVNa66zGO6B49d9fRLgpYrKBlizNBtvRP60
zjPOrZWo7BrZjrNYu15W7drPkW37VvEgmm7b9tPTNOUPXaM9o8S2rslDXa648JptmzcvjWkcktb6
Okf+ZbOQBJlTyhHSjI6f9VOYNqO/1rI83RZLEdzZhS8v4iK5TeP4NTNbbT2JIT9rmVniWusJJwaa
uyYQ4bk0+StOyV2aVlkYWNpxGLunwagWNl5WsY00aOo174/wZ+4eUH6cAYOWu2E31MulBufrzs3Y
HkoZTJu4rZjotnbHCKMb2AB5xZ6n2Q+bvA9tlwC50einHUuSCqNeJXfon5L1mGONi3uWx2yDnP0E
UH3fifEK6tUNEis1J91lBLZCBYze0go5w+Iad4yXnlpjvo2Rdx0Ce3iqAjITGGdE/yU+VHVFvxuQ
Py9dP7Aho7j0TZ6jAMw/3+xuPtSmbzbDVQV30TUuM//O5V07OiZ9+/E/X/G/VhHqtZADoTM0GLp5
6IDoBX9+ra6r5p5Mh+nKjzaReGjkNtEe/v9eQr2Fn4LmcD7m+TTk01XNg4lQEWzHF7u+/V+8CONQ
pJqo201Vdf38Il0CkB5q83RltXdNdT5rJ208/OeX+Pc/C7+qn15CjUp/+jl6lomxYc/Tle3fFs12
QY1JFVJ6L5n8L6+kLDe/fgB+fSX1Tn56pTwZncIFm3XVSECnJaoJ8zgUzPA3Y3FcGPX95x/s1xnv
t89AoJsO8EDmAcyhf305xqHz0vbGRB74k0EH47l3cXImi6fPl/mH12RQNf91r3Eo6vc2fcn/pNfg
6773GgqJ4KLyxShAhabI6j/2AAbkJcgGHofBJ42Rr/o+yaFBgd6uU/zzhUSEclJ8lyITkIVFzPfI
AMZFhsb57wj7EAr+8pEkKwteA7keqFxMV7UdfzgnvATizaw18mK2akBwhsCzfVF7Vh196MtSOpRa
vd5zu1sIg5Z95QpBlFM0Z5xgri1uIpN1nY8PYd8aoydXgM/fIJZ06yqIXlpD3DIPL66Y/ScYa1xz
i1w7pt7Vu4vKdT+SmgmyKKDPGmWXblFh4GeFOoP1FG8vi27nfGFldtDKvKfcR64i17OLeC/L4vbE
lB3lFFtoJFTiDG1/GSKfldvWoZpluYHPqSAZqggMRGEIGE/2KI/CSc/9qo/OijQXW6ERo4SP1fSp
raGiFgI/2Bx4iFwUfqihxlsbwoP1NHMjIkkuEV1pz6h2L2t3Lo9eMtwRpKRT7LCqZSVcr+NAaqc2
c9/Al+OgqjxjR2bGx5JlX2BC4SuxR6M4TBEG49rO5D1yB+hWbXIR4yc+DEn23seL+UzZixQMceJ2
dPMm9LocQ4xUeR1xUAZnGGyMjTvp2pE9hX7u0Aju0sR0VjFK5/PW8659GH+31IKHKZF3Ws3gubIB
Gut+de256FaCqMUhrJNFmVR0cYtgBW/rk7GapdDOjWTAPyXbxHke6xjNnW4BdY6k0e/i4pObsbSt
214m/O1GExnmhTSo2ZkYGxGasYzvRDBXoOHC9QOYGSYrD+cANsi808whTw+w1qENjWVwmWLEaUjl
8tmNB/wSosuANTlrahF8jEYgzk0Ug2STL7dQaGEI/XN6fZuU0NP/9el19t6Wf3Jy8TU/Ti6QLQbq
c3wKqC8+YXI/Npg6zDgbSgPaYmWVYHL9/eRi0Pw5ujCwSzBx/nmDaTODRsmss9v5xnP5OyeXpyYU
v9+lDuZaqijguDyWOqJk7w8LTM+oY91Ilv6EjB5HIU40vG+JmYdeYwc7KEIv7NumbVM7yQYOA9ED
x6LzByRwnhLQp59a+uRTV2+nXU1a2JCxhMEZh/a+piGcrkoU+URHpHdoWzAXJdaCYL9bOh6tBBF/
7jDuLrG213rEZDumasSbXqphuGkvybb/nOs1hLUDBIu0AqOb0Xt591wkeMhq9n+LiUzGGtwu7bZm
OafGsSimpbqNFx5BZhlRRlNXxe0usGI9xN4Qo5Ho3ZD4iWynCdlspiYydqNwjc2E34NkdLd9IEtj
MPYikO6ysbpBxqE0g2Xe5ANCHc72SENGYtcausJ6cS8GSZB8WBMYfpu6rloHedBd3FJ2O6NORH8r
rBw7J9iL/HLGbGHuGo//LeOuelomOyBgCatb1q7mpPIOiIgtffPPI/rtEeW2/Q+PaFrG3Z88o3zR
j2cUWApsf55Fw0UZq27vn55RUgd095tfSdXN3x9R9zesnsrM5GP7VFyl34sLtSbiqfVMqhUVWG7+
rUdU9TO/PqIqggZTFZeIyxZLPcI/lbtGZKl0R885wWm12nvE84BC1qUsjDCBxoHTPOvM9KLzhUWu
lDs3O33Kr3XNWgcocwsUhXOfrntPjxAL+W4He6xqWWV7Iy7ewel4oLouOk4WiZOMCapFXFfYA2qU
BTg+v8yT2TMlsU7SLZvQVp4CkiXRdzfJa+Ul7spUzgNqsAT0L7mAmBKYC4p1YQqgThgWEiN6YrOB
haEixEWG+ae1QQBQXRfK7zCiVsD7kPBd3XU1sBS+sDXp4ojK9qmdRhhy8wl8b8miuRzrVxNQbTyy
l+7dIlobdblltT+tqyLbN5m2T4G3IEMoX3WrzdjuEOeBlu4+jbU386Iu5UVl40q2PH49OaGgUR7d
GY1/XYBpDOS4y5Zro3fvp7F7JLJhY6OjDb7lNP9T6Rs8Hn/9IJ6/iPc/eQ75mu/PIeF5FkN2Nnq+
zVWkmGg/nkPrN55LHigCL//FcP/+IAbYd4hHJ56Df9TpEn5/EP3fXEbzXGwohCx0i38rA+RPQO3K
s4h0yCdWF1/fZ2T7T08i9S2nclM6l2LM4zMECk10O8+ibPZExYjdZJMSKj3M4OBTQpy2+QEVxLR2
VKqoiBgZF9KkT51U6GiWg+WeB+DKtqey4FCj+g7z9ClDMyHi8qgFmXPhqegJwpG2boE9npnMNlj8
dycbmf9IrD9IJpZi7SbxWQm8JANion3STBTXpAdwYo6QTnLFPOkU/WRC/ZmDQ1mYG07gURrFSdEV
MaUzGXKWQFT6xTgFXfCOEwgskn+5NP6BMcwtZpKdBoRFUzSWMqrOGvAsreK0gB16ynv8hQBcCkAu
cao8iz7ngY1RkV1m/Mwu8WD59SbTo2dE6y+D4sLIEd6y6GHFYA+CwAI+xlIcmbZFOOqBlmkUY0a0
5hlJc6cGoSbK2PiiAUfTgqXpYQj0/KJRqgOpryY0GVGNUQ+WTVH1ewe4DRFViBSh3QQLmGmhiLQ1
JBzLk8cFNI7fJtdSsXKSPjsMip7TKI5OIDkGFVmnVoydDNgO++NnQYXClrRaO1a7bGOZL+u4Tt7g
SLdrqag9pSF38DaOOX3QrgDsUyrCz6RYP2nbPtRRYm+s9mNQNCBXcYEo8GmaHDekbvzQFDuIVdZl
o2hCi+IKjQCGfEUa0kAOwci4zuNuT9Yf6XSkrWY9dCInRho2K2KRLJejD8LIY7e8yRTViJHhsw3m
CEfVl1lfrhsmgxT+z1ONyL4FjOQVNoaWSeBd7xD+ABQWiqLUfvKUACvNirCkGQ49RB1vM+BLqJ/Y
eoNjIvP0TVJWViixFTEhdbvXkRnKOeoBRv/FQAJqz74sDydH2jt+ftxF0phpeZ10YI5btMA2e9/D
Z1RwGoTAmJmCNxFfLNRvfCmRqKdRH4qyJ79VQ2q+igTQLa6RZC9H/XLhYbiWfubthOZjd2cEDqTf
PFpWZq0RY4NV5WuWtNYuszi2iLrUqw3ce+XPbSyxEobUN7aVzgdWAs7Kaar06PvzQs3rTBtE8T07
NnxD+jhuJ5Tzvh5fYnZgomkaFxbM/BXhr9ey8+Kwy7NT49ZYeo1HRBjytjU08YyYC4VagxXeotsy
opaIYIIIV61rCfTH8Wq0IXSQDQJYHknFymdluitMUFteqTPXmobxhEmH2OYK1IwmL4SJQyRgmTHQ
5q6GnCm/mXav7aDtDHxjqxGkfOkOFltI/6gRmXQ04twPqzqDwcTWjVBcNk+49qYNYYTuylYXJSRi
vAOotrZanWM76xf9rTHMp6woom0AhGwztZO/K5eZU0nkzq4qIA50WqZTLzcVsd7q7xu5BYE2EXDU
ZJdP0ynliVpPy3BExHadTPzUuuYQ2FCdGdLapQWstipAU5wtLYKEwF/PCT4Qyx/4CyESRO+/xe4o
t0VZXCdOasPL8YI15qszsLQQYmt9lzriGcn5btC620WM4yrPoW4kExF3hrjohjbeyoFYXuwau6iu
9+7QfcRWlIQOI6IQtzYPLEsI88Kfi7uiy/LzIBmvSn6jNPjwHIoKKk2MrBEBySOlz3ay6zOkeu9z
ZRqsdopjLyakB8a88/AO/VOqf5bqSuL01xWCghMcq5dmSP+kqVZf+qNQUGZeumkXmeG/9AU/CgWD
csClesDQ69korH6v2DEH8yYYH3J9/yti7Ps40KOYp/b//GafyNW/oTygVPxjxU6BEFCsK2iU4lT9
san2WezPtmwvJXEC7JnMwcDBVwLuIZkjKS9T272ALpqcXIcP5+I612QCwR+N9Rsrsm9EO7xXOsOc
eU4O2Tie4ciDOjWcC8Sr2rgc85JioTTCxVTEPnt+RT15rueSndpQnFBNb6PYO+8SbVtJ7drNkntP
lo/OjOUpat59m2wZ8tCheB7EQOGtabjfE4T7fvLQStIobP1aivw04EDgVD+R1wIn3Z3BES87pzXW
UxrfO+zJyabNNnk7vZIGfBEFPLSt9QWjx27s+2MZuTiaGLHZzSlKklNQzRQv9jpmM0ni4cqqmgv4
2480ZvvEoOiQckVy4WVmZKdKM0ADYSzqWBHq43OQdldJMlzEk1wTw4ueiJMid0+tieo3+OjaQKmV
JzRfw3BEEvUSMfdMXfsRH8tB64JwdLqbJF52WpZB3kP/VLe3soMQFM3pZexg4UOZYGTuvUPa7yK7
m8LvX0tzPpHRegLyej66bM440Li49ii5Vl5cq+TJk2OQZBgFByu2bzx1iPlave89glTsHJna4Gkr
Q0KNjsSLVdk3Qc22ImW+kQ/e5aD153jfwiUeD+2CPsvTbrJgPhh69GArjWxgMUBIjRXGWLZPaCuS
SG/WChCd+rny5DTzdS6HKERe8uKN8PrrZt75tTOQsFFDDK+TFQ7mV9yKII3aNtabTcdecNlEnd9m
e0C6yaH/DKuwFxVckdluae3GtuTONSDvj3N3wKSp76pmIOvKr29E1ddHrDvA7huB65w5xcXsLBgh
cRYRW4fcGL+TGUKRzW5Mw9wJE10MKth9VhqdahN9MkiBjGHUW9aUnx5mLa/Z9L6eoTGZ7D3GFifs
XHmb2rIJ+wBYWWS5ghVzX6+rmnXyFHf3PvP0jXBJbMly8zr1ZR0u2ccE4HAVaGo4Gr1VvoXr275c
gEnZrTghn55CMaFsyKN3AuUvfE52DTJwdtEO/QgzFNFLQ7AZ0/cY92t1bVbFwzT0+HCUCyRiHrcG
7i0whdqvcUxWp96Cq6y7BtSZHZzSFm+JRxRZoA0z1zvmz3Ekyl2Y/ntcB19Kad4z1Hvn/ServtI7
5D0WAUQ10POkQHdH/Y8xTBAmOGJsqfNWmUEvx6Q4kg//YM/yY/B07lT/aFdJijtz2KRx8pCCEcLO
15wkcJMtxmRA6oPmXlR5dEu9hFUKETpMKNKmB5tt7UQA9QRwGD4brrwKApquUqo9lVedEVwdafku
U0nWwTI+o+VAFNnPlywuXpNxfp0ZHwN8wyNNZATWIhjmHorAWGVlm42JAprSuLHMXUScdq9ytTmm
oNk5hxT9yGogelvGFt9cs0mTJZXbZfYVDP2rhs6lM4EVzxHxpQR5I8cc1xLF6QInlpRCwr5V6jdG
i2G1tPUdSDcSwTMpN7NKCZ+j6MlSueFRHXl8vqwtvkRcSsHEI5qSM15VPJZUMx1vD5u1bpIOpXLJ
B2566EMIa1Rkebq4vLfxWIN+mwuaMbkMaJnQQiT6KQHKUur6sVc56LkGBDDVaOHQjJ6LRL+dCE13
yuTOkJ6OEsUlBivD32xjnXaJWsciTnKOFPf0TZBkC6zOuYcw6jZJRLltpy5O4H5CSxqBcaEeGJOD
TfmLNc9elToNmL4Q0ydLSs2yKyraR/NIbPg13FvKUdKsrtMKnNg/tci3sSGL3r+uRc5fuu79T8oQ
g6/6XobArlQBMS75RSZlv9oM/1SGWOr/xhjEQvDn2T4KSMYbClOio5H8ljzzvQwhzlT3XL4jQwum
i+bfIrWrzJk/TA4dgzdGvJ2p2zp86D9srrlBZ42J4HQJRafzNskYETGJXVkiI04TrI/RWb+I2NpI
qgzxYAyGpoesJNL+UC+pSj1ySSf4dmNks9kvQBXrEubNVFqu8zazXWQ5WAOu3ZBQTbuFFnw/u0Yc
fAR6YfRcsR3Svz717CiMCJAKwryuVE4iKnTG540bmwv0SDHh2V0q1AMrb4hnY1OYcbtsbJUfs1Jm
0bAfhLEbdDLedxyytnOfG8AitwDiCFYzaH5KkBT7WhvlfrbkwE1g+fM2ztB1b+IYt9QGYKdOIMRM
FnPk569pVLphEKNv+h/2zms5ciPduq9yXgAKeHPuTqFQvlj0bPIGwaaB90i4p/9XUr80rR6NJnSv
G0kRrWaRLFTmZ/ZeG6/IPARK3tpsSjmtvJglq1rgN2IwCTLe4rBelgKJkDqTpmk1kbm15vjTHhUS
jkv3k6mLueqLqAicmj+rlZTKaBC4FZ1qPMYRXmRXNnhRUpCz1hORhvyZ8aTjZHSMfQYWhC3eqlUx
Ngu519XmRN0RE8ZMJMSGqLlSsL1U0aFulfzanDnfyb3xuOjLj8xZrK2RG2S5xIO57ao+CVTSphgh
EZllWiK/JuCCE8+DplEP+LKaZgxcpWKa5BofMebJHfNXHoshN1ZFZAJ7qSJnpdrKd26iaGcvufDp
9N1t3LafzhiGmD8Z1zgFQ6j12ILGy3vC6qqq6A5gVMn/VuL0zPdMNCDU7IO8cROR4p53LNpPZ5xv
PC+0tqNXFUEnuZnVWGCwbylLRwEHqlxavk3X+JaXmU4LlsrSxVQhd8E8qJwcFl+Ne1cgPNrCu2lu
UAqybo1GMC1cwatl1hou6hkVH1LyfLOo3hR0xI5JP24dTJojsFHD1wunMttpOQZXVkTF7p9j89dj
8y9buFPV/c//ldFH/tH9yaz3hxZORlkw5GUkqtNA/ezN8XDsWKaDthzpNu3Vb7Ne8xdk3TJ9gtUF
AxFJcfrt7NS/VqYcqyAMgOJzTv+NHo6Z8R92LtCGoUQxgnYcjzNclX/+w6Q3dR1GH6WXXokiWCzy
n+Kt2Tz9cJ9c/7rB+VE+jijtT14FxQjaedybDGT49fz4Kk3IiNharPSqr9IkX1euWlK+trNLuJae
BalB3k3FnO3kRG4JgyAmCWwJjwOj0Fu1jm/yBPKnFSenUVWZ42qKBV6UQj3XEtVXo3g/YjcVQ0yU
jberhXZSl/Gmm/Vzs1THiXwmtr0HNc3QQA5RtErVxts48ngJBV7uRPfetQnJrZ2Rx572GZzuXHwm
bGIBKdk2R1YoqIBC/v7kgMwkAyu0D6OyFNtwnJx1L6FoqcSjQYXl1sj6Eh2Mbj6GEqHm5JbxohfA
psjHYSikZrEdxKKBiFfNxJhVlYaK0YWKtIs8SWLTvqhsg+Fe2bRujF0ksG2y3Zhi2qgN93HRGxv9
up5vW4WmeqtVI4pPMMtcuoShWkU/h5S6lnJxG1058/XrdUfDkkkZbIVD1mXys7YF81FcPMB8AN3t
jNzMDgKTjHvN63XGizVHTnfU52qouEaN28pprek61lLGx9HsHb3Wdg5IpaNnVEvmE9FAbNTzGdlF
Xwpzjy3Yan0UeuOyc7mRbV8dO++holtZ2eyTA+BOMpxoiv1cQH1qomjeD7o1XHlCOEHP7/wEq6R7
7Rj6TzMdxzy5+sprkr2CZjlgasJuDpLxLbr3Q6rOmGwrzbvFOKStGKol9EQeZrO6wNCVmeuh0tj1
J09uYQ0n3rphbTfJErQ9Sz2qcYoAmrqDDeA4cBhfbvs+1/zSw6rZxYNONdp0W9sYdqNZotCe9O4m
YuDIDVOcYaoTztiVm4IwWLOy9m4s0nVo5zsMF9k6MtRr4qHues0ZHtDtup+YBdhTZGt7nOzPKhFr
qyDAIWy0e1URm8juQQtXWeApxSYjzDUl73TV2fV71/UkArYfczo/sgJct8Zw8KZiwwGCSGrZmpN6
nt1hbXj9joic0yLBju3wXbUE6wRlk48a9w+UITG/lcCXouotVIW2Hu3c4BYHgJpZw7NlJ9/zxTYD
u8NcyiSZcJVxOemFTvevn22C7UaRPde8fV1PX0ccaRAO9gaw7U6oy/MUdkFUQJ5u1IaY9Ag7QVeq
+9TS0rU2M5h0nGt+xlsLPOx6SpaIvUEIf2VQk3Ns2hAnQv2mz8vuPDb9MdInHmZgSnkDuDILuRvd
Yj56fIhUAut0r11PEJ9cJkPmVD0Rr+BnlnMn9OgG2OUJZ58/6N6pEMNN7LG1YJJChmpCtTSRBJVp
RFkTOyHa6itp8ypTspcq017qrDgQYXascveQCu1mGbV1DqymyvMzrm6/yZv5uDgOtRhFggt6qcmc
nSBUmECuZBVjBp+X8QA1ct43S1kegIe9F3MIbhGj93qOIAFbk5FtG6/ehh3y82VWms1fn7x/otfT
XEQ3Xz4k1G38+48nbzxr8KztHBJFk+nBkHszwvA5Wxd0z6e+MMa1M0BSqgjuZVz0odVNd9M0mXrv
Lm6+qqbpVrTpSZ3CdeY5BB/22ya2P8lbi9Z1jQsC6DY00VndVAvPdC7jb0Or80cK0pXZ4L903H4H
7uQ7CDjhYzl/1NEQBqixYSSrWCPy0h8bv2MYVGdsSsJyS8bRVofWnJMD3RXO+5wXd5hyDgIU0NLl
h0boJ6euTm6ne9t+nKFbzMlOn2LL72gK7RBMRmym24h96bpTu1tzFppfx/ZBjT0+12hjMOhoCPXb
6YG0M5ORH6sofdYvJjlhqL5la55k56FermKChLLR2lq4B9ZJ3uzDkgGmcEEuFW60wagXWFF9yiOo
S06pXxKi0HJR7LjX8OnUUMyqudtUaXvJ0vwW6TXrkHLI1zYp8T7Jdquwba8ToxvWxcLykjjVB8LT
EO1NyasHWi0ZeJgmHlCXZVyWNZI6tdXqAtep9pwWMykxIKY9czdyDhld9V55zkltVELuPeU91Oxl
Ves4/gU2zywvtL1Sy7OsPyWO/U1X842q0mnDxXmeC10jXmTOAjOOLkQDautSBkKbderuAFeJR1L9
xiOqg/acU8nu//pRRUXycyFiY6QAXAnHDBLvTyUCC5IR120BAErI+PlDq4v/Im/+o7yEL0lmqcZO
27OQwRIXJIfZP5Q6sGxLy/Wi6Cq3yUa2L4lIdkl9244pTwJ8CLvZeGnw1z8VDegffq5/f1X5c//w
qqLO+to0FOWszuUdyloW5/wHt+I3urt5FSMh8XvXeiKOaj8IYJfDBNsqL0dJz0oqv2yXb5XinJLe
VH18UIRhjtp3NzaddaGmDwTnjesom49Obj7bzE4PWm7YgqeprAKxOGXg1grpWTUuDaec572YHON7
Vab9hoW6ESRJ8pbzrAaNasdrTuB53bu26tNS3wlTplgq2QNbNH1fRFj95v6dBdWOS+m+a9uN3Y0d
sKl0Z6ixwtKbCiUfy3LLJEn1Gyhk63aUeWXJdKvHJXrXhLgHI7JXMHGOPPSfTQcUpKuTfWsqO1bU
99OCZUjNDhbTWvplirUkJGE67RPgG8LaZ0t6ZEu9LudQXzMEwwAUZpyy6tOgMl1M0uLsxtO2bMdg
CBeeYIanfVTgFa7XVVq4q5qcr3Wbh+caOKAciGsVYZRuNN2hsqOAq5V70cPANAwmU4vTb5UaJKcm
qlc7Yo6vFjcN4j8Mvv2q0w4kxCm0z8bOYdG5rjXtoZzj3RSCrxtacVXb3JEAN/f0dR9uo5IoRGpD
Y5nbqDZPDomP/+Vx+2/PuCzEf3jaRnZIg77wtKWn8jq6UjZM5B/H7bIn9PPkcvX4b/q4YmF6Ll/G
41+/OEObHz/Cvz3qKKRYMOlIOeU398OLo/5zib8xlTMD3lV50v16w3iYWMgnZ6MG6sNF8U9PQ5Ai
6XjlH/nVfFJXh2QTXhn1qvgv380fG5tfvxlDpbxELE8bZf20mprVkX27lsZXsXpdG/kqUZ/a4dfW
92363+ij+pPG5o9n1r+/BjKeH39g+DZCieM85nL9iNqdN9/89W/0T38GB/2NI+dojLj++PWLieRR
0hW4vJXrxuPzYFFz/npC/aPRkgE2/3nqeX59/2hf/6Rz52/9MPXkAcLwgHnb+6K4/2vqqf6CD4Le
nY4NfoHNQPK3zt35xaGXdnnHDBc5o8zb/q1zh8kk1Vkuf8HQaIP/lkrLtOXj9Qe9JAtMB0O2gV8E
84f8Jn58/BRVmzu916ILWZK0s5AI+07yYoATGn3+VAMrrKfeWy/gCx3JMSyLiKtb7FQAh6YkHY6e
xck44r5w8uOEBWO1eCm244HpKKBEeV6zv8Hq5wJRZFECTibxvMBM6jdN1MB8XHHVi8gftOGZWDmS
vzKMx9xfbGtebC9fKzQPj1zl6q6keouKMfSd0BrWfNvVRoB7rBK4j5GmPwPPJSNeMiFh0zFvU2xz
A0H6cxi7D6TT0NgkS9KtiAejy7qrsvgG1uYriKdHZYY/6UkSZWXR0WXAKS1JqRTQ4PCvEg/UOdV3
F5RlDNKyQATLcoQfUUjeZVdr1woAzDSPzhVAzFSSMUnZVOmYdYhB6bVaGtMqSfKeKDaImjnVxRZ1
87AauvENtCMYDo287Cx2GcHFFrpPNb0fwHSi+YSsqOJE6YzcOWGavuuAehaFdtOVYwvMHVCuAvgz
BgAa99OxrmDkOmOMvx5IaKTVKR0aq1b0mRUGbAvUX9K5a1jZywNU6XLnVZbAb+ukSLTgkKJ9Tzdk
Y7wzHp4P0RBrYAfBKHWSYGqMrhLUQE3tBrip6dbIRsLwZpbk0xg79WaOuE29vMASKQmppWSlVray
raTdNnEoYpuXGQn4tosMOQ2PaU4jh50h8FVHUlhN0KjwWEOorg0eYwdWK3XxG5tN4LCS4wqBpAhy
yXYlM+0lB/ZqR219xkMMCjDCywk6ZZNKNqwKJDYJtT4YJDdW15tbGr947SDzW6eSLusKdMKqJM62
xPn6kVjeRKsa7CgF5bkk1KaSVSsktTZJ4dcus3tGCOaRtmh/tDUZJ62nXZVjX/pGz6NMTzetoyGB
pxoxlyKi+q4ElztIbm5CD0VOoZPv+m7CyRyNd4rk7IZ0fY4k744FkmO0jOi7JJe3AdBLkPEENjk3
d0phPXup/p1uZ+tIqq8+dWelUODBKi5WZdC/S9x8J2Jo5s13GmKEOs++QdPXmwdtYaZGgW7RsU7t
XKyMEQBy/DRFfOb1zK0YnggVMea0mY3euHbG4nks6w70JPv0sCOFprHmx4l+m84I0dCUKDBmoGJW
FdHWWVbBbxPjdswRRycAr8KWTaAWR/YRqkOzalzibaAl3i9VeGnt+iQmr1uLqvxM+uZON+J9qbvH
wcV71KfHZYm3Oo1zrMRnNUVnWM0Mtc2ccVDRmrdqZQ+gqZth00za0TWY+tAM7vHV6wGzt+fRi3bd
aB5ZEHzavbNh5SePJjOowmI+VMr8qssir9EgLzcTCRTJPNiHZOk37hRNEN1Tp++fSraprAxj0vKA
EbTVnTGK7pFWdmQyocNvtNVuaHcGBKyXKKusQ9/VeXRNTlLk7vtGMV/CyNbDc2ohdS28rF8LL3zS
mEwE1qTzaIRRHoSS7GZW0CVZMIPS5rkLLEmA4yl8FqbYLdjUZOTnLpa0OEdy41CTAGkGJecuy2Uq
oZLh4Vx85LXXuR1RZksCXVEnHE8ZHC8Bni5qnZvWRsiqEPA+4zvZQbrIfQeoHTMe5gnDYyNpd3yK
ty74u8UTGOcA4nlmchTZbPl1rb5qE+d4RdZwitRdG0nX6Puw2zW5kvCsSdSeqvsznDXsWHD4SrZF
2b6UyNPOKF+daogDQweH6sBFTbL0uw4ntUrZkMNNLZu5JqrT2oYmSFXmcRkavuyePXHJ3LDIdi7i
yJKkUYIJlcG9RBLQOkBqtSG24p2loQbh6sBy1SjYVprEu+YS9OoUI/FZoF9jCYFtJQ62lGBYwNrF
KtUTnC64YWboscagan4xsvfQIcsmqcX2rXVOIQC4SsJnYTYxbUYV2sT6lSkBtVYElrltoVDArs1s
akFYtkS7ln6l2k+pO7ylEnc7TvlxlABcerJjCA3Dalx2MslllqhcHWZuLeG5Iq03iadC73VBhIPX
hcEb+bZSaSuB2rkENeST/MVCnJh3RlOOlxnoCc0PGyXLZpT4XsPtj6kE+iLrtfkfpw1muYMpob8i
iVGIwgEGzsL5jJ44G8CmK8ldHhZIzJy9zlYo6+fTAFA4M3irVZfllmQNO0CHCy36SD1vZwEjrhT+
NARP3A+ASsEVF3q8/Sqj/qknTcqv/1xPoujrX//Hz1//rKiUf/W3olLXftEx6jqWbf1m1f19la7z
R7pJ2fiVcSy9cP8qKnHuUjtCZEPh/8UZ+ldRycDE0D0bU67sEf7WKt2UnKOfikocu55K+WpZvNrP
OCFHizQEplZ1ITAV1ah0tWqjVJ5MZbHSp0jDipptcmPelwWodERQ8XPhOYdiSDau12/x1Vw5omHa
q1wWJQxUE/hxDhHwlCcOorekfZxV85vrweB2O6RwrsItP2f3dhteUpVQLQLyCOWrUocCz1jYiS5p
rQY5U4lq7UrwoQYBcZEoRFR2wzZGS83ElwCwUu2RwcJOXBBrE9tHDALGliUko8GToEUhkYsKA/1J
QhhnTH5MzjqLYT6IxmFQH5hKrp10DjACdQiyzMy3v8COEB5tfk6I13zdRuIfWSJ/iYmkUyd98xLE
XrPERSLEzSjA4/1SmuE+l1BJJJJBVSrqFjB3frQsZTyFScw2Ceom8Mj0IWnAvkGb0fw2Si+wv3zJ
qVyNC3AwW9y3SWMTp9Q82E50qRuJYzNGRt1JszGaUIqAsDaUCkyF0VQbn63avMoaca5rSuVsrihK
B2VbtxTFpf7IMvvWSxFehbCsVwy1d47RcMNnyfuAwi0ql6tFLwYUalg8RNpieFD8UFTkeiZc/rGL
fU/VPTKm4CYtCC0rCTDtKiTgNdF8jMjtfdrbN1mIuYDOYlzrSxQ0YEE2o1K9NToTRYRyV7oBc6eh
uASGVxTJRcvF0TCW1i/M7tgMPDOh6K6bhGw1N+NXA/REBCY6/K6Eg56SB9MYZ8eKkWJ6leI38I13
mVaus1oh/1a5zqaqOy8Zwm+LgsYXrn2r2/rZq3MKv3mYfLMwHV/PqFEM4Hir3AQUlWYqJesYBl3U
kZY0xRsgO+fIDF/mZgDirLhb/Mb22urVR7NpXlKDYk3L0/Xc4LJ0k+iGm/OkTVLpOCHD895be6zX
xdDxO+zsfdRQk7GwO/WiuyQVwJWbis5r+ZinPNs5KM28rH5EjND4wwKTTmr3SpHVh7T3nqtMve2t
9t2tZ79FlV8v0SZC21F3IzheZdOqOsuK+CqpqsOUdlcYS6+HMsvQlsZim4eCaju0PhdbEQw8RwM1
uwgdPBbkgN/p9nKOmhYLJ2isTcTqczUaNq+LzCNvt6OzdMHsxLtxMa5b67lTUG8UwnsoPSTiaXRs
dTkQ7y20Y8YqAgooFh2BI1Kz2RI3QCjpuPo105p6pSSAQsMmvDa6HieQwVqSy68SyS3uJj+co7ul
ZvFqtwj84ymB88+KjrfLKbdepBmbdsZZb2T2No+SSNYwHEt67LJLzWVgDE9OWaPQLLlgVyBprt1J
+eaY5WfVqu+4VTLfrPJHbDInyEzGamrgk1vSf6O27GZQun53iQQ7eRnL5IlV5ayq1wVB78iJGu2C
d/ADW+8UsGD+EJ2MZrSnW2Oc671RDi9aVWwak0zvxEEYwjxZgqtgn2FtNztzO4noqSSFC3Fmuand
GVVetVbr9tpLQPnSuy1dDam8gQrpyHWDne2qcvYO+DYeXNSvvPLgG555r8GS3pIt062XRquDekqn
oFH088TH4BpH0a01d7spNxO/zAd8+bm+0qU7AoaNjjJFwiQBAPVZZ/pe0rzGDdyzfgb5Yed5QNLZ
Z+S9JdSYrPduM34n3ANk80RQgvvcvS56fcO8l3dxkICo0GlXwzImPimG27hpECSnOUvyXnln7R+4
btasLSs65FZ0Fafg0GyRDEdT0cqAN3TeWfp0O7ES0woCcwjU0dbCpbWdmM+yZ4n2E6j5UCFvzDjG
nmvLmJ0XtVuSPccxexIEhpE5bZSYdiQJt/Yyw9aKbUGnQ/opgIC3TI8h/HTGtrUcot2aBnQCSkhU
w3fCmk7AJVJfMZqtAK1mZfXVWNX5vtZG4HHTrTpXAdbKeYPv/Vg13k7RlPE+XmaxGYX+kXmMOEHo
3pBzlAZLDsrun3rqV3kN5c1/rqfOr5Ds/mQ8x1/6vZKSJkpE8yyNkNdgwvpBlIiJUoc2S42F7Q2j
878qKbwROrGNqA5VT+pefhjPOb9IiKKJ4oYNkYlY5e8Ia3BE/lxJYZhGNWkiTOS74Av+cTznot0h
LEVdLkYRPzYG86Oc1Q85AQ37mKXYuI291SjKrVlh6eM9gqXChSVgnxWefZ+6ZM9W/b5I0wDEVtit
HYfgqyBhW/2QVx5oXF29iZSy3fc0liT15KnyXcevg0ZQM4b46FBhTDDtVEJbcifddT0zhEKk4kbF
i0VMg303ZnL3QfYUad4oy0pjXcdLRm9d3c+z8ghT68FgxLRSdXpcteUGUWaCf90DUHIQ4d1buxh8
ZMBER6l6W6f6NW3Woz505Tru6VTCXm5RW6CKYfk5U8ityCTchCZeMr1l+8RH/9K32muTM3yxcH6s
IZa8N2OxrHsVSYA3uUGk9oShVLG2ySAZA3JVzHk/Tlz6uNaOGvYCA8G00OLjAqUaxoOD6y6m/tOH
YzvUT7HqPSumA6YxN26yqgt6C+5ZAqe1TZeHvh03g9DqKy2EYV9Xn7qqsbpJbj0hJ3xkRNdRsdeK
+THrxFGphk+1ZcSnKjPVg2GgzwbrvVKUrF8Z3OFNpwD1i22fgAy8ATobH4u1yEVHe4lSr2G91xO5
TSq433ttykoKEUuB3jJwswyvwEQsL/yKt3iODqWB0ZKETRWiO0oUV6cDNHZCtJcwB8VisKsDTNw2
NZpQWxRb4N8MaAmg2Rt963eddQbdzsCowkwTl8PGVMPvGar4LJ9IMBMM0srpNbIrws/o7avcQ9wg
oYsxlrnYUF5VylG/HXp61YxlPVZZsDzuGYsyFgKVHDNdxDZh6gbcwLK9g1dvXul9gfVNj6Q/gHD0
pRU7pPQL8L/cpK131i7Tzy27736T8/xfCYRdjmLulaZ7RPC2U4X+OA5cNlHcqeu+0zV2Q3p6QozL
uAxicBBbcK/CgRC2ciJ3B6RmuJ01Tb2qJwN/hC7nfdmw9cyafWJ0KLIOVn+jv7ImsjBZzsnFMXQy
5qAuzy6FfE+Jig41962x/D531UYfkm9VpBB3CdgvIvPcTzEcXUwTpuNU/Not/8cN0k8bHktFr0yj
Rd8GRQEQyk8j/NqYhgx1vXbJi4fMfLes9X9drP/JS3hsL/Cbc0bCcf1piTST99qlWIQuWfddZNdz
fV96p3/uqK87Sm7z//qOqqvu9d+vKfn3frum0M4b0rOPOJ7b6sun93vDr/4CZ8349fqC8PevW8oh
jpP15O8Edp6L3/p9B1U9+VeoNaGDOXL19Dfkn6SF/HxLscZEGsHIgcJRPiF/vKXSVsl0Z9HjS6Fi
bD3Hem+9TJoau8TblGVEuOxoHRbR2C92bI4sOZUSNzfxVuNzuzjdoxeb1Z3nJdbip4YYSagpnf6p
M4TGPJZSLbDjFC9xojxOOofPFOGMy3XKcH2yr1242YLAcDGAmsvn1zFaXol0N/mk3dqdW5Avpm71
nP5Qn9mDaJkdTAOUX6U9sK2nSehwSiNw63zC3F+zBrdWg413hfhL5viUJhosUg1AA8kEnkmmsLkr
S3h7M2opWkeQp4V9aw7WbZHY2jozUBuF09VC2bn2Bu6lsrmrDf2Ftpd8zpC7oixTQY7bQnpp4hU+
2kgUR6Z1m9rOaXC7b3oBJMwu8xMw06OIM8bvoU4QXOdAy2ojXOBj7fr1kt0OTf3QmEt9NtqhWjEv
0FatNOO3oIAJ1ZP+7RyrfG8gkJzKKD+VyMgXp/4GlQdTmqbWa6G2H0vXzlgDJwrtTuzyLt2qXrHT
mFrXjpMyGPZ806SyZym5YSSIxz3ldwAGaPSjwbV2Scl/mcMkVqVXPZZx9s548sY1Ae7W+ZuWxfd2
RVpm36fmiQDOPT7zm6Rm4TZYTuzDeghXEQSxSHJGqty8jW373mzhhaGteLer8rggHa1nF+meSm5k
WTok+A1VSiLmdMQg5/fqSBNalds8UVDkmYLcFW3A+10+pnaHUsoekw0T7MCuCXG3bGybI1VArLob
s3GGKyGXY87cuf2qNfd9ZhePSDyndZuJm2XgLqO7uyrhthIVRTpkOouHdk6/h8OIJiLGYWWZ6sZp
3Sdcs9+cMPJ1CpK8oEmd5LehDrfK7JKStlzyjKDURN944TUPa3VlDuKUe9n1Mtsvic0+pgSIummZ
zKxM1gbgkuZjb/PYaVZ6qnSmV3J+FCvuk+KwmYQ4nfhaOoW+0kpgbnZl1cWFPNMjHO7roWM31EsI
QuSYG9qTF1NRyBPVH4o+x8ZaOYd6sC9zMhrc/5QmHjK+oaF4DLt7N3W+28p0bm3xoYfFfdc7e40Y
wXTItL1KSKLf515HHg3vA46A9xwP5IVBDYidKcc0XtoXfngyccb4W9NC7dDU4qKH2jXSlU3jZd8V
JfTdylNXToy3vDCKa4nFZNRN2Vn05VNsI1fg2tRXilrmRwWUqW/JuLAQqzPGzuIVf0UW9HN+o3Xh
t5x8TJ8hJ34ZpGyeu5zysj8LLWO7ZT6PdvFKNUlAHS866jdpnaxzrKhkL166XN2ahrkzauh8UMXP
gtp+VZpuuZmzcm3qMp9Bg8FhxQe8d8Yx0Qiy6b4ybaaBeJt5KclLlJE3nkf4jUYKjpBxONFXMk4j
Q3KaXO23rABR5ckInVqG6Uyk6qDN0K5iPlg+77kFAZTKxJIxPOyupqdFRvO0MqQnlXE9Pb+CYJQR
PpoM86m/cn2ir4yfQcb99F/JP6ikCFEFVLhRUuZq/1zTv17TfzmaP3+U79VbUv5Jhor+42Bex3JB
+qGrU8ohQuSPfr+nTdpJida3AGyauC5+v6i/UP46cDmP8hE0loF85LeLmuAVxEfq/4f//41L2rL5
Kj8M5REvqRZ2ftQeGP498Lw/SRcdqDMuVjHlopHPg0+Xeai5fIQjivvMIglbGOoGdTWzsajIiaus
21uvLZQb3RkUg1K8Kp3biI2xCyVmxhzbae0TC2JnfrMUzk07DuUQDcBF2kjohY79PepG/ovaYUvo
KbA2CccArzUFQ614mxZyRlln6lvUANNo9KneVBKwgYm4Xw0SutFX/L+GBHGITG9fmEYD55CYjiUe
rMNYOoc0bUmPxdhmxfSsHXQPoRN8Pek4SiX4g4YEG5lsNmCCEGHgsRyzAg6I4cqV4JCiTaOATQZz
nZlhM25RcPsZujz4vCtjhqztclGvdAkkWQwG0f3UXackYrJf6/NnLr/5TtOeEpPkbKKrrpImivHo
ejfpguMZBNJ5VildXI7GEcFLx2DUdmnRzZ5AZFfCUxyJUemhdB7KL7SKhKywslaD7ou80lIwcKCC
YxlqnAu8LcoF6v68svDikvBs+D0hh40EumRDNd0sHNvbsjOzmwnuSyUBMJ5EwYRfVJhsWZINVwBI
It8o4cKnkh/TSpIMvmOJVp9Md41KAdRMGgMZYzVTh3dEU9XbgdRvNeDBLvdlOwwcZkBgQltxz4lJ
CM6q98JzBlnbLc9aI8IbTcTPeQx7PS7t16hFbTzCEw2YnjxnWh8FYV9/UmYUfq9EpzyMSRpI50uO
woEQg+IzxnKNzLO/zJB3/MJh0m62bkZAaIaVYLD37dA4B4bBmj+k812cwk3Ri2JrxvzDa1mxT5Zw
V+YsMYqJANBmrXpdsLVoh1E3z4NVK4fZcED/4Ai8tr7CKFqkAWpH+Irh6x0BMnWa9yeYZuh8eNAu
2OLsTdtYzdE2OcSVqkLYgvgUobrYElD0IrvTXqXTnkEUHcaJkW8+RNrGMkOXhPhioxTeu650Jzst
biohHkLFOHe1g05ZV+orItXnvS55iGRg7RSLLp95eH6vpmHIDPSjV6ZjkiPoNp3THFcEfKXxtpnm
wGZ9z898cefyZBXFC9uao6UlpyJm+ZsIKzyXLnqOwq6NjYijO+LzIjI08j2O613W8Ca5MbXAyKRc
SZ1whSjkNRIjn0A7uUxDRSZByWWs9EMBYJV0Wzvfe70VuG37WrRYEXE7QJz5tJ2Eo6XYUNVv4K6z
caEZjnTGOnTIcZ3uHUKTvHHyCQJEt9yj62U//uDm6oWi7cEeVJfFk1fZyNE8+xC6yyfbqltYEnsH
ELtRFIHdTwbxRBN52JmfDsNrbBtbEAvsWzCJpJZ73WXlrVvp717GZ7jIjY/em29NhXTRoqnPc7OQ
nGP6Ne8xgnQ4Uqj4Ud6zLVFrzAfFG2bI+1E+j1qW7lsRXy/VdCnIsgCotQ+niiVLxSCbl88t9YaY
adI1Z1/Ho1GGYq24FCCLsqVY3DmIoIuadIyO2bIlvQ168ma7ws/hXiignbLYCea6upS1CulBrbbk
VbFYEdG13kMaGqLdpLrrolJOaME2LC3Y1ess2ia/4SOCzdoPW23NNNIP+/yjzT+qUNySlMoTqZLZ
zbRhJImeBVO3EKJk8hpMdcyQEFG4411vb2hbEDJMt+bk3efpoq+9HNIQGbHbwmx9L/R4AkNikR2V
xWzxOaMj5YTbIJbzO3LDbRcGVtTFe8ZMO8Df31Stp8Ry72y7/ubG3W00zDeieC/n+qNR4c5jxV05
RrIBWrzpQsKnIzOI1ZlshvjGgEdcDcYtxeanpvTsbNSVCpqkVtWd4g07t1NYGeR3KeGivaU90NoQ
1wjxwLbqIFTYdaliw0fxqvPcjWZ0ByNkazw1QVTzC5vKbl01IagRU38bRfWNL4U6EODh3Jm1zycJ
4HE8+iSFvXZlx6xMOUJC3i+Kw1rIIeDw/7F3JsuRG9m2/ZVndw6Zw9EP7iT6YEQwggz2Exgzk4m+
7/H1d4GqlEiKyjTVm2qgMlPJSCc6b87Ze+0yWvlQiGd+7tIi9QdqXqa1lnV7nzTpUw2fbcitLcJO
3MVw0rK63KS2sRV9wtHMcPCktA9dKe6zMryG2YLYpWe32XDvnKWX1hurNng7LRCP7RWNt12Oj6RV
mjM9743du0coIdtUTy5aVz34GRrwtCEwISbK2510Ix0hH/ZVWDp7Te0fcxN/UEnpUDr2rVuaV1VZ
HdPKuIY2JmYkdtG2MBZtTr+5BNmQGvGe3gr5UYWYdcgYy2miGrOHIap3sjTI+SbphCJqqHXzqps2
PSlqlvS2zIcLVWY7RRJsS9Sx+wW3fHyucA/PR1lflELQIe4oWUYsPOE3RGG3YZ0gOMEMM3Os+lHH
aicnTkgGdS5Qv5kJZbm6eIhKfyukemS+xaVdRtS5q50xTkJ6sqvno1AffaPKV44W3SRlTZBaH60j
TT2FEaCdCBw3GYPaCsPqxo3MeSeVZBmM2bzFJ2p5HSnWg1xEMd4bPz2hbVuHbn/Rp8O3XMFXSLhw
TTLchOLkC6iQArbWsmm8Zekr6RwFHmqZZp7ELBIAAzetYn9rW2NFFNnaa61VIPol5UbmnwoxlNeP
qz5Jd0NNl7M2bpCY4geF0JJWnM+CaE7+sHKR0mzMBT0sojFLNdvGSn0YKZFUZf6VJhY2qYrwxbg/
tDq11kSw/L2pPJ3+6rH9a5XPQHcvYTBpk/L+o9y97sqyhDalHEWC3jGaZdG1ghTh54NMHpw/Bce/
b0MR91NN1UCrafJDtRKprjBRSyvH3v5SohlsHntahRoNbv8XI3224X070vSXvLESZG42qKPLSNK+
9HWOSxYpUOM2M+/C5inIzF/4Jj69e3xNuJM5DNI3ej+cRAJpu3HmnVrlqW52hfc1jb/+/N59dkXs
ltksM4wGM+v9EK4Jl88h0/NE5FHYrRskNbFP7d9bB7RFZH358+E+uSK0OxxaKCxT1TM/nBgm2awc
RB2cgAbPAg2KANzp6BfX9MH/MB1L3g3ywdtUuUptmC6DhFTT6nIfOv7i/+8ypst88x609UgJBDLi
CZkwUop5lN3Quf7FIHQDP77W7y7jw6PJoyHK26QKTr2C5MCgJX4C8c0E92hQ3KuOsql+MeJnTwe5
OrBHgFQG3v/3lxUFdhKkoRqcrOKqEN6cfrPlfv/ntw74iolsjPeADIj3Y7iGpph2W4antPJJZwa2
mM27+Pbng3x26wieoFtCLJ4lnQ+DZJ1vWUFALlSZP6bm3uekCMyHrIBz2Ox09MOde/XzEad36sMc
xBT354gfHhZ+Ofy16oAsny4W7GJIub+YDCaY75shDFrDhmqBrJEUxE2+1w+TT5XpkFF6NTmFe5qr
WxbPAzTUpXHlXxtzAtJWBB6tfn5V74d8nVnfXdWHITFcJD2wj/DUmhjqqD1Kh0kh2/x8lM/vHYV+
wcqJAPHD0zJHpIU1rsGTWzhziQLbrn9x76a7//HpYJfhbXNoOtFJe//S5fC5MaWQHWxx9B1syW7z
KdABc4XhL67lszv2dqQPExzNz6ykpBmeVOPFt68M91yMv5jePh/CgJTuAOiAV/T+YgI1am199KJT
mh4NZB59gIymMX+x1H32CfGy/THKh0cfla1fDx6jBNHXWME4rCxLfWWgr4vqkxKtY+MXz+gvlyWB
kFg0HmkiIXj4CG0kltTKEwt1WN2ui/KpM5fFeP0PX7QPQ1BLezttp2TjaaZfxKduTGeqQqIAYsP/
ZojJYiXY8FBnez9E2PeJEnPSOlXxV2Xc0iT4xQB/eZW5BvKPac4aFN7wEb4fgKnTgh+HgIx9XtLg
kwq3AUqo1Hl5vZB/BdOGfPNEF8/Io19Yqevh8jl5+d//uWnQSnOrfv//tt/+939AjRN3OP3UH61T
2qA2m00q/1ReJ0HOHyVZuqqGhZfOYaKhpzrVXX9opXHZ0Ri12JzQXaecy3/6UZKd8gpIVqKMyj55
wq//k94p2dW8An/OdvjEiLVWddYi/leF1DN9aW92J54L4CIldfhyjNEY90HzBFXUBx/MKV5g8h/K
+N5QYSIMmXsISqJ8DQ5C8zJtT1TgtpbD8bwyJDE2bbEgM3MHNuQwWESoZzI4CxF9a0XLCSNrqQoo
HWGAnTxkIyGotFG8eVLlx7QX991oPslKf3DAslAMcvSVO9EBHWVcxTSNlkWHL5soPlie1AaDPLxD
Lf2UD9lt6zOlZfhf5q5p3pVFvU379L4mr9hNh51voq3RgkMb+XvKuU9VZifIIqxTqRlfSQG0lwkX
NqO0Ya6lzC4I73tMBjEs9VAb+bVDBCWj29hOdzvInENQ3a10fUQHOp1E9Y4AbZDW3woKwgs7NvdV
TbJoSlSB7bHaRvZ1Fjjfiso5IUcdQC5O8igvrJcu4GU7bx9ElH516+zRLeSxytKvrOY4vqKSCMq0
szaVlZygUW4CHz9d6D0xW7TLPLZzcCc0rbo8+9qpziFShnqRDKxX+dQFwlDirAg1pIKiWvuaWOhC
d/f0X7FRQgAfsm6FEOrCw1HhSeN6GNvvgR6+WEl5owXemoP+Q+KN4Bot/kgekoNeaNZ1UJ2lCKFM
ANi5Mtvq4Dv99zh0sgXVXVTQrgBBgikaWOO97hnXOggfFMXRje7J74002+0QTD8OM2Wla81DojSb
KkPmZBomIhaYCW5Th2vTjB8zPYxWMm8upW8IeI9WPH91TBFEBV0tWgnyWrAUinVR+9nMY+87a3Ke
GrLObi7BtDd6oJG+Za/MgPhtt8p3gZsUmHU4MJchTFeQPtdQjQhRNFZNoRdzfXRtfhPOMVFTJbLH
KlzEDW8cFDRlbo+8xEPFM0xk7sHZHs+E1DBqaq88t12BoDmPtnYRdAhyLRnD8C9cEsBjptuWuPA6
6x9sIn9nlpl/ESpggDRz5/AiECmLYGMWpExmir8RqRIuFCtK54JyHFCSNYigZl4JxdnUwLlnWmu/
JGGxt3uqorDgczyANR7EAechvj2gNf1tVhhE86Jm5m1MZqZWf8FRmCN+UwGJjyibcWXLnZ7SXKTU
7HjbWDq+tiDm7F7aLObLUoHyf8dtcOujrKlWLM0AkrzpJiK9sRrqUgu9ztHNORTBfDhWiXUiFTYw
T1To/JNW9N4jNe8lnU2rm+mUoy7zCgYQXgC6n/1MGN7GhyNy9gtSSDzH6K9ErFwgGg+0JQTjKesE
KB1QHLMqts1rGkoRTMko9mtKSjUg5iI3Jfs9QSXU5EPUCdA7cZpPkNrYVxe9aX0VXtOE88gcStqa
3WtsrBvpRgEyQlrejXiNJpJu67kLko6kvyhEYrpPkRH4+kEg71Po4PT0ff9dLn9vYrJb/4nWKPu0
f8nPvFksKcmwUTEkRePXmJ4f/UsWS5OQckE5ziQVc8Jn/lgsaVLiGUKfhJed9VRn9/ljsQQVTsaI
7WBWd1R+7J8JjZxpQ/52sYQ9ZHOcQnaPTJOT7/Tf3yyW1ciWvTEa89LT0nFfsKrnVKttv9AXSk+w
/Tgb3UaipSQzKl7YtWtlNOASfJVNEL42HER8sJtAJJSXPcbAB4JwUqd83OghZVhAXrTtxs6ImRdq
CvH3XYPLdjEKj9ztWWQpTr6t9BJOudMaZn/VhBbOQ1/JvJVlMIc0rH1S0Fagz7upJ6lQVQEEL1iE
Z5hIEmooSrVyG3ETpvJQpiYAtwTO1yCu0RXimlUhV2dujo872aWFu1e7/m6AbjIDkOnS8k/WTb5F
WsKa6eUSbncYzCOrxhjd86kHTPezxsXxhGLyPrGckyraBgu1hq2hIgeaCIUZp1XWr8S+KKl2ysm4
FDTtQ81UhOEpJqRQGPQchhPr4bDqzBY4UOOAHQG0O9essV9ENdVlWDTjcjBYmWwhl9DBhgWMK3gA
dvtN0fsdxlAktfQv54mrfut7opgbo1rBzdsEBv0DYgL3oS3zeUDgBwg90tCKbl81HFraoIVCnGln
4Oqrwmrkyo3ceaIkbFpKN99ytvZmvZ5dhjK7BtE55zSyC5Ah++S2zlpELyqU7KGJv+hDjgbKbxe1
Rkc4jshT0lFK596F7ibLMrcxSrrMo/R1Q7RSWbSyBwuLvEb4tYIQJ4pLyFWQ3FTPu28QblE9cjBn
DlqwUEzv1FvM8rpTz9WivmibNsQ4W957Gc3IMTJ2w6Cea69fmn3cQmAjIS0Nr7203TObLyIraGam
OYIrN6DR56hQN2Xk+nPROye8ZtbSLrSXLFarjYqEEBV2BkGdzEWfaONUi245nuPFKmZZXhwVP6eJ
4UQSp7QTEs4cggYAyG3Zi4lR2AjtUeTw6y1kJG0Xn/vI2GJyHmbAoEmCsClZDVWIxV1If5fndJU0
Z4QB23X3qSWRPMn6vne7O1WvbvQKSTDM2XXqO8ewMoAv02g16i+9RX8FLEGH9SsivzJSwTRildXq
5uyGiMKzUG3opnhbr9Lx3dTFdWMSR257T4WBTq0PBujWYVAQyqKrc100t21AF0uNQA1mpn+hKNmF
sJznFHUd+7hCzmWmnqmOrYJSv8krsVa07MSC3rGT1s46xIuF7QsEzIT4eqwpgZUrc+L1Vn0Q07XH
D0QSzTObrX5DZs2maUsdwI3tzFOFxVlL4mxV1+ljmE5w7Ql/GPejvXPEAEFBpdQvxnKPxWaVdNiY
XYlAmS2+OTOVbhVXw1FVdbpyGIOysrhES8fOwPUvUK3HS1PtX6LAuQ51MLom2ae0NdjdVOPwvWuR
vrUtcDfXk/qcOgxqv2qi11kQnVwQ2ECaeHUAcpLMooB1yIOBjmBm4EvyN5HXP5t+nRJomqbQvh30
TMVBVfSXiN4p+mwIvOXkijewxwOH+V5il8czsxnG7DF99dH7xdaanPU5Fnsxee0xQAHcaNA59lLf
egB8Z+PkzVdleFAx6w+Y9gfM+wBCaUERdBqHW78uzq5ffK8ntz+sij0b/aOp5Df5xAPQBrRQYmIE
OBMtoJy4AVB1l9ZEEghBCqQTW8DqoAzEyK+NiTvQTQSCoO3unIlJ0GQwgNuJU0D+zWOvQS7oQRhE
E8sAIm6G8l+Clxj8e9m9dBP3gOyoYJkOOqeS5LEfuKOqQ3+tqyXswezuNTdFqzAf6NSDPAABQ4Rd
etRo4lXZV0fqT2MpvrcqLwPytpu85IGBS9IWRlxje/PSYlWwE2shmJCeouKE79jAxO0lvWoSFUyk
Lf5xJKdmZegTOapV5GyE6sE5VFv4ttg2GTni5Kb0W70zzjJ3H9iljesyDl4SfJAzV2fzplIQmSLG
b7UUNBw9AbZWYM9ohP67S/p9l8QG5e93SZcv7fO3578WFSQ/9WOfJMVv/CZAbTpsH0rvlAd+7JMm
b7YtpiAThFxsU97skyg3SDhSlinZLPHj7F5+7JMcfp+hYpqeag2ggv5JTUGbwl7eb5Ms5DAIysgr
RQrJX/F+mwT9LtcMNxiOQXrSBmJPpDswI9bObT/KbiYGaH6OTPf2GF8T5PBlyGNlbrHeYdwAbA0j
AlFm7YDLd47Ai7J5r5hfQH0f4sa5G8fiVuvS7zRDV4Vi5tNp/jHOE9I8KnMyehMJKpM9vVe6vm7r
zKJRu+xEQfMfktmsMKM70zPHlZaRg6TSSpdEFlKsMB6i2LrzhvELzPF07kbOpiua2yioT6WjXwY2
qaMUI89JxAEr671Lt60vsq7NZ4NS7VQ7bOjxgyroM655XIT4LslO3ja2v3JMqEShka5SX7lvcuIU
+LYp3V/G4BdHHcwrimIy69OKDmHXLFiBVoWNzkxD9EzZ5htr/rGKOL15QTGcRyVBm+FyBMqr+Vj0
yINDMhqgDeEv4fwIc9V4TEZYmSaRy3gIRXxhUYdYFB2pHkrvTrDzcGF37SLWJ9jnoE84lXGmqUzt
6EGWY2lQSWmx+ngsbGfHarx6il7I2N31ZlWNt2rXYT1Hf1bAQiUAAUB9SJsLW7oXTsh4L9YXbjYS
Bt2SPW0ShlUNaxH3m7FrzWWDWGZG0te6F3o7f83Nc1FU6BbWUaRWLzlperGonBnNs6dRh/FOK7Aj
UaW5rdP0KUBr4hoUNTCwG3q1HZoGQjIEITNMN1jKlKUf5QabsPbgCCgX0YDt0hf3g25eJDk+0cQY
ngvVKG71BI1Iol+ryKS7vNs2xEz0YeiyRXTZsgbuhs4TUNVC2w1Q7alHIbEYlKGfjYl9p7Roj8xC
WXWORLHYstlmibbdbjs6RjQTWc5520uR4WOIRyu/DggSmpEpTnSVu9Ia+vUKxauybO7GOL6PDfk9
07hnblg8kFkNOji6Rfrx6CXlqfeZmvvaZgs3PlQlIAPBWksouTUHwbRM+/oiwd47J3DzoUXclKrF
cz0ES9hbO7Y0CzXIH80AA7OrgeyLREpQSBnfNHp561fQefJGr/jToh3qw2U+csCorccCOfGsbMxD
mVvXpKmshQZFBnHZWgyI4prmybC9awx7K0tNjzTcj30uHL6xUbK3ZuNfmOmewC+s8t4qSr9FbNya
Ft5o1bnrLOgmVpPOJs0YTgHWJpsS0syBy8vY1cMI75OannxOXKAmhojqObAk2JAe8WntcGOO6Dz7
LCaJsLRu8HnsEI88jrZ/4Mx+pUmS1qiuAVt2vlG32CSOzWtkFdsWTHhTuZPeqF8SN0xCo57zQak3
vMYPmJZ9poXssg4QrTjaNwcz7pLK5Slzuwg9harP2RaBT3ZTYxabUBBs7H84CPuYzHfnOkK9P/OJ
9966LeRGkvRwXJjOl96tn6O4OLlqyVnGMtxF1QlOFUPhLMvQ2BFhop9GzV5ju/PTK0474TlP1a/u
gN/Zi8bbMcv2sCS+qKl60cTNsElcR1nWkSToxAtnVe5XSLQQjaPbf8lya1w2KNvxEOSTjK9wgBs4
3AE0L8xFcTl39XI/qtaulupF0Khb36+vSw8noOi0rTmCmGiUXZZwlQHu57z2xcwYFR3sr7cI/YRK
jqUv/l3yf1/yKav//ZJ/yNL6BeL1J4s+P/dm0UfbTRuPtuRUG6Fu8mbRd6ypjWSa5JhR6vizOGIS
vgZVhz4mzVl+248Vf2oj2A5N6Ml/RefuHy35hLd+XPKB9mgmUecaJj0VT/P7JT/JYx25i21eJtrY
rkgH1xeZsB4t4CWZ1dzL2ryNxit3aNeQfpaSDN+m9m7dKdQXEaw2z1FgFeT94u8g+1frottkCgNW
p1jggXxgs0aUjRkSw3y4EV7K2aDJ0IuXBIJO8cJSqE/KFDisTtHD2hRCzMnGBWYXwqwqzY3rlRdp
h1ol1Pz7BAkfUILHEZlfnNslIWnF8xBGV5RBn0tTfejbQc7Nuj8AGcrmgx9hmSjCXdNQvzeSrL0f
hP0UgFHaAWpwl2pHyVnk4W3UxE+C7sdWT9BqkteB3HrcjIV8aqvk0kmJHzWtM9lfEVknhUMZ2Ai7
28YPHu1A2XQiu69KxbuwZL5wABskaXuphoCp44GVNbicjEXFUE4IQ/9bhnWEghF8M7O7dCYPTRbI
rZ6tEMAzAaERlecJ94oUto4eC+kXM/7ENas3ulp1WvsRMNYGiRpRKBHp6e4sM6pq08KJoUujIUhT
9maSdZushtngBs2yy8LrvDL3YGzGlW76lDLieFNk8bcSCdmilhXeoFKsS3P050bbnAbb2YiQE6kg
KWztp4hhA/Ticcp4MRpOwwNvYJVfxEh8XSVQX9jjIkP8RkgUE2sDcbAOjnHuXCYwLsyQUBJwbPvO
80FzWwvLYLWsdaS1sWANSyd3jodcdm52LVCPCAh1bFXVnIDQhHBJVv4hcNBhJ8DFausZCfYWTmC9
aiqUrPihJwPBVWeZ1dxSkc0UGsGpIa2BIrxOVcpkPk9OybVbA05XkcTlkoa7vS8UdRvb2SEP+6c2
6e/8qvqSF3TKgA65i9E0OSGH1KGHklpEFNbbdqCAzu7qvgkwU41sy+eBn1y5la7No7bfkMaTrUpq
jMSjmN0syraaDELIcCic8SZneX7USx+PnlgbaozGlxJK3iLPH2LtHI7pE5kSu1rt6LNJIlbq9AKI
3l6QaSwTiPmxyLd2a38JK2/r+B4gSBnPTLu66argnDfKLeK0rUhphkH8zUxzGxGnigfqKa3iWzMq
uKkj9B6t3GlNdmhafOMoXK/ipF33brDXG6K0xm6TO9lWnWQAg75BtHvh6QicS7ZiOXzxrhIn4evx
qhlLygz1Q2dRpqj0kUpKfcwb+hbDaF2QFXhtBPkuCtqNHg0NV5g0xCyCORflwcstpMsttgYCajFK
nKusuucUvGNbdGh8feF7w3UqYnx7fPRR7K9osd97kbU2vGyTmIG9BQu4Nttuih6tD1pKjhol5ita
bVsKy1eJ0mINFAVRheWWdMUH0bN5skUcLxzZXHe+sW+IOJrB0CcyckwecGdtrIbjOf042Y/UY7Ej
EH74NNrOulO6Ze1QmQnaxxRXeWWI72PlNYA5KTdiIQuoe1PNHZU0uZZ0oeex3cWEtGUGc1+vaRew
J0l7MOOd4zV7/Hnbvm5qYn8dtrf+UW/jnetx0kLKeuhcdoWBk35pgxpochlfKsJZF5lzWUK+n7ow
q6QQ6jIw1LtAbfY98RdapMAQCM/j9Aix/H7JCcPNKm+J23ynesp9L9qjRvyjiEDamdaEIeqepULl
M8g9pOwFRbeaZ1GqxiptvGBd2MlTrmmHwaHiXQflJsrCNcCiblGZ6h369Iuiame+D7uyUq5aDKxz
qd9YHll5wfgljK3zaNTePjWKfCs89zpP0oMy0SDcIl7qo/Gk5ubaku5M17BC0l/Sac31cjPlL0rp
vUQUhWDaZ2I3WMMes7JcqWpurESgra0CgAovRY6Nl3Ke6YlNlTQPVRecC6r7Q+PduGW1SRWq2X1n
36VdsOaab4iTvq9p+G57/RTBJgpFy67bJOko6deGnh272rsJxEiAotluFPjj9Whvy8q8GmN1U3oO
t0Y9KkWZznzk6W0jz1Gc2UuhpsXCLtlktmp3lWvmoYpZ75dxpch42XRFcGckQc3kD8VFpjhJEjtu
V35hkhOFVSawW75O2hKBRVm15JKGId9QI1pbXuqcMJTa7ANpEY5KQBe2JROU3R7Zh03ypQUHSZxk
uGKFwTGDeXuRy5hzt4fBst64kHIWfQxGIWud9iKMew52yvA9LYmc5CueRQPUdy1kH2xCHFoanGba
jGRJMZhTViGbUtUnMXOWhCbg8cTbY8Cg8U9P9yFULby5xlgqq8bujKuK9jk68BEnVBfrcHtbmIrL
vBvpXqvKHrPVBXkCJxqVK70Pl5Yc74h2v/aKctcU6BAsLZ3LmHRiTkAPbmeEk9p6War0H9uoXzc6
nk2trr+0HNjVyH7UXe3Qdjh/cGQSsLGqXTa8WnWD7H9Y2Jb/zMx6J7Ryg1XtKIz+xQ21HcxLssxJ
+uRFyuaVoj3ko7GzguRATJBGUSwBxoviPEcu37BElwP2kd/pcMYijrJrmvIBeMhxm3vm3uiDjVoS
ZRLl28SBbZ6JaBFYIEHMULtyuuRcQ1RpM3q8SZrepPDp6UZEO+rMWyGUg0Oxmq3Qmsb8tnadtRL5
W88qdgB1701d2xFBe1EiZ0CCQhZL/pVaOJww76p32SkMuBdG11+WFMA5yb8kvrNXUgJOeel6snYa
J/4K1Y/wFifdZiK4LmW4NCVFDJ2WlpZAB+3FuZrSG+tUUeYEC4FyhVmH05zO6sKZ6B+NUxESrW6S
Rj4gSAOmp/Yrwkrp5yhg0ngfyZ8pmN2jh1gjEJUg81lXkpQZoVlrvJjIh/COJLK1Zo8n0ZJSBFDt
ZujUlRbm9xmtP4rlYNmUNvjmllk770NSZ2ufyo8hLl1PI1W9NpeIn5a6a61DJ9g6gXBWnkdCUzS+
5INxWecqV9zhuDIlL4uXdQbNJJpaHObUpTuY9jFTs4tUp4UAyQ86jLhCm7Inb3MCoGqrqkKa4ho+
JvgKCbs/mI9GhzfMYaZB6d/v+97GoNNl94SwXuWK+Shl6K7ygNM+pgti3JpVVLUxsnyumnrTxpmm
ngIbUZs5/sYr43Bu5NEhx8kVecp4VGS5y1WvWEgsPouiTCgO9+THDQW2Yf5tiOAHtsXZC/p8Tcjb
ljYBoLy6IVVnWrUN/aFX+dBCAfm/7HHbFIN+qUbBJVbuuR7q/tbyx2pPCv1EDtHucT96F13pXjlV
/IgrT99MnzuRQuhlU1ZzxAPao+1jcs/1K1qHwd7RUoJk862XixvoWyQHToKOrqF3ATcsifaFJ9aQ
+sBgGcn3xs5i5nJJ/dq+iersIqCoH9EBbGPyuytZPwxqcQ1Xa2IQWZeh6l0mEAJiSx92sFTuith5
1HvtGpV8tjO0MIVAa8JDqfXHMXG2Dhk181AEtF2oQuyUQl1lagBmINXbTRhj9a5whEKi1hOhnXs1
lBwjypIGLaFQuqT7ppnKUqqBS/HrzYnv9HsT+W3A2KSz+rO1DMACDRj8S0tljceIKz4coGQgRC9l
GhzDHIFeeqjGfubo558P8kEP+J9BTBUOO04LjpLvT2mR25eaUlXBUQxbJT0IIhIV/abubn4+DCfR
v16LBTJCR1w/Ud3fD+MK4XAKEGzc5fcuu1W0XxhFPvn9NPsBwcCD4XZ9vFeVM5goP5L4mHa8aBvb
pZz+x+n7k2fx2e9HNskd4kZN/uf3f79nTT1Zo0iONucO42T8hzXzt8ScSXb5l2f95v58eNbEQ6l0
7Lk/gH8VypMAF6yFTov9BQ7jzy/lk6GIx6OwbeN2sSjIv78UCsxi7MYsOopwg2unFrOc3qk+ZxkG
3v3zsaY/+8NlvXss0yv+Rh0h1CBpLeh7x1yb03IjQolPizl1aFc/H+izi3r7/D9cVGqhOUMf9DoQ
jXBy+MBcso5MS3H+i3ftk+8SszoCzinSR5Nykj6/uSgN4GjGwpseKw1J4nPbLw33688v57PX7c0Q
H1+3kfJrRtBTekzt59B91JX/4nWe4G2WPoHkjNfazZtLCIvYqHVFpseQGZCebTz8F5MXXSNhonLl
s6G/9P4mpUrK/t5Us+NoPXfWZTOJPOpfzF2fPXReYsvApzFZdqhxvX0QAPjzdLDH5IgPEkf2JLIw
rtqS5vMCAcXPn8gnY9mCy5CqZaMt+jhP+i4yM4eGzdGfztRLIox8MscK2uhref061L/SaY0v6Y9J
9y/SaVjT/28RvHifAC2mH/xR81TN3wBNE/0Hn0JYr3lXP2qeZJLSYZy+SgNi5msP9IcgTPsNDTby
LATUr8pqPrgfZU/5G8Y1bcoPxsaGnuwfCcKoa/LS/Tnl8Sfxy4A00gLV+bgwJLx/KYMw9Cufc9GB
OTih5AWs16vnjWlEF0kAJol+ZDtaJXAgkUvOzCnRkk3mLjwfeKuGeOs58qfwhgL4EyxeK1bVE006
jJthSwthVrWpc0yyerzwtCYOtpyu5Q0KOsXYqpVAnOo4Sn1MXM29iAZTkMsQRaF6Diz6KrvRG+Pq
q5N6ZncotZzknRyyRgvZ6YXuAoqWNGhAceh2A3AptNWVU9hBe10XQ73VY1kpRCn70bh0xdDQhbPo
y1iFL3aSLIFdWRQhMhVKqku/x5JfFmW9bMQQ7Ix6ALPkjnlDnqjrPDcVOp2ZXrh0ZoGLjfMo9ZuT
L41nptUnTjlfQ5NaBbNXMs9N4yWvkxeTGEwgHEmhf6MASMWFM13hddt0FMaqjpQGy4dHBrQUAczW
iGw8FNohFYbavleVgOpp1Llf+4ADOPh/uSXC2t9DCUsALJfWpVU0/XbM82KtM/cCCBzrWRKl/dyw
cxaTkiKZ05Ke4Ff5wqxtHMcVSuY62dmNg43KLa3DYBjjNtLRNhG9yp7V8dcWFOxZ6UGH1QY7nGdV
Q9A72Zm57bwAo1LWdjtuYpWeNiy79eB2lG4quNmei+oHw/LDJJSFqzsSw0ciaqY6nH1Ia6n9sruM
NEDVhJP1cyeeyFBMlHSlcnkUXhSdlc7QrkEopi+h0MuLpAjSezRMJZXPAvd7G/6eTPXvrDVJKf5+
1jqWz8Qlf9Km4af+mLLQnE5yVNRPoOdfMfd/TFn2b3TrDYkMw2YZM9lL/Dll0Ygx0ZcC7/k9VumP
KUv7DeyeyT/82gkSK/+JOOOzKYtVGscJm3CJgcT+sI4WJqTIDkX1gewYMjHGOHLm6vRFK30hdqlV
kX6hTF+8HvoXgTs82p46znMr/Kq15CnypuFLQN6atMtCEyGEsIKc7jAIoY6ZfnaHKp7sSSBElTcV
5GGd8rZLuuta+awTrvlSN8ItVzI1UA6Q9A0wNAMI04crH5FssaxjMjHncamTsFKGUDgQRDozh9zi
6jXBGIY7acbhFGzcE3KuEHtH8xVBmBG4lBLJQXZtlQLYJDtUtNBZQUCheDHgK/FJUI6pveUkKlN8
PYwkLKvauPdJXMaztoeqvVVJYu45380Nk+wAKk4GH3LbLGSl+/tcN9ciV04hzdnr3LV39RTzbE6B
zx5ny31aZcQFK120HMwQQSfx8gvmmmNfV0cl6gGVUASfDdSzaOZ2Sx8JsEMPuQbQGWhD+T3S6nMQ
izNhxInBmbdOT0oRjQdNR+JX5CsvN/0Hwp3mFpOSW7kJXnxAalrmf7cqSKcyp/AiM5t6S4OsQ0vO
iml0q9ymzmMV4DXKkgStYgqYhrjUozqduaNlLqSa+sfWgyWIs6aZaehk617Jrs2OKhe0OkTK5Uxz
mM9yqTKnKAcyfVatqQazocn128ohlxiBAnWu2F4JqOa01ZI5SdLlbMyt/NFwmxQCm0LRZZYCNpxX
A429N5/iJ6e2v+zU+eAmS6gNQpV4CvPDqY3kxk5EThVeSuHnKy3u5DNZj/a8A6L2H2//v/PfdDj4
+/nvpskIfk0/mQGnn/tjBnR+o+X8f+yd2XbkxrVEf8U/AC0MiQTwWoUayWJxnl6wyG4S8zzj6+9O
Sm21JNt36V1PtiWzyS5WJU6eiNhB/Jg8qO1S6fGTUK3j4ie15nBR/FPkzf2FucxydQAQKiaHIP3v
E5D2ef4BsTc8/J5HlPXvnIC/RoR/H9pUUFlgkLN4lxCO5l73pxPQGGyCHWWenxeAesgZKzGU9mrC
cLsUSbnFVy9WCRg+oXh8jJN7vTd2MWpr1GsHENW+B8CvYJPUA/Qb2+ot7cULjA4Gm+40LcZl6In9
EmGDShUTMHLClxZI4KBogRJsIA5duRZfJEHFFFxIslzkM8unLCXm5Sr2YAmEsP+VRgj9X/EJvRJS
4eJo6wZ0Ic1wWwye19FUnpnr6LPwkudR0Q5LsIeYsjiv+lS5cwF/9bIEYgkl0Z4i6poiyInxAEPR
nt3LDqiiBVzRmqePWSwnYGnvGfDFcab4iDq5XQmWUdpcsEpAjXjCj5kiN3qR/UAfrL+U3esYyS1d
VMQLDFbAo+deC/CPWU5PCjjIZEy2lWYEeO8hRTLgaiuj0Z48RZEsl8rXwUpGDbuupaJNFefKARQM
YVVFoQTACLEq8V4nUnCoySiLbnlV1Td6aW1zQJazY5zZeWx7a7qdcXDh3EL7B31pGQh6mfY8iIAF
uL6VfU+WcEAisrL8nQzHQ6Vhec0VUdOYkqtZMTZrYJuURE9+q/ibtTjILyAn/UXlyqqhdIbgOgPF
7cxtzsS5H+BYgW9RbM9YUT67unjs+TGCmkasVJFAxVju7FjntXHhU+nzBa1e8JUSjYySIomWiik6
z9Zt7JYX4xh8R0GjeFCCHy3lrWZijNA6eekpQmmvWKWRopbGTXSrgTG1qba4RJ5hYq2Tezcovrk6
25AgB+Sffodn/Rh6ZCjxfsBJ5S+1rxQx1cPeuAowMK4dcKqW4BkQO8Ga9GfKKrr3F9Cr9pLudFai
qYlTvOghfJlt/8FMU/lCkVt1EK4lKFfPqLLLyObVrhXnFWrYCNLaaFdW20Cq5W69Wqa5XEnDq074
qB5qoLFB1bt46xOu7rFGnwPN5wgvBSkRcLM69vBLAwBt77bPMUBaKixvaeGK145i1WoG1Npc8WsL
wHRbb4aERx/EawXk1gV2a9kjQW17udL74HswaMQIAON6lXvb83AbrYKESxAcHDKbMFWx8blgdbHU
Z+tGkXbNMG3BGJGjTBSHV1vmN+p7cKorRm/GK7rqtObYDZqvg/E1ZgcHuiL74oMFgWLmmxlkDc85
hf8d4ABr6fzWDXCBp+E+zSiFmNzrVIGDgQSL9ahgwhZU4dnVClopnE1EDVz01QcX12Q5DWyivY2+
XFAbx+91PsLZ2yD/i1XqEoow8dSrIr4MDQh9A6wDALYNcZE36mD2c9Uxu0jKRHQnxqU6Qq2dG1pw
zHq8y5WVv1am/sAMyXVakp9HWf5HOjHJDRqfpooDzHYWrEg/IK9n2m3d6x+tCg8ImcfHkjxBRa6g
VQEDk6RBVelnh+QByCFJBIowAhFWcyuBOtL22FwGJBYmsKa0iRBiqNkarVIVbOhJOAgVdShV6CGM
iT8MKgiRkYgIhJz2JRmJWsblzuNoFKQnaqsHnU+eYumic5tR5WirqMVM5mJMckj+oryuSWMkKpWx
cFaS0kAmMdflV3CjdN6AtR0Zpo6minaMKuRhk/ZAyTbWgQqAZAlZmkaFQoCvvwykRJquvo1UbCSE
cAAJst/kHHCQFPu7SoVMGtImvaVByLWacT2qKAq+zXdVy82MtC7JqnDQ7cIas4ZJioX732NKqqWp
XSqH0v5JqMCLYY6Gr6sQDPnTwY+/gjEM26CGCctkhoWQnNwVMOe4XxO8TY2XMZ2UjzLZ2l/JG5XB
sSpJNNN8HOTN2B6X4HmML0Rk3RSkdWh0eEy0/CEmxSNVnEeS6zFVwKdSUR89kR8GB/3GIAWEIM9H
WwWDNBURclRYKFOxoVjg7/KIS1XZ7eCZe0cFjIjPbBYSRwCOLyIVQYrD/snpyNTopJPq7oqLAYYj
ekZDJ7wWKsNECUSMI6xB12pinKXLjuIuep9V9mnRmpOn0lDUJqVbrNAJ47hlYXQkNWUTnxqJUbEb
0iDzu/iBjDL0kBB7y9yLqfxw4zw6jUVH+TsYLNt5Ssp83DVd7NAaUy/zlRHRqxe1/J6deZH70O0w
HcBN4/w6Bt3inTGflWd90ZY99hlxGJzoKmsi133rxTzvlolasYjResPDI2F3Em5z2ziZlX3gNDpK
IvMpIgOcLW3xtUZYjxiQOCGGGvxmq+0JDV4J0YZ7+r0/rFn/oDbonUcO+lw0Ac/T/Nx1fDPV+avz
M7aWUfp4TFlqYGq1Q0oq9cRcdQFsVDY8z9GE/WY28NaOdbSpjbbEALFs5aApS4u8CHmxq/dOPxoi
UEWke00bzSs6+c5WBb45puVvnWb6Ay8/T3Ej+6CQ5zgQUtxW9XSDe2GXuC1LfcvBxj7pOKka6N0x
qvnKqMfnopua9ZTd2WL2ZWY/5F5NFjiBy7qkh1GArYypcuJzQs/WtEX8v3dK8Y3D9RpHTLHOIt4C
saxvDa3ZcsAZu1GAtfYMOqAidF1nMfaF7EzSWfnZoR9sRVANkwjXwk0zdbwfRtLt1FRGq0a2m3zi
8ldJHM1xab4tLaHKbBxZ0HApY1N3xZD73DTV5eRkzrrMtY0Rs/sZ3RceLVvwnLdNPVzwyd3jndRX
sAceqgXAQBJnp9HgUZsal3FAnWJWPgEAfaZNTsXjnKfWnE4l+WX8hJ4G7kDFNO3wMZ/ZX4G9PSzx
sRHNaQrDbTWaqU91xE1ksyiTmnzoq+G0TNFKL+L3TGBvT42MX/t8OSAb7+dm7nB5y1NucNuUOQeh
Fu10O5Y+QGt8NeblqC8XfWNZVMJTQiYXWiDHPL+2An3xw87VVhqSuj9E8N0GlQcf2eXjZixm0l0U
lLpLs28FiO9GT96dkRnGnfprp6J0yAPvvuOG217mdUPUyxovqMNzOZSCXZoF2s7Lx4SZM+j4cNmY
N8Q9l9qjjJ18x07g4DFtAbesrIQO5MGTv3FO/rmOKbnpv1/HrrO3bx/Nf1hH8VU/LmNfUSECY785
g3W0sh/rKKJCyIJcgSRSrVqv/76Oou8B3prKYHtoLbrq9PixQVdpawNlV6kjtDiyxPobWGjL+6PU
wp6e9m+FqyN6ZJoKwfXHDfowj4PohDOeO2pE1qJLn8phvqWvlQpVLzznRp18Y+NR0JNr3ZOxI3Ri
acEdvoxPLdK3eJsFCTlKzEJOYjjteJwczExxE7w3IVTYKVPVXn1xKzyuMzrVtbuR1S5l4PT7VM57
b8V3clieIgQsfEPk+sxKrKcyYlXsVEeranP+RBUY9Irtkpl3fC9/7Ix+1ZCm45o1G9BOcXcGizx1
qfeApIwXMA2/J617ElgldDGdo7Ddlw7HAcGFGzPS9S217ERyxXA9mfjoUB4l2Aiqa0A6qnwBq/d6
bdU9+zXB+TdWxp6pMt96He0/ZJLcTT9X1sZKgx0gEEZpK2eHVYl7aBCrYfYYRaxNTyJ1Bfs+pv15
PixGItZdEUG50JdH2/vOrcJvOLHaNj86Q/fc60u8rhJYysKiY7WfyUXJgTJe0CUfg14eBsPZOhaX
F0+PHkODnZt6+ma0xK1wmxBOWvaJ6UCaZsMuKLUom8dSs99xTV84ZYotafElxOO6NQ59kN6YMw7X
0Ja3Lq9QEFOurZV0yWbZVSO8Wxnr7+m06CuYg8QrdFWE5owPuSleEnR5Vl30Dw2F2FY9Fw5vci7g
3t9Tg87puOiP8ZDARynoc7aCB8r4rjC2XoRN6q3aLKM5PnqdBu2+snA+RtNt58mtLrXnXkugwgB6
sim7XTcVbQJwcVyuP/WnM893ek9lXC28E7+myzFx8NwQnhefeAo3galatPtlWzmU2pmCgnfM5zJx
adkMnd2SOPaqKcpXq5AvFij+NRW5b6IfeX8ZeGrzsMD515WXxpBxdVmevMbKfc5j+gzlsZfzvpTd
90ETQNUi695uw13IJg7iQH1t6GgJoL4m3/HIeDTaDEQk6ikatlyVt08fk44XaSEctrKJ+6xEbt52
stp4Vc6okTfeBqBqBYBjDK/Mvnyc2pesPlh85l5yOKmlqn6OgKNgJhaEiOfoZh4b7xCkajJ12mkn
BvyIej+KdV8bCdn3CBedVn1ib+883H51R6QlCigm7fK0Xh6GryyZzaONlFcIlOOuCCz82fioHmHR
lBtBFg1qET1JpNO4NRBTU3k1N2GjWng7cvVE2QyujmBDs2NcCWeTQ6bFKGi9lINNj53KMGURb2kK
0mmDYj6J0cbXWpz7oetNd27FNaXENztFy3e1Co3r0PURTLY6Gbw+zdnSQkDZFEyXNPeFuIycq0mI
FbZ/8K/uU0yiL3LtYNWR8SOgcIjJ/DW4BjMygFncbyuV+1pIB5YVxniNvKBA97vKSBCmQt7x6hq7
mmxhm5DvImvokTlsLMEyORjfWykey9J6znWHDltyiom659TsFpSL+dGOsLgSsIvWmDWvRhV0LFTk
MY2ySx2ljX9qEmgHP1N39gtmMwoQa7BsVvo5L/VDlTiPVQ0wpRHvTQuWVs+dsyRzKftSR6yLLHYe
I06+LtTWemC861Ny65LZ5JdHeDPhot+lzkM+DCOfEIu+19Fl7MRGJlVGyLOJEybEhsqOD9PMR88h
UNRG5qENSRjFRI2ANRC3M446EaSg7y4pAQCMq9JJ2Sgj6rFyj8txnq16x018kRsIkQSbNHVHLr06
2Xa9FwOk0K8KlYMaVCLKxOi4hMGbNueXKJcPmspOGdP8TVNpqpluc5A7ONNbUaxy6Pq+E9bfRpw4
GKR17mh58RC7XF6q6lu8kFsNTT2/n4pmrxXmA5R06FUVv43MCbbcSSj/Ddh2y/Hg5FXgB7LnXsjT
oerIao9IennGew1PMVv0TIdbdWx0Y8bnl4UFV2gskW3Qtd6rmdNtcvoaBP6ZiCzW+v9rIurzt/av
E5H6qp8nIrouyCh9zS8uE8nPExFBKrqjgc6yuGYY+U2goyQDhR8rlSD79Jus92MiIlftwazxbJYc
7lfK6u9MRI7SKX5fTzMRkcgyUQiZiMCgE6f640QkorAoQIcbZxsyQLqnm88kSVynJ3bSUKraGy67
T4g/fJ67bDeG3pOm8GB5BKWgDHdekJGJ5ohpEKc2VtmA6mJzIvSLnmIgmU8Ha6Jztd/bifZShiGH
PqdYeDYSLzyVceuupc384BgsZdOW+Imcl+/khLmX9oRaaRJ4cURAVZOldVsxdi9Lme9ZZYW+ZQ/X
JEytDaudmH+vXywDOyQT/79Ar+GDnD0WWg9Cq9E/4qr9HBfzu6vhuy77NFozitzl7sQRNtGXM2tP
zSIQqZaaLLV04eN7V4Wc5wtNpLeImOwbCqhOU8ADgemX/9J+IjMJ/o90Og6GDxbchBsS0/EaCNPP
o6bGfWp909Nn8qZRK5dVq/NMoBBMKupv4HSNzxE6C3wcUNNRLy0Lb6g1jyxdrM57M2IRDJt4ajD3
FkME4KFI9yCB1LpI61UQqdqgbZJw1z3lVnWzLTnZlPTO0NCJGLMkn8Oxu2H1T1PlkjU3Q2klOy5+
9YpzhZeKLp1V26ARRnXC1qJgl5PX8rlcGhTUPqVvuhFcu8qW3iH1iJ08trCBF9gkE8b5hgQg0kWf
6H4yDuuolOXRw/a74vkanwJbT/zR69tjBCJ8NzUoonh2AQPXJplXLbKCnZH2n6ZXurs6qvt1TY3z
3pDa+9Dx66NvRu06COgbNWJeTLptL3T54WmoJ309jhuyOOw7PHEA3deuSzvJrl0rTDdGW0i0ENLI
HlvWncgsUOtDa+8gJ33kk+Ht2C5FTKpadu0sZXjklePxEYzFm1uSrDHnWN8HOgzWVoe5UZhI1JbR
pY1vOA6Z3EYr3qsZSHRJtRU0wpauL1drLkanHC/CsW92XkTyj5IDa1fBDtrwyxOroLU/Y0xzKzFH
AP+FtVMsJu7fS072zcMI0riueNdzQu+M3lRF5OxB2ekhFVRi2DAsGVzyA/qrkwLWD5+58Ngkpk7D
NErQJqILQN9MljttYTU1ySeayLx3DcO8KRn4fLgq7UUXLDo5KiaKRp/uMzqpibJRAl2ghRD7qx8p
PwvX+hJQCeON5abFAGIP7YsW1k9ZWTAeYXzZRDlR5iEvS2QFB87InDwaRXmd1G38OntkQ8wojEi0
uHByKnzfS38TF8SCbJnFa4p16oPXy48oG17R5rdj6FLX5mmfY9KpvUb8YmnJkbjg8yRHZwehhDL3
vFGHiHfipTj0qfcJ0tHXlMjb5e49hq7r2oiOFRzLVdGUVzinvqH7PQ2ZNvlGM113S+Me3KbZl0t7
1y7eQx3JYKN3zDN132yoVIlXMQiJnWVitablE0QBBPsR6bhxo9tQb2xQkGgxfWbVF7a+vCH+sLgq
zH1cRsfUCc6uNZ60yar9mVspnxQoLwVvNvAS0PkEUa/3xAUmINMu2YfWwJJJ9KpM2xNHiUS5ErIE
umjn715rc2bpfYHRvb4uR+1Otq2CxKTxMSTLQwg9rDbpPLqKTtlRvkKzBcOlRGYZw5scmzFgAPJN
vfrwLHrAtUt9066yow099t5OB7B1m4VN5bsmeShOmH7XJpILkT15u0oYLFYTLm4AwTJOGGemhhvp
KWhji5xILjbewmZFNvYnPofFT8VyIPh0JuR/kVvJJeDffGONurmzKP/eWHoVbFMqg7aRY+vUqgd0
eOhluTflZPsJ5IQ4yhZSGbG5My3Vypfw00Y5n1pzpFEpK9g54gBRLV+cUjpFfGAU+ZvazWCrrtRw
1SeG3GkJ4IYk51Jbh5T2FTngH46p/lez5j+jjkAC/++jzl1MRGgu+78OO+rr/j3ssONh44BziGHC
hBr707BjscmhW8qWqjoTH+Xvw44JDsYzbcDrPJcVGPbf6x/moC8F3kU6596t7E1/Y9ihUvkvww6P
DaLrKtCOKUqafxx2KNiEuNbI8npqdGdbDAJcJIfrahEjhEhWwMOMStfrow7G1dYv9Cw3CkJmTkrk
Vi+fY8oxToBAKTC3rBpiuxR7e+rbqzENqu9VF+Q7JwNBEmUOucQQ79O68jSy0rmhTddtk3fnOknE
i6bLbmsEsATXfByImhVBcZWCXmVAiW7nKbPPoWFoRzOMxt2C2fOhc2f7hcKl5m6EaHrq2sg5pH1R
1iun19KtYc/lo9XrRLGt1vwo7T57tvWs2Id2S9F1FbRvA5Bz2mdcIB2Nx3Y6GYmwRUN1M5JbyXpy
yWEcVv4wGmI4U/shhm+EMSNxYZBPmKdtV6b9zli6XvsQoZdEtExkPXHwoC2asxNVuA9DY4ropmIZ
7Y49EOilsxYFdeWZTSY7FFwiecqQcmJBPlSj5kPyzeILqaE40lqVze9kbeucz72HwhFML3LMrLdZ
c+xyRaNRsaWl3j7ObCfuurFc0F9tZsSCNAvPXT79ccjDPaiG8J13UrzWi2V5C9po+SAm+Nxo9bYI
46Om9iW5IVmb2w3FRNUYwl81+nmXooxehEY3X6blVPl256XTij4bDRF8DONtm3fsleshr0gg10/C
ibND5hkPVlpH+0pDMYtUM6ftNh0zXivv3KjKD50GiajSqW7GuKr7uamsFWZn08vQ6vkHCSzvXXNG
7UjfOfU/U37GHKv5TTdMu0HT2okOxLrufMLO1aejlQBoqqBgJnVJQ+qAjEOwGujoTvIwBWly6VCe
eGq1OnkxAEKux8WZL9sU2NnST9oFb96QGFwxnpOwCZ5xuI8PBdrDpi+n+E4juXUdDVyNC6z7dI8K
MVAL22IhGxhau0072a0fksN11iHC294czA9PYjjOrKMzjdYNCUwCZHopjY+qrJZtHdMw5pHipxnT
/Y1o/s9ZrFoA/sdZ/PaNojEw4P/Jzs5X/nQa6+pmB6uUayQ+n59OY+MXV7Kn//FvOCh/eEPZuCO/
6yj6/MevZ/iPq6f7i86VlGOVlJLH3dP9O6cxvNQ/n8YOl1/108FZxWj6Z168lQwFu6BpPE8crmvR
x/johijZVIniMk0dvKK0ZUayxfCC0H5RtYwnUncdNkYYsVEwWz8oXIOiRrnRXJvV5lw4a6nH2oXe
LW92YC5XVJh+jLJuaY8Do1llwR1qvjwVA1eAebBqRqehviLBtknC6BHo8WZEEtvGnnsE73wUjfGZ
TvPjGLG1Fum5zkgYG+bei1nSIw9y6ORWhXnJIJc/W5kPY4puZY89NirJR+KIh1Fqr+mgfYyDKt0K
QH9OI08Zyom/1zmEj1TXrjod06cBoXQ1piNoQE++zxGQEmCPxjpjXY6o0MV+zykf5eWNKUNa8CBz
OLPg4tSD6Q4beqFPYXyg9e62biUcgOBjUWCD4loaROCtJr0qWDwvU/KU19YqMINvUWHfD3bALST5
nEPFJcrMG5dySGAY3CaGsH0oNXTQuae+qc+ibDt1sGJrjzm34RTOwQb6nTOKfevqydpCWEUVgYm8
lGJZ5zFW3jaANMuI2vqiC/dphEqaa9auZ/d9C07C9CeATqtkZtFsxPbg2yUlgU2t8srgzhC1jeqI
Nn9bthO+d3Jsu35SB58R+43VxUTIE3vfB96cPhah5oQns13yJzid2HgzXKy8fMOynixWC8MUc2u0
3c+WeOsU8ZTrGnLkX/uw7ms31tC49R1viKMBvMwAoQsj2NrAA86OjmbLzYG0sDkX2wqv1SlfzPjB
JauPzD/tLem9pvTdc2Gq4vMoEtPXqh7r8ezee8V4sHJ6xZqgJxlrZPvGMB60nlGYYQMIdbAUu2Gk
/jYXOY90JORzW4BQ03ktrXY4TRBW7nkHOKBrONQJWU3XxYw44/ZjdR/Ww3tLYOrCSc2BFHf0URnc
3BYx64jWxpXmltzodGK+uWYbrD27ft/0QbM3oTvc1bLOKHt0ivvUBCRRGXG0HkR1X7qd33WSnX+/
UBoY23sewYq3q3FFgsVBYekMfcCjjdlqpnUOK3Zjx7AbyGa52zkO5LGb9bcpqNZ1ND6C3quo4dRn
dNwq8UPhsYGYhHbQNG98TZMRM9dSB5hQumIHPzf9luIM3megCFZL7R7TEaMC0Ql303TeIvxmgSIq
ba+5GS0juIzI8J7cYb5qkRExqBDQg0LHJzMfmi29ghO8mKI9ae5CSauRAumwp2XzzxqUZAGMJ6b1
//U8Kv512cftv87vcVv9p4cSX/7joQRZm42jTfkDrmkeIjwUftqHWoKsG7cBnQIL5eT98VCCH+Xx
NeBk8ewSweKrfjyUxC+M9HyZrspZvpJZf+OK8JdHEv5cqNueMPnzyE78SR9uTN5yFqDsM8nzVWvS
Pfr/9bRxHfrDY09lr12LpyvWccQG4he8OD9HC3Oj1L0qm6cr0DAHwknelih20mydfDpNFksPJKe5
3S3kaDYAZOlHNTrXvjMRgrB7oR2enMbx2kNBm8aJygC3Xue9JeuTlBpFfKIFGwUeygDJBvMNA9+o
Vxy8tIkSLccTN9UwVsFlbEZDGrsmEvWmLcdkZ8mKbdcgrxOnUNVnOT2wtA7sYi2kyTZsykTbFTnx
3ruiWaLPHALj1vo1nO6yKdt4v4bWvYz/tTEqNJRN9JVsR+sj5Y6xp77pWA00MaWki2bYzPTRs1UZ
F9EUATjOMPSmUGasod6R7L0ce2msnE674pbyaKfWfe21dw3IEZDSjxInCXbKulylsbisG7EJRX0J
2oVIRZhCAqLfIZzkBd4iiN3UOA9hCTQR75qOdLiU87Gx9ZcqScDeZA63k7I+N+DF914RXfaT/h7J
dEaaQUAWARYWNzPYWJU0lHjeZi4lmyeP7V8o8LV102TvWKIvF/VcXQwYVKY8pZ6ccos8sxs/tpZ1
uFS0isSnnOjUJrBARYVRtVuW5hA08W0EInyXFDZ+RC09NAsG3BDZuminhgrG/K5suovIYrWhzbr8
Ng8YgOYmHNeMf9up4q06GfFG8IDFBVtQLhgcpqo+jQI4mUHV5yolmGC7LsauMLGVawqP8SRgAhXw
9hC02FcHgsDX3J1qPFzML80BfMm8KzP9Q8j+OwERFzCvzHFN0yK0iigtuKkKN/chuMc2aBPopg43
Vo9A4I5h4FuqRYdFMtkYzkNHGi2LArlygRsGqaus7JcgLW+GAn4gD0ogyhsFS8jlmO6BEO1cKMUU
IvPCY3Tat/rwxM2zBCERKs35dZHDqdQBxMTNdLQz/XrhDx2M4pRDXVyEwZJbezNb40PTpgOjyKUV
aHvPeZyC19JdjpBQ3K1NF3bj2JiEDcg40zu9GeTf3O5CgImwzfk6DBJjbZkpi7XUe4ED+WLhT/Gb
0bj0RBFiaDpz76OwGaP0wi7PXuqtE2n37tQ+iHTYTCHcIjvCeziArmdxz1pvgJRVpgf8o6R9BuOx
0qJ7180ftIrW1GLcOmH1aTrTsfa04zRR2c1e7kj0cZfJrF+xwvUxl/YH0YvuVowJiHCqgRP9lZkW
xcTKKBktYXWZVpVc5WJK95OWmy8lV+7n1i1jTHPzHDzkXZDeToFD9/OUGWz5A9qO445CCk0RhuhO
X9OwBU/T1HR/5GNxOVR2fNWLhXt61gxBu+4rqT5hbFxLxkHmT7cO3PdFIslGWD611pSboZVXAf2x
GzSiAb3Ca3kzW9gOYNVfcNfGs2Hat51OBR7qb+2HQ+WuDCO5gD1zl1cpvuixxMRSteA8PfEsJbgx
Ofh1j+zpTG1xdIFdnYIq4sVesAamsnwXFKdBSZ0jPnIevyP7Xg+rlNdxTnfhHF4mSLuQroMbeB/v
/eStEyQdN4ERHGj6HQDQF8uqXlkTEZpK9kPSfTrNeM7sJaF5hX5QeKYvZtITF3Bey1mjOaSFQm+o
hqER+btrCxan6sod2P7M/geq1Capze+57KZdBZolKYaXAfHDptNktdCAhNtzWzX8mtNxawbOk1G0
j3ZfPNlGmeM0Se6mbL4svHHf1VwytDF5CqP5EI98RKfpNLBzCnPsv3omb7tuOTOuvkyRfVXiv3HF
QNdRszZG2CYOqMRBeBwWOmgG4WE1SF+XWvU2JnInEhuBJwPT1LkxxPqJpC3I7XViyzviV7yCmUF4
tHDuYeweOws2OfWvLzwJLuqgJMQHfRmKVrcvk/DJptl3ZenN3s6tjTJpav0E74y/fR45l4D2QP+H
RwznL141+AGGgMpNz1w792nO9pqoGcU36ZvmsiIa430PAW5Fy/qb3qVHXms/XiZQq6Z3FP1801Y6
P6Zoj4mu7RtbvgYQ5wYMxKIb7gK4fa5rL1vujuUqpy4Gg9RnoCOSz6DrdJFQh7DEJ8/OdnVQ3+dF
x0a7KPdDONQUMeWK46UKAUzYa/GrDAgNNBjpaW/qtkWuG6tSiPFaN7FhuUD0NqnbPBeQ3rea7p51
RBRUgrq+aA3aNzpss1vUw2+kRXKG+1B7HivJ+4UbwWZmT76yRJx9p3kGK66VRyDUZ/M0Ru3fbLpU
ZBZBx6VkCuEi/5euUyO1jTwvAu0qSYB4Pabeu7D/bj7uT99CTVo/YSBm3sUy5a5wpbMXoxarr86U
Xv40Zv6HDJ4ib/yuXX9RbPhrSB0xHByobal170/fw8QOl49eHJ51uuNd57x0QI/uSQr972+joBt/
/jZKJv+CTUCY+RNAJSwToKHpEJ57eHh1EjEY8jmsH3pxrcCPsoV9Zv8KAvlntWVjMPjvV4n7j+gt
f/uryKC+6scNAiMp3A/cmyqljEeC+fnfNwjrF52+HgpzaGGBlsCb7idHhW26SKikNr8if7/fIDwu
FwohjwjxBa79W2stik//8HZRjgopbUN9L890pXT+JDJgCrV0UHLuefCitPUTy3oIbX2fFIUGSTnc
GB27EVsbZlxH/YFdEGdIzuPSGLxjZ1PeXVmWsQ2T+d7VynrXJ7iSCiOGGi/zTdJX30JzIkbIJh62
OrjPXvMtrX9s8UHfzqREdrKR3IfFLA/J5PiyNgHeOkNzsk3R4+U3o+3kGO8dDgYdK9S+GosrKGsK
QaqU/njqibdNNw6g25sahsM6TEfXR0zAhIoUQUcVyaQQS/dq9ipvlfNTuVO6TcJe2xsJZPlEKdf0
Dn03CnPq/VaZ9boiGfZSGQ7CasHDZrGMS4PCOAdmAle7L/hnNNXuHSMzVoAgbxalmzYOB+ystNRF
qaqN5da+h9CKJeqcILxOCLBdw8aEJqO3TmmzUqm0ZTfYqyGgeB4qEEPBxaDptIBI7LxxXhOmiIgS
Nwi/bg+ov/nSgl1Nue6B5Tb7CpXkYNfLNXTE2Wev80Qg71uJsAzFXeEmoyOXyGu7C+7DAQ16HBt/
QJRuEKd1RGobgAMJbnRr/AfOrsrK52TMjhJpe1Ia94zYPSnVu+8ozkMGt6nIrJQubkDnR35GKy8k
LwsCbrWylJgeE6JfpUpgN1HaXRT3VEnvoxLhs8KeWH8izOdKol/a9kmi2btyWpcYOjdpSIRmDtnq
VCj8pZL6cyX6U3cW+i0+AKBkXILMwVrHA1CPYjFYImXg8kLRX1ctO0TdGZNNs/Tf0POfB+J+2Efp
TLSM7xWSw5b7W3csApMRyrW2zAjDVk5WQFsANM+Ut+uuh8/FzUvktCkajAGVsA5a73m70M3ZG9Im
fphK93NOpC/S9t2qKIX0gpFcUNISXJC4d4pK8tOyPeWzX9FIkmZbXHMow4G3QtHy1uyEs1UwgXQb
ymjxA9qZkFTgOoKBDsEM0zkyna0h2Jt2QZa1OMvUZfkUb3vzkOd+MP4fe+ex3TiWLt1X+V8AveDN
lAToSfmUlBMspRG8x4F7+ruP6lZVpipbufq/0552tZIUBR7zRcSOs8e/2Zn9Xd2M/dqeneussB8d
r7giOIa910hnP0ynbaZpa7VJvndl/+TksepXU48nOq3xtZIWWVde7636tNxUWX1mk9p2BKAgr+6z
Jjr1BSZYTYdWxRVDzwHNCnJdNL/wtE/TVZHrywHk63PcJRfLRlWz1dHZp41z0r3iAgR6m9PXRPsE
yOgqy5aVbTMYjmKNiuVIS/YiTU66SEg11s+5NpHAGjsSH1r4gNfsUbTdlV5k5hbGtOdP6OZriJqW
T2M46lWEvUUR/RYgHccre5nWWBtvRzt8XELeX1MLXL00HS49PxcVTIKjPvfrNNuHS/u9KQ0z0Bf8
YA0ZLZV4Jhwj4AkeH+t66CmmCY2bfkTNNxIxIyh1pp8NwLKzRn2lzfRoJskpiWOHY2hh8Fg3EPuS
58U27kM5NW/DCjd3T6aXO+YtQxwErhQfuFHe6Ap3Y20BWOwJ+KfcUprSDfFRDzdtLLZhqd8PcXdW
BwViZ+0eyLRy3neKmxx04eQkyiGm6Dux+tJX++lgzy6zbxxS/aRbctiar+0SzEJO0ovOqPjMVY2m
RmKtRK3y12gJ75s6okpEkzSWhIv9FKff2hoVt0I/Vt1x8aUNb10ivOAqIePVu/XGGTGhL81yMxvG
GGDYpa2dlsLJSAKhc1+lF83zimFj1u0Blgc+fy2O1g2iAc4Kug1zu7I25DSfcLht+kh9abop2U56
LGsPh4stigfdGk6LU/GjOgOCwdy03HqHyj0mdbtLMYTuoLUREF0IyZDC2JJx/rpo9dmKWLMnzwgY
JgeN1n7v0+TcT83LMkWBk/Dt7GaxJl/xXDFw4EpPU8fIRS9Td06PsybCrDfwEHCDZeWuV0ilrm9l
JZDX2bmvRXJeaB3KehbKxLAr/LTylo8q0nMW14wR2kbnXbUQKbe6OX7KeW4ZwaAROCME8UGnmZXB
b2sNA2fLhcnOHL2wd7ZBlcQCc9lcBYwYCae7ChUHjqVv2659SjLtzsI8RTDTewAE+4xlJKQwzUXP
73k0cqfWWEEIA+ruF4Niom3rtRve3xdiatWqdKtvXbiQjk8BmuPXWy7AjS0/rJtr9jzmLfy3sY6P
PXTKVU8hqlErVeAV4ltoZzjjneabEQNGS71uHSphRqIgPMMUFvR2zBS3VN7A0KrHLJYK5gM9K1jo
WpeYaYFf10nJJYvYqoh2s0XqzmGdBDS0GpXybq6opEqU9DMpkq8gU9YG874tCIAt5wj+BuFwp5Ed
WzdD4yCnOHsKFtiKSzNDXTKdNUrNvLYVrbuSo/VoLl4zNavWboE45xDM6JTopOKPpkumfiU/HAWq
6T2PlaIFSlNY/Es2bClukDV3GpWr2k0LiprVvPPCsznE2zgxLcIbInb3XOK85lLleRXbNGGpspyF
+tglUDWviU9vx8f/nqOND7NaEnh2fqF4459HafmDfx2lsd64GudVW07Q3xBBfx2lYZfpuAMtxzPQ
iX8cxjv/cpCHqYS2bFVl4eEf/HMY7/xLU5E/aXf6/2jA/Mcw3pEnaBeAkWy/1NV3w/hOjKIp7Hm8
UqvrNjKDmQTMD5eLX1wg393sYHMwzLflkR0lnOzZu1E8/sLMEI4QV52ZMiD5pKhXHkxoc6eFXO0u
FCR9/HrYjH66HEgayM+vKN/Rj1dW2N8Jt30BeFVgk5kjjgpzV+kycl11N2NbuYeht+qLnRH16OyN
nWL4xQsTWmRZemZJfNU+T7qn722DJPyMI9InfkuAwo3BM+B5dkn8161KeCd79SblSTayV5SMIqiy
gGL7kFkgzn+GHqOlMYkgDJREAO/tLeCQZGNRIw77hwB8OE/lOiHWwQGLASc4NIjD9GwrIxV9Irl1
h+EIXaVieR9OShPyVwKJUYSkgDhB+WSuV7M93oT0Y3A0NHZVpV0PZD24Nu1LlWR2lkbHirwVSfaH
FjcqBXefh8W4npx4NzhLx12p2yY9Jl427TixplVsUyeNKELLcjyfK+Esd06velTqWXNX3lUYO3d2
Q3gWvPmuoTOiv1lqk/9BFC34kjwyTz2yzAUzt7UzO4Y9aCfNl0x1T7aNg9MsTrWT7KcMiJ0XQrHP
LsS1HxGD8eGiVEK1Njatnnw1LfUbZ2QrGC3zPNUmFcgGt4D61IdjQAZtT+D8WiVWV4bMq6b5hOZ/
Em5b+f1SqIRmx2M3qI+N0BncV9J9vTxYOWZGNvTskojyusz6LYzyS7ZkB7WCrzLVxIOzHsd3M7lU
Tw6omCbAyC51Hpp+bokAq9FGL2p6wMTYY7XUse8nzXzKaUvcdK4OKOUbfrQrM3ZvOwE/XQMnCBC/
3Wiww8M8uRalcjcOJI0U/izQMQI34Xhd9N+cGEydZqc3OnxzTxSCjJNGLwEH9nS+6QVnjI4+LXs0
t2M7bFTYcj2jrULjeFxVd0tpXhdhQ2HqhOW0z7PhdprjWzvU9iQbfbd2n0xqqCfHamGhKwbp5/a1
JLRI7RCnHUjOC9uQqZpIDcN3dYyOJa0BjamR5Xc8miZoZaF5HcGMg2AYXcfJcDatdNdYBbVfFhyB
cs19+dh1FTNCuh8oVYezcWFS5uujsudrezO7UU/XCYYlwww3mBw+mW1HShNobpOVyNNWPu8y2nL3
bY4FAN4A6D3lkHXLfScvLHPeE3Gv7tIBR3zKZEjgfVgLV3/xRPpCgvlcNXkKNwba9diRKg87Guqt
cHB3/9303nRomU7598MjNr3+5f+tXtovL+0vZkjyh//c+FCh2VJMOSKilehtd/tr4wMaxWYDHZt5
iPnmRv1bhZbWVo+dz3tf/WzI6me8RwZszj/qkv4vKjThHhLPpH90gFFwbn/eJIxYU8YeYekSF5+X
7jJNzz98LL/Y9shU/7QNseERITIN3YLIx75nOe+2VhFyzQ1xrl4oYAh0vX6da/OSMzGx2v61pw+3
TVsKCkx8PppS7nWHqGCTUvEFLhx6QLWl8HBbOkTVOrqdRbwxu/qbQhHMSvdOwsIO0vXoN0ucX2mD
ZmUnY+gb4yoqUJohdwyEgplKWTF3GXAp89LRS2/tJznpHi31bLwNv2c5BzflRLzRJRhGTslNci6k
HjllpnKG7mXmVyGn6siM0ZrqvuaoyZl7pLlXTu0oQc443pNzeU1O6Gs5q08nkoaGnN9rcpJP39Nx
YLQPKQfZT/e5crFYy+l/jgxQSj2gRRgIEQgMLicuRhMWo/KzIjUEDTGhyBTi5KgLHT0NGwCnflT3
dw5XUwUhwmiwBSFMUBV/6KVSYSFZTJl7SKWGEdFHQ7Tk0DjOS6gNxBwd4gGeQiA0eemlDgIrASeZ
u8uj9EpBKLHKkTI4/blDQPEQUorGOplSWWn14ZwbZJ6RXNq62dlSg6lM71MqVZkly6+5QCPjINj0
CDd1o8vsQHowFZjsUtvRpcpjLOZdInWfWCpAAilolpqQJdWhEJmIuUfHIDL7LBCQRoQk/hZ44Eq8
ACTJDhNik4foZFbGmr6ai40YxSZ7hUh/G0uVSkiLtDmcY+SriqhThBuNXhL2PwSufBhPsZ7fwXam
aCnNH3HsfMLF+miHYlMhkbnQdZSp/WxL7QwbEAXI3XPFL6/PtKEoRMdo1Qxm0FU0NvpGNp3qkbZm
0UQ1OyUthv2bWucgryPf8S3YQJJ8jsKQVbnr043CUdCpm9cZ6c8FbmIiBYpWfVaQBjuHuqcMsXBA
NFSt/MsiRUSpJsbIilnaZnTiojSainMfIz0yLUGDTOjKUwtSHVpB7FMqle7iWGc04vKQUOKNR4y7
JBpbisAppNJJy4KEV8hvTzreqcihikAX1aVCajVwKHFO3E5SPRVSRx0iVbZkGh3+C1RWguBhMCK8
Rj0j5QQpVpWaLG5q9wth/SGI3yTb4U2+Ld6k3GJWwpkr2JBcJqn1NhwzfI+PYmVkdbRu/9CEq9g3
scivcqGoQb9g4yulilxhM4VmK9QjMN2VG89AYuhG6fvpqjZrTCqCLI1mSByj3nQ7TAhpwDzyZGsR
m3BWl1ttsbbhtHjEn3W2TDOvg6pvKqJoSX7lEE/iiqp0NwuzG8zy3G6X+VMbGi9O1uxY38DmalxL
NVSfOVdOYaarULIwl2S2Bcw2r3BPWEKR/Zxh/iiy8nYcICYRibwyExeJGxhXavqGowm/qsuj0zgs
iBpv2hlvSmFEzM4ZwmIYiZpwx4iZtm7MLEhNpPC2sRWfaXx6zOB3Yb8/jOQht+WUgTMNLWI4/Xp0
Q/uo9UQGQjNxvuB619fQFjqK1JuxuM+0YtwM9AMZuNXWxkJRMqVkiM9J0p4XN7sYOuYdr7vRGnrC
cppCJuhlq2XEd6k5e51IA+0VdrvP5+EBt9B9oRecdQkq+V0r4mAe+8JjzRGHUbWrz6XZK6y/ymvT
MbecBdBRXg4zHfiaq8rIuRvMmTOge8fDtjSZNLH0x49hwyvoIr8vCzBK3P+8gwCpecjTCE+pRUDL
MVyCWTSlmJVzbzUVKhmFHgsybkckygyxUWbNvR0iapTW8rSEJTNnUXUbS2C/d+iH6nEEbGuV4jby
/9UaIjRFNoMlnmD5QE1z52RZ50ye2JXifmcOOFeyEcewW7T+XFTP9lDvKU1C25gD0YFSmp1D1swP
Ko7iIUFuqOr4QeT6PUN/7zjN07CvlLT1qzAHSSNSCGiq+sy03/DxxjRPwq6pJaoIfTIkym7hUBGq
D40nffL6O6Ib08YVCvYBoc6/uSUSoPlZbwQtSohGti8SlAFC+fP2rxcFyleUlpc+o6lqWvYWl6ix
7TYfnwL0X78OV18udAZf+/eHgN5Zigw2+KXI8zNtxg+sShQ3FZ9ZLlvG5vCtIKzuhqne5G626/QY
dq2+Ipd/ZKU6WWEHcju7oSf31m7UwGDuKOCB4Ev7XglCATNfAXNxL7YacVz761z3iwPML9+5pfOl
NE2L+pJ3EptViCohnVFeRqgg0XyvpgX50z9GR/+2N+MdLEbKy84fMjmcV0aEzru/Ax6Qei4yMVzq
iMQzhcd7zDcmMkbDvjEMMDiU4UlB3rkpPZ5BT92PLkH8aq5ZqAz1ZkkL7lGLuBGx4d2V7EqiGrhS
YkkzK4B4Fu25MkR9SZTkwAWfz1zne2MXqNkzMArpj37J+nxNCW2yXfDBhp1mB3GeZEHWG1+VVt8A
JmYQbDQ2nF8P6mNDmDTGGM5WxNEmtvdweL+TO33hZrUSFioMFKrzvDhQv51Z2anamJ4h2BagE/Gs
k35J/Nhj0KIl0adQaMV9M2K68rToZBVUmXV2TbhFGxkis8XJNh+mMllQq/qVpToM0xkQs97np1B9
EeYGjOSedfHZVVCRnFHbzaSfcqONSe+iVdU21h88RovJ0WPiawYiAc4cpqVd2zNWLLTpINThJUv0
+Cszi61qN4WP5nLWK2atRtdsKM+iK1qfbgvbznH7c6dFuDg2TvcH4+DfPg7aL58HmVzjccC6yWjq
5+8lzOaq5L/1FyZgL4bXFf5SD/nFVppuxXr6OepkGqmL15o9+W7yxsnJz3wq5GbjzNlBIj6DZ1sR
RD9blfsEeyMmVGQ1GyFUc19YusBmjZNuoC8xUCuz2AF7r/1RS2RVG1XbJgsRxYoMZazmLiqwpFN0
hnOMtNWqB+Bf1s3GLpavbWW/eLoF1FlDM2kL/cHWZ87OGEONXvPReUHoW0oGVch+Iu++H0P9m+1M
2aoeWQa8fGeX033okSZiit1Uxp1NKHWZCMDO+h1T93OWxndNYt0WDpGMuX9ys8xccW5UA7uh1ixu
hoD53bB2ZTzaSEFYMjjySXe/KDwTpOKMZ81QnrR4aPymX4yAIfdmWKCYKlMVaGa7VaF9e+UAYBp8
aTygC/bq2nXHowMEZ9SGjm1ehhL6e2OsL5477btqfiF3+rWB/V06dgBU50xGDpEpu6ri6eSU9mas
6GmEzLZOSIroXnKT1TguafoIqm4O7Dz0i5oDTWVH3Ev4Mg6KdzM2/WviKCFpCxlTgQXSi2xtd/CY
qF/QNBpKoZYlBilrV4uKwIwWjGecUDMRn6DRBoBxH6sKD72SXCO3Yf2kJCpTjphB/XiMSGnnz7jc
NrD6Sm8P7FDT2DXzcKQejma5tqh9QaALbqOyTUf3uKQohl5Sr0YNE2insuguurZJNTLWo3sNkXwX
lT2ZuOZUylhMj2hG49xY7+bcOZjReKxl0SjcRf42daKtR/p64prxV8ctIbex9xcBszVZzHptW4GT
gZh0L8W0sedNZe5CZ3hkSENGWj3bVtuSXzBPaTzSeReG4VHog7Pu4HCtHfLq23EAUsK5YVfNfefT
SLtrB04hTgUEx4FwMISt9putTX4Tf3bsYBf/+5sqeRw/TVljbyZSnwmmqMwUu3NB2cI0SIveVdae
ga6vPt6PfrZ8/LFT/Ph673ZSPaZqoyxYGarqu+Z8GyYwlacyeiIY8/ELydn6P34zWXVFdRfZKUBq
P/9mY9fDllGH6bJocxTUCf1rSahLPlO1jytKlrJpOKIVqasK0NrZbQjdYSUgxJES6IHBx19GU17J
f91MpYEt2hCfUJWuqE++yzm+cetZ951+N+EA9MseymSffC5T81GJ8/o2EvharTjut4UlpPF0xcEi
mAFC4ZIOt2VvOI/Y8u5q6hOZpByEAabI0OkGmfdW7V2NWXRs2bYd6gQzveTLBCYwdtdTrT0WdRsk
ebgf0eCofHRXvVW8LOpsrfMxem4mr6UPLqRzpDOi33yq74bybxv9jx+q9Jn9MJTPbIzSLXLfxZ0+
x8uX2f1Nq9Pv/v13G4eq5JyRo2y+JO5dndJYbzz85rH4+Kl4ixz88AtgwUGu06P5YunXZJZWfExq
PK8/fpF/uu3g7+Fbgo5uawS83z16k9PhRKQW9+Lpa73/2o8FZ5KHZHJ+89d4K7n6+9srh1NwPeH0
8QX2OJpq715oThPi/UutXzjGfGVT8+/zTegDXVol68dVuXrc09B3+nILT/XTFLxgnfzCN7rbGfuP
f2Fdztn+fiP/+Fq/vdEfPlZvSDA4RSwj/Wbw1TV4jTuxLW5QagPZGbHRtnzOG21NeGEVB55fD4F5
Kb9+/C4k2/4f7+LHp/Od/RBAeu7qLZ/707TXA2fVb7xrZ4VktYr97aO1Ptl+sfUuuLp25Z21u6fv
ZzvtWPdWy7YCQOczOvM9XzmJXbntrmIG96vI/1StxEVdz1tr7+3Bge/ah2Jz9/Fbf692/eOL9e4E
rehdktdKwnO5wry/6b7Xm/pe86GL+aEf+0lQbopDtb3+egrE3lpzYU8PxCoP6QWAwzoMcI98C9ef
Pn5X+s/Dzz/+rD98oO+rG5KkGlrH5l3Fe28Vr5cdSvl9ibSyxk2F239Fb/oq37qXZqd/ZpAWfPz6
8vF9/1T9+D16t9qw1ChzV5P/UZcqcMbxuCjZZRBq9ZtNSa4qH73Ou1XHhQ83DAtd7pypV8P4VZ12
I7FSI2jABCj15uPf6tdr3F+rw/vLpIJxmhLDVOBWyLj53dbRzf/tBd7d+YzJzW274AKVWUc9ZQ7o
/U4N/s0f5n0Pm1LUbunMfNGq+kJT0qbWnxaohv+3X+Pd4tZpOaRtJ+0vk/yrLDlYp/+8H++nhdp5
94AJIDei7Ir5Mg4TmONLkZEFLa4//j1+83Q571YlO4yUmeEcu8FEvYRXBlneA80Qa2fu1imw54Fa
lo9f8pd/HwsMiIbOonrmu5d0DccI66QXF7N4bdMNLesM+bYfv8YvH+MfXuPdlyYHO6w0sTldrNRk
fn9TFL+ZKvzuBd4tiUtWTEZaNcNFZdEmOpIZ+W8+prf98aMvvtxQfti24gTRJ8x5jrkbrOh6O1Ct
cOaKsD606zjAxr4q/ijo+rd3Y5kH/XCtkb/1Dy+pMf/Tej1mj3piMEzV+Poc8dqr8YWg135YXdPp
xH9YWUGxhrZxo6xu+0Du6tfPzbVx4NYOuyeY+9WuXMfb3729X27kPy6575+cpB1VzIL9RbuSG7my
6ra5uS+19Srbmv5juTpQjHF8JfWHTfhhPo6r8TerF71ZH39C7/7ug9LZcePNnCX8wV98TFk61Pxj
7t96F/tEIN5/1jfhqmRiu2m39RY7529W6N+9BefdrUiZhGKWY91flCOWa/pIVuk3a0OX0lF8n3Z1
UJycrbJVXqNnY43L9Sry0+8ff7veLl4fPJrOu+ckG4zC7EoeTTLZGzo1V4k81e2z9T0F9/s99eur
5dIXq0d1U/nFpt4617jOfRHEe5qxP+fr37wfeTH7x/v5++suYwY/Preu4qENlSwpTWBu7a0Nv2FD
OPWUHLXV12gPuGrt7usdQ73TtHYeArpM+BP122xzl/jykPC/h4P/+tVMvhB/jXh/VdCJdL+m6vCf
hjX5k3/q9mQ/LJh1FskPBPq3MqW/dHsdirhDqJqYGMcQGbv4U7d3/oWj6O3cZ0m7mly9/jSs2f/C
k0UwxNGAwr2hx/8D3Z4J2k/PE/8SRa5UhFKgR2BIvpWfnycvhHQUuW59VU5YNTVoOOiyQC7yqXxM
iC8EBL018kNwJ/IMtuti9fvG0l6HSsUBVhTjYZSWdRp1Ur9XxS6qooBBClpmi8WrKhk+SShb6qRf
xpDSG41mTUxTJCBy6NSBQ0yXo93sXaOsP1it22LEMmYa65YTB5uHKOph7yaPYWrcF0VSXjlaqMgO
inElIGIHKjniQ5Ej+JiAFDPPu3EzpjST0L9TlSA2ka6M92Xj7TAUHtN6mjfqVAYwim4bDadoVQNE
UprLIAMiZrO11A6AujWdCrhVgKBxac3VubMc+Om9sc0o7oY+3n2dsZ/if4uGwKG2Z20kIbDp5g5C
BNECk1I4s111bZvssQl/1rTYWY/TyAFDUg0XvqUTqhnQuV1cJZo/MXXz81ayU5bbEAbXzlI0PhqR
DMc8WQA4WtHFq5OD50IMpoY9WHrlW5rmHkhmJPOoSrbjQn1UEyJ3KgNzTfqzk5Wgg07k7rURlUye
e4llkXnP3rhNawc8yTfdrV4d/jkx85ElDXjpWOteYlGaQFBoKjCd3k+pD2LklmJAsPVVlTOTmnOT
5M3c7dzKuyXzT5dMoZ2bKZ0ClQE7Gq7ke/MMbxddvzeZ3K+zwfNdxXqgotg7NEMKO56xvd2EF1V6
sNww24RJfuyq/noMMZzlYPdG4ggTPX2alTx6ZmeiUlJ8GHZF7Ht5s1kS5zw385NeFRuzHD6b41zv
C2O4HTom1toyfueVJ/iS+ffBabQr6DXGqtFm3BRgqMMsPntCCU+D0X7R2pBLaqvp+0R6FWOlcILG
EZ4VzGUHNX9BCsTb2KZDfYkGxTnU0vk4vZkgnTdDpFE32Ott9xu2sPEwWMbKDZ1NW0+73oCFbBnQ
bML22TPHeI2sj3Wx5iUYNNci27UjB1Bh8RG79EUoRbw8GHVF7Zo+jxiynTu3sY+9Nn/P4ybziULe
5mEcHe1lCJZiuOjx6GseSDSmQouc5n9Ll9rb95XzbXLw6xvuQi/JQON4pXU3CNV8xO0Z47vrExSu
6SlqAd84CgVfMAkqipfCyBUrsND8xDTgIh+jmVFt+JrX4TWCq4A23atXQyyqtS1Ax+IwPzZ6qQYL
ascuEngEsAjQ8HMYUx2/POaPFKamDH70xLwU7DJja31X1TC7r1SzxkbhEkzW8hgjzNui/N/dyeSM
/MHuFL90/csvdiZ+6oedyZA9hC7JRNVzbC5df+1MMpXooiXyX5ifSd3oz1Si9i+AWmxKcnvCUy1d
1v+7M4E+1F20zT+cZvy49Z/Atqx3Jy92JpPGV7nNkZPFu+2xPf540tHli5P/yq9V1i2yHihGGskK
QBvRtm+UK0JvLLIYnLJcn1in3V0zwxl1F63zh8lF0ZUhae8el2a+LrWG/isZ7OgiVm7X2Lm5AEof
BiBPd1TLBUWBujTi0GJA/NxZxKlkaMTAU9SRIomd9Dz34rtDumQkZUL4ArWS3EkzmV/JyJDU9+jW
6yoQ/UkhdilpFSJex470SqVb5DPSAOhQTCn7cLL16sHBrT3K4Mvcmsk2XvSXnEwMkJenWB2sjROG
AgAJdoYWLXVN0Tf2BLs7WBO+JZecTS/zNkYaZHF6F8ogziQjOUM90bwoQcCkdUa7UHcFb+5oyCjP
IkM9Skm8h/XtyjPyb2CN6+2sowEmUWaA6gjv27ziay4mX5WBobJLz5mMECW0NkMFrnManRxr7UzV
jLbkBkCLD7EMIUWkkXqrVahWLn1qCG9iGVgqXe+gvUWYrP7skWlqyDbp/XSDRVsJhIw9kYfequSg
wE0CC9HLmynG9WSSlUrJTDF2Yl2SMSo4tsV6Jlm1kLAi3eaPMnKVuLiMDVJYJmmslFRW11FVhVHN
9HUZ2Yo7ILEaKS5BmitOef+RDHgtMupl1+aO7kfQiDIGVlDgV5ELQ1Dyx6hdmQmGl1nGxlTyY4k6
dcyIiJRVZfxEtut2ak3Sii5xt8UQ20gG0RoZSevRwf1RxtSg/ns+VX3mtqjEVVW58BFC/u6E2zIZ
c1PJu2nk3ggqndrES/ak4YCeyHCcqaPAejIwB3msX6Vk6EKjourJOyFhOhxZOpx45O3UtHpu0obG
txwVViStP1GPYMtsHiIW02jieo2mXuvE92prpLNFo5qcYF9X1g9CGbZVV57jqtpQI+ehjiWQ4LrB
C0x7bFe2TAq66vAEcgHqo75WiBKOST1DhCBdWNrSssJvReywwj1PFGy4cwkkUqLVcCcaziFRxVn1
sMyVVxoRRp0oI1yKK0WQbRwIOdInY6yEaLEZkH/UF8w9NucbHlCKxmyFqFODi72SyUnEqnqNdatA
qMRHXajDa5xNmT8VBvYnaWY2iGFOBHhGYplOOgnMMg21MzKzqZXWPtZw3S1vgU4dp/vKLT0MeArp
MEsmP1EW6UuUadAW9kkk86GVTIoWg/lNWAAvBCHSyhieGkKlMEJT5FccApExXs8ild1X8Dnn3u4Z
K8lgKjwMvT1CC+2PrD2S0V47gIubRoey3O+tEv/3xgBKYj0Maua62xhw31aYc813qSmBJjtTu5D3
jSYtcEvFBGI3YL7dmbQ3YyU0AL9dlLKYxZ2nFlp/N3qtYhzFJBiNW2UeP4GH14errK93VcThr04x
3ldmZm6SxIpWDUhorY1uu9AY1n02HUyzFJtWaaetq9hHy5kS3wKGhS/L/tpUVYeP36aFJTWfMgXc
fDzA5tGgeR6Mioc5KwnU8X9nKmFVn+vQfIlTyrR6F1MpHrHX3ovxm8WyO6McYcuoA1J+j+t2zqbz
XHf+lHgMyGrlbJbtjRKKY+FWn4dkfF2w1o8TJXmdBgspqq183RnTAaCIpY7gRpz6JcmoYk5CvKg6
xGiD6l1OuTgR9fQSdt5JSefnPNZfF03lX4ms12woPpVUgSrLQZ8nyjMsID9Re5tBzF+pMZU6kz/l
xzx2ziqdb743VS/oO/vYMODRwHUlubuQc9WLi+3I0h7L4yaiKDcAxHR/dKyF/IQ4IwUSNqE8jk+h
3jllQwICBtDWMAfWdtiFKOJOsOBYgmik3PeZv1jRo9526NS48fxY4U7lZt7Ii0P6le0nxoJlZoE+
6RtjAtDHJSFSTPUYgB481S7gQ5hJGIw05yoZy7PIHdiNdXjlwVXqio6zWf9ieyN9pUN2N3Pz4QTJ
7SwkJLe2UvEQCnD3YqRgN68OqZLxHsXyhP0MvzToYJ4BYHSWqlOzW/XfO897YIHeqLScZkXc0w9q
7JgVPgBc2SqJM63xeu65z10Pbn3rWdWXhI0On6J6MVWwRRbfOxqKwm24aO3aUtt9JCEDcz9GK92i
USHOsr1nzZKFVa5TV2+2nZWM68Ts8OeKa04im1LvPw2FtoNvy9Fa4KWchTkFmUr/OmxQ0veU+W3B
wcdr+ACVb2fYBBVF29qEifbgfr11h+dbrSkWdJ3+IEqugo3tHZxuesBPrcLOYhNkydooCeFOZdSO
OVTKNUTZiAxPmQPg1a9tjZpZpatlsF8t9osOyRxrASwAownp9TUwSSTXsUhJbFVYZkviMCxyLHDW
uFsKna+E5V7rLc4DV6PXyK6mr2UVPaJQwFV0vuI3+jrZ6gYu7VOVRU8QCW2/N5J9WNRPauXuDBPQ
MnkZnCsgoOZsrebxUW/HF1LPW+EAvc2WQySSG9i7FNT06l1pykWcpmTW+viPMdV/j90ycPfBsbt/
KZMufxHdL47e/ORfR2/1X5IEgqSn07PtUNj999EbILmcBZkcpS3Nsjlf/zkUAmaLyKx7HgBaetvk
f/pzKESK0eC0LM1/NkEJzvL/wVDIkAHLH4aMb0MhcCSc/IlakrJUees/Hr2hGBlZO+XVleC0tJxT
vbbSi0YnsR70fUEJBenXfg0q7mKRJCYi+9WE+x20enE/aMBRC604NXr7TIrrkHflbVIkfq/oMNxS
quUs61xPHJRLZ9xSLBD5bZedAFE/Lmn53UvoV6sGvaPnxK5urGjZaAUpwBj3nMCURnEYNu+8T889
VoyJW4rfGkOpfdHhiU0DNZf0M1CkuVcdo03or7X7aJtRX7GsVCC1hP3eWhZBZ0GqkA5ch4KAbePQ
7PTWy2i8dTSGb32NnhfF5qlNk+45HUPOtQyD9c0ghnRZ9yI9OvR2pGusEh0LMO403+vcltkGOAmw
O22kNgFV2PCr8nH6ImxZkZGXj05tCcBK49YdPObmif1ShzTNOSM9oqmbj5wKqnMSqs1a70hW13ES
NEuIXs+1owqHB10NPyntsu8d5XZgfS+Hcc9MwadM6zSN1pUna2Td2l63uc4BOnkh0n3MBRf8qhdn
PFJwz5V658a4xFtPux1obbc1PSD2d3Elzc1oV4Uy7rSkP3CF2AFtPEUenlt9uoiq/aLO3a0X5zs9
tR848kFPc3ahFl3ZMQ63Jq/v8npZOaXsU1W3o9Xdtj3b1TTuU9t8LJz/Ye+8etvIuqz9VxpzX0Ll
cDEDDJNEKifL9k2BkujKOdevn+couG2J8vf2UMDwA172hdGidEgenrD32muvhXKhY68du4KL3dH3
n2jqPHR+pAqeZrF5pnXNnAiO/slxqmTVqRtUF9iefysrFNQae5bTwA0x9QxXnXMbgTows7OU/teq
V+/GLjtt1XCCGMQZHHFCHkI63z8L3eys0hys7oxFU9er0AgPc1P+rhrhwg7q01yr770Mnr+w5/Qs
UsZSQXdFOUSRBLu5qp40jnzWqP5sKMKz0lQvC5AZVBtuDV9bxhgD0WSQzRCgXFYw2qhjIwVSbACt
uN7iO3LG20z2rxAVXLi5cYKk6EJtEoL3lnh3UE46HTE/3sTUSRWkvJQT7O1WZMYIvdQnnqVw8/TH
Xe8vswrcFEnCTWmpELb6q3KInInrtcYlbYiHgdn5Z6arnw6GmpyXMXzEJIoLul3UTMPtDa+AidEX
57JpYDnHkmqEFw142bQwu3yWV87j4FHl7/HVS7QTK/Au+6I2Zz0WRC2ikzMIg9/rcGD5aSb9/e5h
X7TDQtLc74Tup53T+ws7aW4i0mlN0tB/0esKOuSIqGOU0pOQ0Lgv+UR9eSulc9VXTl1dv9JLZP7o
YyXR6fnG0W2/CHPpsNIT+ClhhrpNJE2lygoXRa+c1mFziO/O1KB/SSaZmrM6+LZUOJB491wUdNlO
U706VjU6e/yhooM0OIeGeqIV0iFCDfPELM5yVZhGFskDop98GaNES2XVzUJ3YLJq8xKP1iXWbNoM
DVHaiCM3mrhjX5MBNfjUA0OqvkFncpCf0PNBPlejBKlmX2tLh16sJlijJ+NZo2infRQ8mloRInOp
4j9JC0AvdLjRFroyU/UL2qgryYBPKTXxIh7SnGyzO6X8M0xanRMA5cp86uQp3rGF20xIvopF2Awn
Gej1xNSC8ygqbluzMXH77m8802C909KW4rLSok/nxkwNwDpdUmV467RJOkUG3KE9S+pO8HqKj5E+
jP599yvPvZxck3+4+zk5NuWWe5+/+nnvc7nTnylE7MTdLvobfkJuyoFD6gZfTfRRqDZ1v9d7X5jN
qpC7qdM4iikrAHWv976QvtfRNJAJIkREof6Te1+1f+cZce9D0KRViDZS4HkkFN4Ug1qVaLqQnOGc
W6tawAJM55UuVxE1f9stjlFM7w3SUEOSaAJO89Oua65lVMINO6I3CrklnHFk46RPyQjbEFfpptJX
OuLJ03jQqoWq1JSOaSQ4QsE+v1R1+sZojINWPHgGhj7ZVwcT1qlkyA9pQSqp+ONlEtAC6Hbo2EpQ
1yeah2ieHbfTNGtFNmhF0yDrwPttmhwb4HtsdNTLSMNMuk1o005QIZBL3ziSrL6fkHBUSzy8ULx0
zNSYBnl0pSv2pouK6wwXlDxBGKuUTQkdMqlfeQ46OmPt5OdyY37HlO7KKRjFVaJTwqYOmAatsD6N
UWJyTmXKPoWmxpPeay/laPySNPmtExbHmM99pz/8MMwT3uzYIapjhye6IXxbOuN0zO3H0aFnDCe0
Ymqr7fFgZdkUBYJiirRRgoBAv3CQvo8wSpkYdrZwUVG3pOI0VfOvIfJgE0vLcSj3k3LeGcP9GKhn
SgDHuSPpCnwvnsqhVtgXlWZLwyEeVAMxhXDRlWG7F7T32wqavXlG41S/QP/xUCU3axSHZtNxM9rY
rxhWe5z2BvaTpWUjdskhmTb4fesJXSylDUvb8TiNO1W/y5v4tJEwuyv0fN4iRjSrho0LtZ2W3Xqq
ut56GNIfjeVlMytCPRhlOaqOch2f2rF64ZYDNr+05mAUmQMhjmu7wMhPAW2domVMSKNjzgrwtGxJ
+8Iwu2zkRKaukHeI7YQL9GwNnLem6IAeNop52XfeHVrOaFslFea2SD+1EnmhTRKIHhUlHbqs6hn2
9vKRFafBPEvgKGLajdN94XzJ3RA9La/AkNc8djubjpkCjnFtBGt5GBHHbLO11QMJVL0UzCrJHY/c
GrY+roT0l3g6sabaIN+sjDmwnAeLvvauLddiTVFUO6Jr6rRGkWnapOIS70eJGpwFjqXrx7HUXZqK
/y2FQDRJ+8SeI5J6kpjqkWnbnO2ec96n2M3HEnJPlk+06yECQP9XDZ8ehR3oyOdZLy3J0pF67KKH
JmzuwkS7zwfaiXXwXWj/Gw4pdPS8hKYK+6ztDHke2hRg3SptT5yhutBy7THUYe1XuX+kxcN9Fzpn
vZpeB2kcThNj/BYXtYzUjuEtbCMMF7nAKWqXDtqsQHbBjydhGG3CkdbkQXUPxwadH9QJzEmlV4gS
ecIC2OvY1EE8l/LoLu2yO6X0kd9s9TU2699TJKH4+ulEyDNk8oJMO20y+0tYSse0Y65QO5UpARtz
08ecF0M9gMSG+i1ig3j6fKtRzrPC7CQrESTsYAMLwbCv9UioEHmac9TmljOrEgd/RgrfdMQ4+rka
ZWi4FsJW4d+VqKdr0eCq+vhavCmDNKiH9/ei+LOf96IqXLhkeuNkXXVYwr/ci9qB+et9+XIp6khq
Yotg0U+H7QtSivByXi9F54CfyzLJK2URWfi2/4NkGH3Gt8mwDrEbHX/V4R/eyhsGEBhrbxZFlVyk
SMTrp5XaoDQ2NAEXH2oaneoAF7atLbS4HrBa+j4KZaseiStdaF1p1v3Qdv48RwSrxKC8EKpYqOPH
s0a3zmShmEVQiVRmTtuxK/S0DKGspdLuPPFz70wSqltt69fIPmfn1VA/SkKZy3C6R11odfkZtWOh
3pXZwXEv9Lw0JzyVSMtLOTNmmdD88ms0qHFSjKnZlI9Shi45WpL3LQ5a9FMOhzLiYRIiYn5XKxOr
944sqz5LxwhYV8iNGUX3rUNtMq6HeBpGyrVm1F89m/q+I8TKFCFb5mHFNqcIQ6okRM1o9VhbQuas
EoJnNspnmOWdZwJxAgGkRxwMygeM6lV5lcjGRq+TQw2wqtKDY8reET3c0rQHzqIDnN92jhK5/NoA
d2U94D/u8V8zgDAnvNe6bCaDjQFFPpRqdV6OwZ0BdhbpKL2rmgycZpgXWO1gvAnSlvgBlpS1RNVG
arzFEAXXeASeIb5+Nj4BdTIS+YMA74zCTpYhXU0TQ0B7naxfSEZHnVsoghoSjA6A+ePQpxgZCnCw
8OJTPEHluQ1uaFY4oXVFCTpdr+wMpFxGkzGn4RG8u7CXZZ6qh8CcQABAkmVA330+xPZhZPnlLBTQ
pdm6/dwQcCbSS0CXg3qEfP4XF8QT5+wLU27QmEq7KQI/xWFJzadHnWPigZeqhkdnooBQ9W7kJAVV
xUMF2QNVcg8JTN1pl7XHMhisL8BYhCDvQ9xqzNa46EBrvRDY1lRD5LUzZNf1I0dB9SEazdsa/0g5
8b5A0tjQ4CpNoxFExxCwcCsAYgx4vqZhQf1C5TC28jsa8rmhqu5WEvAyfwpxRUDOmsCeJdr7NNXM
kU/PfiToTRLH5af64JxHOuIK9dCDZQNqN2A6817g3Bats+yV0oaTEqhTJO6Pupqe/wgvl3Xt4tAC
l8SFdwR+rkUhnfP0XQa3EF+QWhZIO3sNcQ6wd7u26sMUR3cuSwzVekV1p1omH2OaTvkBqfYkxDhy
BNCH3UJHelqAPQD2Bykh7SDw/+CpEkBJAPXOddTjksZau9a1lTSgQ4e0ukQ5AeP3uSbqCyhEzm09
Q9jA+iGLIkRu6T/KUf7mUJ1ACfosH4ZrVZQtEPjx5+ZAv8OQFFd+U61jHX/aYFja2Yh2uEPv/1MZ
pFeAqyud6Gv4oVbld09qjrusvqR54bRuw2iBwMVspLaiOVCqFVFuQYdDnYRNJNJ+ijFlXf/IpQR1
3L4TdC9rHRTld0uUcKqMUrgqyjp9Z5urGi/NCfZE9jSm+sOpW4BaIG/YUhmqYQvQv0qnJAfycSXK
R17VIDY/tqtalJZUakym369DUXTKRfmpLqqY8IjMtNLpVUgQRfLplEdq/Lo2cNXthbtfD6kFSyVQ
qdQo2XQZW8I2sWMPKLz1LmJ8mmjGcuE4St41BsbnWe5cO65+pPUDFs0U9+j8jK/cHMqOpxQLr7bj
r2VX4cLVIf0FxCo6MdnYRnhnmRRZzbaLFhyrOhr//n2fYgDY6MECj6MVB/rVoGeUUuWkn3EBXOZo
RU4Cw5i1MCUOfZlaTFtpOhQgTPLsdIV1hD6Nivik8tvLwMBOXaUQ5tL6SxdhCYLlxfxt214bZmgf
jWlzX2UhJR7sliYkYT6WSAWmFqP0w9Ep2Nd+GRxiSniJg9K9qbG3i9iyib9tFAp7jyZM7JjQLcdI
tcyKr4qdiKITdaVk6E2UY6DV+DQIzzLObCNPZURE5HoRCz8BJ7jLchYS+OYCM/tyovCVEwoRRXca
Pc51j0IXlpfMaRuYS0gGBPs6JDDMvtg0Bqis3t76Q3TZcSdO69DOmBiKKTSoe+hgDCw320IRNxQF
FmE1mUtjhwUrfAoJITYkc7upJ3cU/yPz1qghPKTDo5EZF6GXb3qF4ZC6+yo0YyddKbH0mvQEbfXi
jDLbKfc/LZlWSle4sqzjvIRdpTZI2mN9iXJVvKzG4lZT2fiYst5Jg35eB/VjV8QLxw1vuezl48Ck
ls79v6yQZQfYvnHG6EiTCBYtv+0FsIcWMW6bLqQuYXMDOI0JJ/yldqZa1kPQZ9IsKTNkToV74JDZ
V4qbFHNDtM2mKObM8xwhlTZu3KVcDmsTRjPfZ6suosi+6VN4A7YrrQLPW5c0sXu4kKC3lR9mRcbf
W/lFFqHLhQOjN0dG5SEPcaTEVuubLiNZHRbmBanpl0w3cZGM+6PR036EMirEWqs0SP7Ttm739Gyb
FigVlmbRRM4Gll9IoqAEA419o/LNrNozR4+CObpz5AISp7Y/kMJhCtFRhQ/XcqqeRrBhpnXghihy
5seBcFzU6/JwGLFzazQRecvRUejV9G/YaBTJNcKyheqm0yzEqxHS0KPv0Std2F65aBVNnmZJ284y
eUATmFrqIJl3iY2whue5xjQppBu/7G5h0EA/C5xp1sUnTYVGiteQ/nikF9QB/OvatAq8Oupl42Go
ncjOLUXsCy/unKlW1UB9uYTZHJW+qdbWi96T4pkapUuJyIkNGcrTTq3ucy+56Oky9ZgtrhAU2BAw
ngrOQwc1UcrNH6Ys3UjQ6GZWIriMTvTDEixEaLIP7VAeO9zkk8EyHipswwu7KWepp6zcVEtnztjq
096M7rwkqaZo4ahTG7AulBK8Oe5lG41SB/8IG5u4idKEq9wAeUbaIzxTg2zp4hJEQTf65klGPqEk
caMgUgpnULqyEgfH8SRb6k531xNzISs9Qu7Ms3Re1GjADMiUTJKo4OPgPYimMoZDWaYf2/D/bHvA
hcgqQAa67oepWlS9O7iSkIAWctt8zVu2rl8ql7GXCgxVO9XMAJltIywnSExcU2un9Q1EivCy55wu
09NeL9NFaeorxa4fwgRCI+WDu6InBURq53aM0YsY4htVh2DVoSSUWfI9vV4s/i7VKEda3SyLm5O8
KhepTCstRQbwXNSnWLXhxiE29lsTumSfbsakXI0O+jweRRBVTb8GIdRjzETzFgZrRZRnRRx9fsHK
9B0MuTNEWGZFYx3KffnD9AnprKz/piXEfC2GOUEcfqUqsqQRfOZH6dq1o/uwbs51vVglAeIDHm3k
LpTlCaoVR2hUXfW+Mu8NhDzcIrvuK+co1x3q1KSNcohztzaFHkwZW8OQxI3n2NqfoOS4xC1yGhty
q66qUBmmhWep0WWcjubXIQtMevcko+UHRo3ByGCbMEJz6d8eDc/QrKC1f5yDfoOtsCUB5W9+JqCw
9GXqTmQo+LxBPPglASU3VYFDZeqrsoBH/wZm7QMkKXSIjoqtKfAVadJ5zUFtMFsNDiWQLcxF4Sv9
D3JQuP9vc1Co+aZOIoWJLdT/t1xIFDTDNFZDJKpqV5pA9IBdW97UKnbwobBAHLGzvwmovZ6rdZJc
V8IqEdmW5qgZXWWqNPTPOsJRsdC1Mw09wHkdJ3BvrHCjjfCWamHFiALGvdN02CgOAIwEL/2F43n5
FN8Va+o0bnaj4+tYyg3sGpwe28CHe+IVtEwJG0jFs8DcUMCZey0mkZWi3CbI3x3FMfS40NEOqXou
NZwlPfzrF72OhxbV1+A8FgaU6Px+x2Ga0AJvynRUg9tC2FX6wriyFhaWUoQegsIUnNMq5i56uXaO
ICUhV97RlIRgFBCOAHNiAeug04JyBUhPhsgldtkhNIcmOWlAgyJQoU7AQzU4kSMAIwPkSG70eWR5
8lwFU4rAltAb/8JsnmYCdJIF/JQJICqN/O8GyFRvEl0CY995RXQnKCDzXMBYLnhWLYAtTUBcWqrg
7OrhICrgL8kEbhOAWJ+aKxM5VnTDsadwBGpWC/zMdzu87IDU+KLDqWPm15nknumAbvYYHGkYUvFJ
tEcXWA7yX3sCZYzmhBqJhALwDhoLrRnueGZkfKV13s+oUAJeaveqVlIXjR4kF4WkzPdXEdCgKTBC
pMMJAgRuKHXqEjUhdAtwKoX96JwT1YLWJjoGGOZJJvDHTCCRBpBk7o2XOhAlAv8wXgRq2Qr8kvVB
3mgXkX2uDQDO9zIUhmFp1Rh0WLDVJTzpAIuhnM1wmKsmvmVspIo8pREJhDQszNFFLsgJDUTv41WL
murEMjjl1UQ50SyqbbFgnLmy4s88ww4OByPCwotyK3R/9ao0jJaSV0lS4EUPhZrrRKjBMA8gyM2z
0FnIcoTLVjQyyUHlLmlops/QiFASYYNPUTg60rz8Kk7TnpWtL3vbqfDMTuSb1HcrlNBQWM5SaMYG
sls0swIuuAQJupyCAbmbgfw8AGVYRoZxU9YuphdpPUWreWpZzhmgdbzE2MvkDgcQtmJzKdmlfm7V
3MPoK9dTLEzxxSv16zYS2H9tnFAHpPJHu8RUloxVid35Shmy40KPlWWRBXxLNR392tdKcc+lzlt0
NDss9C6AGl0G0dRJysNqACgCTJrZRXzvx8bCznK2Otskz62eiU2+53616q0uX0aSZc/iQFHO/S7X
Zm6Dqzsa594q1SH2NbZ71hbEKKEDkj844yTGjniiUVCcuFCOB4VwGWFnZCGHEfVCVXWP5KLWAUMy
/XDwXGcmozm0zIv02PNlBA+9RlvBzR2xilOkQz1DjSujJGRKyNeP0bBCF/gr2al2oYZoBnH6wcwN
gE/8KF9JGhlD79FsH+bfCiv0flQpwpo+2/jSCsMNwiEQ4fADB/v+N4b7jOFy4fzh/mzu11vuT/7m
l/uT61Onl00IwVG+/OX+VA7gOMlIw2kIUf3W5ebwDJctYO1PGtTf9ycXMe0JPAUFSf9nxt34sb67
Py2k10w6CpDZQalO3K+/dPvGdYmeYdbL5zVFRmjcxqFJjfBYRaiS3E/JLw1RlaTxifpGhMhmRl8W
qjL6qswMqNSinsnqM05KUeNkR1Dt7MzDlvJnbPf5aTlKUBpkLBTsBwWR65madNgrN+5sNLul49qL
wMrlGQLMh02FKnTqCFeYTr/t0vJID/z0pvA8jJrz/MFELSmjclgquiiwQVQ2veIhHpxollWkjkXX
HfV53wMOZH56KWsAsKEOOKlRo4L4Pa872Z0mnYT+iCKU1uLiYnDrtdV4D25iY9g30KjjDXmxhAGd
TIpMuqpjO75waIDCGgl2AGpnSKcOljVzA2AMzD8QCXMHHGh0CoWO9lgF5qVvwBaqA0JyP/oaqNpN
nTn5TArVTR7h7uOO3m1Jf1/Arm9gck8IBo7cwnnkHE5Rx/KRiKRVQQ6FjN+3JPWOw9G5UWhMw5VS
4NOqfJNboYo5kL6qfWqHsUsyqdbGemgqxHqt6qvdNajDogYFiRLaty5fYLihoDUbXAYOSbOUoG63
GgY0X2FW/JBLbnpTMIOC43bIvKUWVleNiRJ7T1Q+GUsyNMukZIWTEJdjPLPAz4SEekMjA0ZcoLl1
XEV0vZXJPEgr+9xR8+EwRr5+0prYuNJmSA95uVELStPOaHmXkkDbxsB4cODbnhWD+iPODCpNpZnJ
Mz9UnTP8xxEOSdG/cyNU62oDFYc0TvOVF2XnVHTBTWP7vAOzn5qmQ8V7AC2NYJlUSrZqSvUsRwKU
BHwsJ3Wgg940WUqPCapbPZknIMB3M/e/RFHU0MqK/p3qp7NR9Zk3j8mNUzyb7Gr8YgUDbRLZfUID
GrQVivapdKnY+Q/dR5vS7w8bBNynaWSWU7kutaUZF8vcTFZ9bSAepp0PSnSua00/dYTsvJyFd3Ln
3hqJVB3hnYE2r2TdlrWHwKiinri5SsxhA93iDBNOGlm+SoZ6JXN5FVF4FQRYxTfxt04u7zHLztBP
p6NnAKSwy6iZlaI1IZNTsB8m19ClFaZTtELLFFcaZ4hIvq0T+hAfbHXUZlU93OUaMnWtgpJLNdKS
Wo/oe6KlGbmjDD9LPuvi7t4X1XNT1NFTMygmGaV1DYKDQyRsUnIPRe0djYKHWsbytBQAr6jP96JS
H4UN4pzU7gdRxU8H47GmrN8VNCUlFPoLl6Q/ELV/9JqROqy+25ACCKpvFUgCCkKxvD+CN9E1Co2g
FHwC3vDMG9sOFcPo1BacA8ztrypH+z4INoKn+zEuBzAUpGiQlplgLaQgay00Br2RNj60BlvwG3LM
2e2JLlgPruA/jIIJkVj6HH3oBp83WBIJdIlQBte2IZqgj1iNEymDVYFuCVRqwbRQoVyENDvw9mBh
uFAHoDhAVaRXaeIa8gMNVy96IP8f0Idf3qJo956nYIHDZbMph6tNBRhcvaZw4tmLDAT9Jvvf/dKf
B/pr8/TKN0O++c//WD/S1TwLqroMHmpyz+fnlo//+R8vpCR+9tvN/fTGnt71H8eJ13y65pFX0Ezq
pdCSIBbhHcCDyzvOUu/laUlR8VzB1YQL/jlK+GWOPpqFP3/A5+n88+/88c2/nQSFfH3HSTAONKhU
JPGCTcWDKvBvkyD094EGiG3I8nmtfZsElKve0tP++UqwDmB70+5JWPb04KP+NgmsBGxtAEKeF93/
8Rz8uhkM43/18fl8f+8DRBf4+k3K/B8uAWpw6BiCEj099nIhGLK2+5FgHxh0E0BElj9YCBAZHfEf
W+Zlt+zhngDSIxHY8WCwD5gIcgZD7DAeb09HDgaLB3RJiCF7OQna2+Tuf3MwAECS2+EQ+/x4fzBA
GVUMW7SS7OUkiAN955Ugemy4Cvmifz8WZZaAqjpIfO33btj9YHAODOjL4p58Xgdvd4OQu+EQxYbt
eb7/j68IPvDbWEHfOVZA6IDNDhtbg2UmHrzK7+sBYR8byTdb3deASdt9N2gHji3jYP4SL70PmCwi
KgHfCBX6/TwSdl4Jmn0AY19VKPR/sBKwZuIOZcfs60oQHP+dz0URGTsYSX1wJqiiO9GmIMxpsZcr
QXuO6Z/VA39md/8oibIOUP5F5Zpr8OnB2vr9TFAOsDjEvMsRUclTfrGfU/EcxewyFTqWmmC3tgYO
Kx5vp0Ih0Hbo+tjfg2H3OXAOVLHtCRuf52DLFQEhjnqu/rz/9u+eFB5uOx4MQqpOFfECydnT4/2e
wHpONvFz3dODQd45dIaozrFAeCiOSPF4l1PrLBVdI6d+js72byUIcdLdVgKToDsyYkuvEBPT+vvp
SEiF2BSGL8+vtX+TIO9+RdCsR3MDFIjnhSAAi7eTwA1KuUu4FPPY1whaKHXtth40WjRo32AqXpCU
d5tCFt2QwhFjX49HoYmw4ySYNG8qpgHd5GVBvFkPAlmwkf+0hV4yr7V/m8J4PrJ2CRbMA8IE/Nde
Uuf3aQQ3qSOEKAQnay8nQdk9WmASSCGIDj+4KFkJJs+RVD+fQvu3EuTdwWegBWh2uFS9uxzIHyjC
W9rLctu/T/8CduyyD5wDRUAqNLQ9B4wc/r9fDhphAo0I8Cj2dR/sfC0ArAj6iK6/XwLkFPBKkM96
iaL2dQ52x1XUA+idtqHDKH16cOz9thAU48Dg0jDQxXx6fl+jBOUz7gZUiDgUrBew8W3ApAj4xTHp
F91XYEEoO+0YJQAs4JplUdZ5jhLeIa7qgTDFphl2bydhd4iJ4isbwpKB2J8eW9JpRzEU5GL3NZMU
lLPdVgKno04VCjr58xy8w1VUwEaeFvJhe3o8vlSHdrknLeTRBIvvFVN4lzlQokY9hdrk3h6Mz9/O
LpOgH6Cejtjna7z49kzgYFTpFtAttox47OtUCPeKnTcFF6HJdHyQRAnKgga7BQWzvZ6KF2x8l1UB
j0dIJUDUf/qk71Ipzge8Htg+L7fSHsbRu8cMVJ1knDaQJ//guuQUpUWZnbHfzAV1562hPR2VrAaE
0l+X/u+RJCiMiemHyr369NjTW0PdPcHmPISg8XNRvANhSbC5NWzo5s8B2x5ujd2DKPMAyVHL0tB2
eHq8zSyo3aMqSmF7P+hdnAVva/cv9fRdDklWAgKpaLB9kF6J+4IYCrXd57No/1bCS8Voh0kQNQkN
sg5dF88b/21ixSSYcJ4Mrot9PRN2D6LY8rQ248v3cl1u2Q4oy+gUJfY1p9B3zy6BnTSE69gOH1yX
nAmU8Khb7+skiF6j3WJITQNyoeximx+QmihYo8YM/Xl/A+ndr0jKkLZwqfyIxSGuSAdQynypfOzf
wSjcjndcCfYBMYBYCy8U4G1nAhquCmJgz489PR713aNHnbZ3WcBKHyRWoibh0BSC1speT8VLBXGH
61IDklVA4IBl32Kx6K7DA4Tq8lK42dPl8E4e4Z8zgKFBIw4rAqM3c0DUyBMWPZX7ijII98QdzwWD
wxEBLrC17amUgN6A46G97mv+8AKH7bINSK2BlIBgP0qtlYMnxwBjbzlN+u7XJFVKmpmpQz3DB9tA
WJ7k4MSlUzz2dVO8UK52WQ8iqeaqFBnl60f9DV8gi5B1h3nYW3qXUGzZ8WSwD148Nz5Kqp8uDzrP
RdcAr7V/YdMLsWKXlUCNyobSSZbwwUoQfieqoiCfuqeT8M7X5Z/fkBbVF0xFDPOjGpVyQKsAsDxi
QHu6Ep4Pqx1WgqjgQ2UhWHoJCreUZ0QMQdC4rwejsXOhDnYbLYJU6IETnx7vqpXCExpvS6C2f30l
/AsHx88G5akfxI9z0UWMMd+2DuaPfuG1J/f9879gcU+9lr/9pmhVfn7xZ8RO/P9//d65/HTw/fLs
60H49Eovf//yEd+/+G8v9vq5Xn94FGzKdfmAEMFT2/TLGz1bJ/Q2/3fMP4/rt0iiyPNff7a9zfrn
rfDn0RFr3rwO9HdPtug6/Pujvu/h/tcGT9aPWfk60C+Ds3F2HnwizCpex/ll7J+Y6w6zMl3H65av
pNoyPut95/c+RQiweveVEm1xwX7C4Gld4uuebbXPFcnPzi8x28R/nWXl1vnn7Nl5/Hn81ywrWTyv
Y/3y/XIc7zz+otxU6bbBudZ2Hvww3qTp6zi/vPHP2K5HTXKfxY/1++GVz9iwyyTflME63jL8Z2zZ
Jdq+W4b+jB17vCm3zLmg4u/8fR4HqbflIBCc2Z3HPllHW84wQZb+hKGrarNtTj5jg55k1V//nXqb
eLNtZj5ji56uHzmAX+fh720kSAY7z83pGkuH13F+GfsztqgYO8+2ne6iHr77W9+kj9lDsO30EhTe
Txi/fNg8vg7099yI1p7dB89476/j/DL2Z2zT02zrnHzGLmVofLE2w5Z3/hk79Wydb1noolC884Sf
bdr1+9gRd9vP2KLn5Zoj4PVd/vJ1fsYWvYjXD5stsaNAJ3eelou4SbYFd6ItaOfBrwJCxyp43DIz
omd95/Gv1w8lKUFab7lLhW7KJ7xA+tdkg+XNthf4jK16vRYvUKbr8nHrQaZ9xqYVLzILNt62D/EZ
u1aMv2AHPATVw7bX+IztK15jla2LZtttJTq+P+W7PmmC6q/z+6DKt32Oz9jM4nOcruvNtvE/Yz8z
fr3+a7Iu79fbYgZRSvyMmeI1pvH2V/icjS0+BSKG4+vb/ftM1T9lY/vrrTmh0BPZfX7AMLZO/qds
5qCKsF9qXt/nLxPzKXs5i9fbogeB+u8+MQQmyZYLXiD3uw/+/7Lr/oMO37+E4Vz/yRN018FvNv56
29QIUvXOU/Nn27ad33rDSbDlihcNfru/9QaAKNmGy4lKx87Df2GEZtteFcZwO4/+B6uCXSf928cq
zn8eehss+7OQ9R6sfVV33PZnv2PR4jce4s26/K//AQAA//8=</cx:binary>
              </cx:geoCache>
            </cx:geography>
          </cx:layoutPr>
        </cx:series>
      </cx:plotAreaRegion>
    </cx:plotArea>
    <cx:legend pos="t" align="ctr" overlay="0">
      <cx:txPr>
        <a:bodyPr vertOverflow="overflow" horzOverflow="overflow" wrap="square" lIns="0" tIns="0" rIns="0" bIns="0"/>
        <a:lstStyle/>
        <a:p>
          <a:pPr algn="ctr" rtl="0">
            <a:defRPr sz="900" b="0">
              <a:solidFill>
                <a:schemeClr val="bg1"/>
              </a:solidFill>
              <a:latin typeface="Aptos Narrow" panose="02110004020202020204"/>
              <a:ea typeface="Aptos Narrow" panose="02110004020202020204"/>
              <a:cs typeface="Aptos Narrow" panose="02110004020202020204"/>
            </a:defRPr>
          </a:pPr>
          <a:endParaRPr lang="en-US">
            <a:solidFill>
              <a:schemeClr val="bg1"/>
            </a:solidFill>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2.xml"/><Relationship Id="rId7" Type="http://schemas.openxmlformats.org/officeDocument/2006/relationships/chart" Target="../charts/chart4.xml"/><Relationship Id="rId2" Type="http://schemas.openxmlformats.org/officeDocument/2006/relationships/chart" Target="../charts/chart1.xml"/><Relationship Id="rId1" Type="http://schemas.openxmlformats.org/officeDocument/2006/relationships/image" Target="../media/image1.emf"/><Relationship Id="rId6" Type="http://schemas.microsoft.com/office/2014/relationships/chartEx" Target="../charts/chartEx2.xml"/><Relationship Id="rId5" Type="http://schemas.microsoft.com/office/2014/relationships/chartEx" Target="../charts/chartEx1.xml"/><Relationship Id="rId4" Type="http://schemas.openxmlformats.org/officeDocument/2006/relationships/chart" Target="../charts/chart3.xml"/><Relationship Id="rId9"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5</xdr:col>
      <xdr:colOff>31750</xdr:colOff>
      <xdr:row>0</xdr:row>
      <xdr:rowOff>0</xdr:rowOff>
    </xdr:from>
    <xdr:to>
      <xdr:col>42</xdr:col>
      <xdr:colOff>169333</xdr:colOff>
      <xdr:row>45</xdr:row>
      <xdr:rowOff>88900</xdr:rowOff>
    </xdr:to>
    <xdr:sp macro="" textlink="">
      <xdr:nvSpPr>
        <xdr:cNvPr id="3" name="Rectangle 2">
          <a:extLst>
            <a:ext uri="{FF2B5EF4-FFF2-40B4-BE49-F238E27FC236}">
              <a16:creationId xmlns:a16="http://schemas.microsoft.com/office/drawing/2014/main" id="{10FD45A1-A66A-4155-8D9D-516CBC46F2B1}"/>
            </a:ext>
          </a:extLst>
        </xdr:cNvPr>
        <xdr:cNvSpPr/>
      </xdr:nvSpPr>
      <xdr:spPr>
        <a:xfrm>
          <a:off x="3217333" y="0"/>
          <a:ext cx="24415750" cy="8185150"/>
        </a:xfrm>
        <a:prstGeom prst="rect">
          <a:avLst/>
        </a:prstGeom>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0</xdr:col>
      <xdr:colOff>0</xdr:colOff>
      <xdr:row>0</xdr:row>
      <xdr:rowOff>0</xdr:rowOff>
    </xdr:from>
    <xdr:to>
      <xdr:col>5</xdr:col>
      <xdr:colOff>42334</xdr:colOff>
      <xdr:row>45</xdr:row>
      <xdr:rowOff>84667</xdr:rowOff>
    </xdr:to>
    <xdr:sp macro="" textlink="">
      <xdr:nvSpPr>
        <xdr:cNvPr id="2" name="Rectangle 1">
          <a:extLst>
            <a:ext uri="{FF2B5EF4-FFF2-40B4-BE49-F238E27FC236}">
              <a16:creationId xmlns:a16="http://schemas.microsoft.com/office/drawing/2014/main" id="{DE4DFB05-8603-4196-9799-E535A664EC8B}"/>
            </a:ext>
          </a:extLst>
        </xdr:cNvPr>
        <xdr:cNvSpPr/>
      </xdr:nvSpPr>
      <xdr:spPr>
        <a:xfrm>
          <a:off x="0" y="0"/>
          <a:ext cx="3227917" cy="8180917"/>
        </a:xfrm>
        <a:prstGeom prst="rect">
          <a:avLst/>
        </a:prstGeom>
        <a:solidFill>
          <a:schemeClr val="accent1">
            <a:lumMod val="50000"/>
          </a:schemeClr>
        </a:solidFill>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208139</xdr:colOff>
      <xdr:row>3</xdr:row>
      <xdr:rowOff>172157</xdr:rowOff>
    </xdr:from>
    <xdr:to>
      <xdr:col>4</xdr:col>
      <xdr:colOff>585611</xdr:colOff>
      <xdr:row>5</xdr:row>
      <xdr:rowOff>153108</xdr:rowOff>
    </xdr:to>
    <xdr:sp macro="" textlink="pivot!G4">
      <xdr:nvSpPr>
        <xdr:cNvPr id="4" name="TextBox 3">
          <a:extLst>
            <a:ext uri="{FF2B5EF4-FFF2-40B4-BE49-F238E27FC236}">
              <a16:creationId xmlns:a16="http://schemas.microsoft.com/office/drawing/2014/main" id="{F33D677A-FA14-4648-A893-D926A6FD1DDE}"/>
            </a:ext>
          </a:extLst>
        </xdr:cNvPr>
        <xdr:cNvSpPr txBox="1"/>
      </xdr:nvSpPr>
      <xdr:spPr>
        <a:xfrm>
          <a:off x="2081389" y="711907"/>
          <a:ext cx="1033639" cy="340784"/>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314F564-2AEE-4998-B50E-CE8A7A5542A2}" type="TxLink">
            <a:rPr lang="en-US" sz="1400" b="0" i="0" u="none" strike="noStrike">
              <a:solidFill>
                <a:schemeClr val="bg1"/>
              </a:solidFill>
              <a:latin typeface="Arial Rounded MT Bold" panose="020F0704030504030204" pitchFamily="34" charset="0"/>
            </a:rPr>
            <a:pPr algn="ctr"/>
            <a:t>2,400</a:t>
          </a:fld>
          <a:endParaRPr lang="en-US" sz="1400">
            <a:solidFill>
              <a:schemeClr val="bg1"/>
            </a:solidFill>
            <a:latin typeface="Arial Rounded MT Bold" panose="020F0704030504030204" pitchFamily="34" charset="0"/>
          </a:endParaRPr>
        </a:p>
      </xdr:txBody>
    </xdr:sp>
    <xdr:clientData/>
  </xdr:twoCellAnchor>
  <xdr:twoCellAnchor>
    <xdr:from>
      <xdr:col>3</xdr:col>
      <xdr:colOff>250471</xdr:colOff>
      <xdr:row>7</xdr:row>
      <xdr:rowOff>46567</xdr:rowOff>
    </xdr:from>
    <xdr:to>
      <xdr:col>4</xdr:col>
      <xdr:colOff>515054</xdr:colOff>
      <xdr:row>9</xdr:row>
      <xdr:rowOff>23990</xdr:rowOff>
    </xdr:to>
    <xdr:sp macro="" textlink="pivot!H4">
      <xdr:nvSpPr>
        <xdr:cNvPr id="5" name="TextBox 4">
          <a:extLst>
            <a:ext uri="{FF2B5EF4-FFF2-40B4-BE49-F238E27FC236}">
              <a16:creationId xmlns:a16="http://schemas.microsoft.com/office/drawing/2014/main" id="{83B6EE60-3016-4E31-97D8-7929DA931969}"/>
            </a:ext>
          </a:extLst>
        </xdr:cNvPr>
        <xdr:cNvSpPr txBox="1"/>
      </xdr:nvSpPr>
      <xdr:spPr>
        <a:xfrm>
          <a:off x="2123721" y="1305984"/>
          <a:ext cx="920750" cy="337256"/>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253D07C-673E-44BF-84A8-01C59FB9AF0D}" type="TxLink">
            <a:rPr lang="en-US" sz="1400" b="0" i="0" u="none" strike="noStrike">
              <a:solidFill>
                <a:schemeClr val="bg1"/>
              </a:solidFill>
              <a:latin typeface="Arial Rounded MT Bold" panose="020F0704030504030204" pitchFamily="34" charset="0"/>
              <a:ea typeface="+mn-ea"/>
              <a:cs typeface="+mn-cs"/>
            </a:rPr>
            <a:pPr marL="0" indent="0" algn="ctr"/>
            <a:t>4.0</a:t>
          </a:fld>
          <a:endParaRPr lang="en-US" sz="1400" b="0" i="0" u="none" strike="noStrike">
            <a:solidFill>
              <a:schemeClr val="bg1"/>
            </a:solidFill>
            <a:latin typeface="Arial Rounded MT Bold" panose="020F0704030504030204" pitchFamily="34" charset="0"/>
            <a:ea typeface="+mn-ea"/>
            <a:cs typeface="+mn-cs"/>
          </a:endParaRPr>
        </a:p>
      </xdr:txBody>
    </xdr:sp>
    <xdr:clientData/>
  </xdr:twoCellAnchor>
  <xdr:twoCellAnchor>
    <xdr:from>
      <xdr:col>3</xdr:col>
      <xdr:colOff>102305</xdr:colOff>
      <xdr:row>10</xdr:row>
      <xdr:rowOff>99482</xdr:rowOff>
    </xdr:from>
    <xdr:to>
      <xdr:col>5</xdr:col>
      <xdr:colOff>102306</xdr:colOff>
      <xdr:row>12</xdr:row>
      <xdr:rowOff>80432</xdr:rowOff>
    </xdr:to>
    <xdr:sp macro="" textlink="pivot!I4">
      <xdr:nvSpPr>
        <xdr:cNvPr id="6" name="TextBox 5">
          <a:extLst>
            <a:ext uri="{FF2B5EF4-FFF2-40B4-BE49-F238E27FC236}">
              <a16:creationId xmlns:a16="http://schemas.microsoft.com/office/drawing/2014/main" id="{9BF9DBCE-C3EA-4D7C-8C36-A1CE53397C11}"/>
            </a:ext>
          </a:extLst>
        </xdr:cNvPr>
        <xdr:cNvSpPr txBox="1"/>
      </xdr:nvSpPr>
      <xdr:spPr>
        <a:xfrm>
          <a:off x="1975555" y="1898649"/>
          <a:ext cx="1312334" cy="340783"/>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76FB0CC-0A76-414A-A1FC-76117CB2A14C}" type="TxLink">
            <a:rPr lang="en-US" sz="1400" b="0" i="0" u="none" strike="noStrike">
              <a:solidFill>
                <a:schemeClr val="bg1"/>
              </a:solidFill>
              <a:latin typeface="Arial Rounded MT Bold" panose="020F0704030504030204" pitchFamily="34" charset="0"/>
              <a:ea typeface="+mn-ea"/>
              <a:cs typeface="+mn-cs"/>
            </a:rPr>
            <a:pPr marL="0" indent="0" algn="ctr"/>
            <a:t>2</a:t>
          </a:fld>
          <a:endParaRPr lang="en-US" sz="1400" b="0" i="0" u="none" strike="noStrike">
            <a:solidFill>
              <a:schemeClr val="bg1"/>
            </a:solidFill>
            <a:latin typeface="Arial Rounded MT Bold" panose="020F0704030504030204" pitchFamily="34" charset="0"/>
            <a:ea typeface="+mn-ea"/>
            <a:cs typeface="+mn-cs"/>
          </a:endParaRPr>
        </a:p>
      </xdr:txBody>
    </xdr:sp>
    <xdr:clientData/>
  </xdr:twoCellAnchor>
  <xdr:twoCellAnchor>
    <xdr:from>
      <xdr:col>3</xdr:col>
      <xdr:colOff>141112</xdr:colOff>
      <xdr:row>13</xdr:row>
      <xdr:rowOff>131233</xdr:rowOff>
    </xdr:from>
    <xdr:to>
      <xdr:col>4</xdr:col>
      <xdr:colOff>627945</xdr:colOff>
      <xdr:row>15</xdr:row>
      <xdr:rowOff>112183</xdr:rowOff>
    </xdr:to>
    <xdr:sp macro="" textlink="pivot!J4">
      <xdr:nvSpPr>
        <xdr:cNvPr id="7" name="TextBox 6">
          <a:extLst>
            <a:ext uri="{FF2B5EF4-FFF2-40B4-BE49-F238E27FC236}">
              <a16:creationId xmlns:a16="http://schemas.microsoft.com/office/drawing/2014/main" id="{D45AFAA6-4FB5-4E46-BFBB-3AA4EA70CEA0}"/>
            </a:ext>
          </a:extLst>
        </xdr:cNvPr>
        <xdr:cNvSpPr txBox="1"/>
      </xdr:nvSpPr>
      <xdr:spPr>
        <a:xfrm>
          <a:off x="2014362" y="2470150"/>
          <a:ext cx="1143000" cy="340783"/>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F50218C-F48D-4622-A9EA-166DF1046D1F}" type="TxLink">
            <a:rPr lang="en-US" sz="1400" b="0" i="0" u="none" strike="noStrike">
              <a:solidFill>
                <a:schemeClr val="bg1"/>
              </a:solidFill>
              <a:latin typeface="Arial Rounded MT Bold" panose="020F0704030504030204" pitchFamily="34" charset="0"/>
              <a:ea typeface="+mn-ea"/>
              <a:cs typeface="+mn-cs"/>
            </a:rPr>
            <a:pPr marL="0" indent="0" algn="ctr"/>
            <a:t>$649,020</a:t>
          </a:fld>
          <a:endParaRPr lang="en-US" sz="1400" b="0" i="0" u="none" strike="noStrike">
            <a:solidFill>
              <a:schemeClr val="bg1"/>
            </a:solidFill>
            <a:latin typeface="Arial Rounded MT Bold" panose="020F0704030504030204" pitchFamily="34" charset="0"/>
            <a:ea typeface="+mn-ea"/>
            <a:cs typeface="+mn-cs"/>
          </a:endParaRPr>
        </a:p>
      </xdr:txBody>
    </xdr:sp>
    <xdr:clientData/>
  </xdr:twoCellAnchor>
  <xdr:twoCellAnchor>
    <xdr:from>
      <xdr:col>3</xdr:col>
      <xdr:colOff>137584</xdr:colOff>
      <xdr:row>16</xdr:row>
      <xdr:rowOff>150282</xdr:rowOff>
    </xdr:from>
    <xdr:to>
      <xdr:col>5</xdr:col>
      <xdr:colOff>24695</xdr:colOff>
      <xdr:row>18</xdr:row>
      <xdr:rowOff>131232</xdr:rowOff>
    </xdr:to>
    <xdr:sp macro="" textlink="pivot!K4">
      <xdr:nvSpPr>
        <xdr:cNvPr id="8" name="TextBox 7">
          <a:extLst>
            <a:ext uri="{FF2B5EF4-FFF2-40B4-BE49-F238E27FC236}">
              <a16:creationId xmlns:a16="http://schemas.microsoft.com/office/drawing/2014/main" id="{B325B3DA-AC14-45D8-91CC-C1A7AA31B7AD}"/>
            </a:ext>
          </a:extLst>
        </xdr:cNvPr>
        <xdr:cNvSpPr txBox="1"/>
      </xdr:nvSpPr>
      <xdr:spPr>
        <a:xfrm>
          <a:off x="2010834" y="3028949"/>
          <a:ext cx="1199444" cy="340783"/>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EA7004A-1CCF-47AF-AC1F-B876B2401D2D}" type="TxLink">
            <a:rPr lang="en-US" sz="1400" b="0" i="0" u="none" strike="noStrike">
              <a:solidFill>
                <a:schemeClr val="bg1"/>
              </a:solidFill>
              <a:latin typeface="Arial Rounded MT Bold" panose="020F0704030504030204" pitchFamily="34" charset="0"/>
              <a:ea typeface="+mn-ea"/>
              <a:cs typeface="+mn-cs"/>
            </a:rPr>
            <a:pPr marL="0" indent="0" algn="ctr"/>
            <a:t>11,997</a:t>
          </a:fld>
          <a:endParaRPr lang="en-US" sz="1400" b="0" i="0" u="none" strike="noStrike">
            <a:solidFill>
              <a:schemeClr val="bg1"/>
            </a:solidFill>
            <a:latin typeface="Arial Rounded MT Bold" panose="020F0704030504030204" pitchFamily="34" charset="0"/>
            <a:ea typeface="+mn-ea"/>
            <a:cs typeface="+mn-cs"/>
          </a:endParaRPr>
        </a:p>
      </xdr:txBody>
    </xdr:sp>
    <xdr:clientData/>
  </xdr:twoCellAnchor>
  <xdr:twoCellAnchor>
    <xdr:from>
      <xdr:col>0</xdr:col>
      <xdr:colOff>253999</xdr:colOff>
      <xdr:row>4</xdr:row>
      <xdr:rowOff>3529</xdr:rowOff>
    </xdr:from>
    <xdr:to>
      <xdr:col>1</xdr:col>
      <xdr:colOff>1081264</xdr:colOff>
      <xdr:row>5</xdr:row>
      <xdr:rowOff>84667</xdr:rowOff>
    </xdr:to>
    <xdr:sp macro="" textlink="">
      <xdr:nvSpPr>
        <xdr:cNvPr id="9" name="TextBox 8">
          <a:extLst>
            <a:ext uri="{FF2B5EF4-FFF2-40B4-BE49-F238E27FC236}">
              <a16:creationId xmlns:a16="http://schemas.microsoft.com/office/drawing/2014/main" id="{9C383309-D2CE-491B-B954-3FB32465939C}"/>
            </a:ext>
          </a:extLst>
        </xdr:cNvPr>
        <xdr:cNvSpPr txBox="1"/>
      </xdr:nvSpPr>
      <xdr:spPr>
        <a:xfrm>
          <a:off x="253999" y="723196"/>
          <a:ext cx="1134182" cy="261054"/>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400" b="0" i="0" u="none" strike="noStrike">
              <a:solidFill>
                <a:schemeClr val="bg1"/>
              </a:solidFill>
              <a:latin typeface="Arial Rounded MT Bold" panose="020F0704030504030204" pitchFamily="34" charset="0"/>
              <a:ea typeface="+mn-ea"/>
              <a:cs typeface="+mn-cs"/>
            </a:rPr>
            <a:t>🛒Order</a:t>
          </a:r>
        </a:p>
        <a:p>
          <a:pPr marL="0" indent="0" algn="ctr"/>
          <a:endParaRPr lang="en-US" sz="1400" b="0" i="0" u="none" strike="noStrike">
            <a:solidFill>
              <a:schemeClr val="bg1"/>
            </a:solidFill>
            <a:latin typeface="Arial Rounded MT Bold" panose="020F0704030504030204" pitchFamily="34" charset="0"/>
            <a:ea typeface="+mn-ea"/>
            <a:cs typeface="+mn-cs"/>
          </a:endParaRPr>
        </a:p>
      </xdr:txBody>
    </xdr:sp>
    <xdr:clientData/>
  </xdr:twoCellAnchor>
  <xdr:twoCellAnchor>
    <xdr:from>
      <xdr:col>0</xdr:col>
      <xdr:colOff>285750</xdr:colOff>
      <xdr:row>10</xdr:row>
      <xdr:rowOff>14815</xdr:rowOff>
    </xdr:from>
    <xdr:to>
      <xdr:col>3</xdr:col>
      <xdr:colOff>192618</xdr:colOff>
      <xdr:row>12</xdr:row>
      <xdr:rowOff>63499</xdr:rowOff>
    </xdr:to>
    <xdr:sp macro="" textlink="">
      <xdr:nvSpPr>
        <xdr:cNvPr id="10" name="TextBox 9">
          <a:extLst>
            <a:ext uri="{FF2B5EF4-FFF2-40B4-BE49-F238E27FC236}">
              <a16:creationId xmlns:a16="http://schemas.microsoft.com/office/drawing/2014/main" id="{CC8BA30C-E28B-45AE-9EC8-A5E653053F3D}"/>
            </a:ext>
          </a:extLst>
        </xdr:cNvPr>
        <xdr:cNvSpPr txBox="1"/>
      </xdr:nvSpPr>
      <xdr:spPr>
        <a:xfrm>
          <a:off x="285750" y="1813982"/>
          <a:ext cx="1780118" cy="408517"/>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400" b="0" i="0" u="none" strike="noStrike">
              <a:solidFill>
                <a:schemeClr val="bg1"/>
              </a:solidFill>
              <a:latin typeface="Arial Rounded MT Bold" panose="020F0704030504030204" pitchFamily="34" charset="0"/>
              <a:ea typeface="+mn-ea"/>
              <a:cs typeface="+mn-cs"/>
            </a:rPr>
            <a:t>🗓️Days to deliver</a:t>
          </a:r>
        </a:p>
      </xdr:txBody>
    </xdr:sp>
    <xdr:clientData/>
  </xdr:twoCellAnchor>
  <xdr:twoCellAnchor>
    <xdr:from>
      <xdr:col>1</xdr:col>
      <xdr:colOff>5290</xdr:colOff>
      <xdr:row>13</xdr:row>
      <xdr:rowOff>80434</xdr:rowOff>
    </xdr:from>
    <xdr:to>
      <xdr:col>2</xdr:col>
      <xdr:colOff>31749</xdr:colOff>
      <xdr:row>15</xdr:row>
      <xdr:rowOff>52917</xdr:rowOff>
    </xdr:to>
    <xdr:sp macro="" textlink="">
      <xdr:nvSpPr>
        <xdr:cNvPr id="11" name="TextBox 10">
          <a:extLst>
            <a:ext uri="{FF2B5EF4-FFF2-40B4-BE49-F238E27FC236}">
              <a16:creationId xmlns:a16="http://schemas.microsoft.com/office/drawing/2014/main" id="{94477398-5CEE-4C06-8379-85E72256DCD0}"/>
            </a:ext>
          </a:extLst>
        </xdr:cNvPr>
        <xdr:cNvSpPr txBox="1"/>
      </xdr:nvSpPr>
      <xdr:spPr>
        <a:xfrm>
          <a:off x="312207" y="2419351"/>
          <a:ext cx="1285875" cy="332316"/>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400" b="0" i="0" u="none" strike="noStrike">
              <a:solidFill>
                <a:schemeClr val="bg1"/>
              </a:solidFill>
              <a:latin typeface="Arial Rounded MT Bold" panose="020F0704030504030204" pitchFamily="34" charset="0"/>
              <a:ea typeface="+mn-ea"/>
              <a:cs typeface="+mn-cs"/>
            </a:rPr>
            <a:t>💰Amount</a:t>
          </a:r>
        </a:p>
        <a:p>
          <a:pPr marL="0" indent="0" algn="ctr"/>
          <a:endParaRPr lang="en-US" sz="1400" b="0" i="0" u="none" strike="noStrike">
            <a:solidFill>
              <a:schemeClr val="bg1"/>
            </a:solidFill>
            <a:latin typeface="Arial Rounded MT Bold" panose="020F0704030504030204" pitchFamily="34" charset="0"/>
            <a:ea typeface="+mn-ea"/>
            <a:cs typeface="+mn-cs"/>
          </a:endParaRPr>
        </a:p>
      </xdr:txBody>
    </xdr:sp>
    <xdr:clientData/>
  </xdr:twoCellAnchor>
  <xdr:twoCellAnchor>
    <xdr:from>
      <xdr:col>0</xdr:col>
      <xdr:colOff>227540</xdr:colOff>
      <xdr:row>16</xdr:row>
      <xdr:rowOff>158750</xdr:rowOff>
    </xdr:from>
    <xdr:to>
      <xdr:col>2</xdr:col>
      <xdr:colOff>148167</xdr:colOff>
      <xdr:row>19</xdr:row>
      <xdr:rowOff>0</xdr:rowOff>
    </xdr:to>
    <xdr:sp macro="" textlink="">
      <xdr:nvSpPr>
        <xdr:cNvPr id="12" name="TextBox 11">
          <a:extLst>
            <a:ext uri="{FF2B5EF4-FFF2-40B4-BE49-F238E27FC236}">
              <a16:creationId xmlns:a16="http://schemas.microsoft.com/office/drawing/2014/main" id="{34DD5194-B49D-4A69-BCAD-169D948CC68A}"/>
            </a:ext>
          </a:extLst>
        </xdr:cNvPr>
        <xdr:cNvSpPr txBox="1"/>
      </xdr:nvSpPr>
      <xdr:spPr>
        <a:xfrm>
          <a:off x="227540" y="3037417"/>
          <a:ext cx="1486960" cy="381000"/>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400" b="0" i="0" u="none" strike="noStrike">
              <a:solidFill>
                <a:schemeClr val="bg1"/>
              </a:solidFill>
              <a:latin typeface="Arial Rounded MT Bold" panose="020F0704030504030204" pitchFamily="34" charset="0"/>
              <a:ea typeface="+mn-ea"/>
              <a:cs typeface="+mn-cs"/>
            </a:rPr>
            <a:t>👕Quantity</a:t>
          </a:r>
        </a:p>
        <a:p>
          <a:pPr marL="0" indent="0" algn="ctr"/>
          <a:endParaRPr lang="en-US" sz="1400" b="0" i="0" u="none" strike="noStrike">
            <a:solidFill>
              <a:schemeClr val="bg1"/>
            </a:solidFill>
            <a:latin typeface="Arial Rounded MT Bold" panose="020F0704030504030204" pitchFamily="34" charset="0"/>
            <a:ea typeface="+mn-ea"/>
            <a:cs typeface="+mn-cs"/>
          </a:endParaRPr>
        </a:p>
      </xdr:txBody>
    </xdr:sp>
    <xdr:clientData/>
  </xdr:twoCellAnchor>
  <xdr:twoCellAnchor>
    <xdr:from>
      <xdr:col>0</xdr:col>
      <xdr:colOff>243418</xdr:colOff>
      <xdr:row>6</xdr:row>
      <xdr:rowOff>146049</xdr:rowOff>
    </xdr:from>
    <xdr:to>
      <xdr:col>2</xdr:col>
      <xdr:colOff>134763</xdr:colOff>
      <xdr:row>9</xdr:row>
      <xdr:rowOff>21166</xdr:rowOff>
    </xdr:to>
    <xdr:sp macro="" textlink="">
      <xdr:nvSpPr>
        <xdr:cNvPr id="13" name="TextBox 12">
          <a:extLst>
            <a:ext uri="{FF2B5EF4-FFF2-40B4-BE49-F238E27FC236}">
              <a16:creationId xmlns:a16="http://schemas.microsoft.com/office/drawing/2014/main" id="{657AD905-0ED7-4A0D-93CF-09E854FF566C}"/>
            </a:ext>
          </a:extLst>
        </xdr:cNvPr>
        <xdr:cNvSpPr txBox="1"/>
      </xdr:nvSpPr>
      <xdr:spPr>
        <a:xfrm>
          <a:off x="243418" y="1225549"/>
          <a:ext cx="1457678" cy="414867"/>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400" b="0" i="0" u="none" strike="noStrike">
              <a:solidFill>
                <a:schemeClr val="bg1"/>
              </a:solidFill>
              <a:latin typeface="Arial Rounded MT Bold" panose="020F0704030504030204" pitchFamily="34" charset="0"/>
              <a:ea typeface="+mn-ea"/>
              <a:cs typeface="+mn-cs"/>
            </a:rPr>
            <a:t>⭐Avg Rating</a:t>
          </a:r>
        </a:p>
        <a:p>
          <a:pPr marL="0" indent="0" algn="ctr"/>
          <a:endParaRPr lang="en-US" sz="1400" b="0" i="0" u="none" strike="noStrike">
            <a:solidFill>
              <a:schemeClr val="bg1"/>
            </a:solidFill>
            <a:latin typeface="Arial Rounded MT Bold" panose="020F0704030504030204" pitchFamily="34" charset="0"/>
            <a:ea typeface="+mn-ea"/>
            <a:cs typeface="+mn-cs"/>
          </a:endParaRPr>
        </a:p>
      </xdr:txBody>
    </xdr:sp>
    <xdr:clientData/>
  </xdr:twoCellAnchor>
  <xdr:twoCellAnchor editAs="oneCell">
    <xdr:from>
      <xdr:col>14</xdr:col>
      <xdr:colOff>1513</xdr:colOff>
      <xdr:row>2</xdr:row>
      <xdr:rowOff>32845</xdr:rowOff>
    </xdr:from>
    <xdr:to>
      <xdr:col>22</xdr:col>
      <xdr:colOff>100794</xdr:colOff>
      <xdr:row>20</xdr:row>
      <xdr:rowOff>131032</xdr:rowOff>
    </xdr:to>
    <xdr:pic>
      <xdr:nvPicPr>
        <xdr:cNvPr id="15" name="Picture 14">
          <a:extLst>
            <a:ext uri="{FF2B5EF4-FFF2-40B4-BE49-F238E27FC236}">
              <a16:creationId xmlns:a16="http://schemas.microsoft.com/office/drawing/2014/main" id="{A2E41DEE-85FB-4F4C-B0B2-8A34B7BDDD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99530" y="383190"/>
          <a:ext cx="5354454" cy="32512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240771</xdr:colOff>
      <xdr:row>21</xdr:row>
      <xdr:rowOff>124353</xdr:rowOff>
    </xdr:from>
    <xdr:to>
      <xdr:col>4</xdr:col>
      <xdr:colOff>571500</xdr:colOff>
      <xdr:row>30</xdr:row>
      <xdr:rowOff>95248</xdr:rowOff>
    </xdr:to>
    <mc:AlternateContent xmlns:mc="http://schemas.openxmlformats.org/markup-compatibility/2006" xmlns:a14="http://schemas.microsoft.com/office/drawing/2010/main">
      <mc:Choice Requires="a14">
        <xdr:graphicFrame macro="">
          <xdr:nvGraphicFramePr>
            <xdr:cNvPr id="23" name="Order Mode">
              <a:extLst>
                <a:ext uri="{FF2B5EF4-FFF2-40B4-BE49-F238E27FC236}">
                  <a16:creationId xmlns:a16="http://schemas.microsoft.com/office/drawing/2014/main" id="{4335024C-4492-4742-AAD8-968B06ACDAD7}"/>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240771" y="3902603"/>
              <a:ext cx="2860146" cy="15901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238126</xdr:colOff>
      <xdr:row>30</xdr:row>
      <xdr:rowOff>158750</xdr:rowOff>
    </xdr:from>
    <xdr:to>
      <xdr:col>4</xdr:col>
      <xdr:colOff>539750</xdr:colOff>
      <xdr:row>38</xdr:row>
      <xdr:rowOff>169335</xdr:rowOff>
    </xdr:to>
    <mc:AlternateContent xmlns:mc="http://schemas.openxmlformats.org/markup-compatibility/2006" xmlns:a14="http://schemas.microsoft.com/office/drawing/2010/main">
      <mc:Choice Requires="a14">
        <xdr:graphicFrame macro="">
          <xdr:nvGraphicFramePr>
            <xdr:cNvPr id="24" name="Gender Value">
              <a:extLst>
                <a:ext uri="{FF2B5EF4-FFF2-40B4-BE49-F238E27FC236}">
                  <a16:creationId xmlns:a16="http://schemas.microsoft.com/office/drawing/2014/main" id="{8CC869FF-1EB1-453E-9E16-D88DBD917F1A}"/>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238126" y="5556250"/>
              <a:ext cx="2831041" cy="14499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72989</xdr:colOff>
      <xdr:row>0</xdr:row>
      <xdr:rowOff>75907</xdr:rowOff>
    </xdr:from>
    <xdr:to>
      <xdr:col>21</xdr:col>
      <xdr:colOff>229914</xdr:colOff>
      <xdr:row>2</xdr:row>
      <xdr:rowOff>87586</xdr:rowOff>
    </xdr:to>
    <xdr:sp macro="" textlink="">
      <xdr:nvSpPr>
        <xdr:cNvPr id="26" name="TextBox 25">
          <a:extLst>
            <a:ext uri="{FF2B5EF4-FFF2-40B4-BE49-F238E27FC236}">
              <a16:creationId xmlns:a16="http://schemas.microsoft.com/office/drawing/2014/main" id="{030BDABA-648B-480C-AD83-731A8FE2168D}"/>
            </a:ext>
          </a:extLst>
        </xdr:cNvPr>
        <xdr:cNvSpPr txBox="1"/>
      </xdr:nvSpPr>
      <xdr:spPr>
        <a:xfrm>
          <a:off x="9827903" y="75907"/>
          <a:ext cx="4098304" cy="3620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How our customers like to buy</a:t>
          </a:r>
        </a:p>
      </xdr:txBody>
    </xdr:sp>
    <xdr:clientData/>
  </xdr:twoCellAnchor>
  <xdr:twoCellAnchor>
    <xdr:from>
      <xdr:col>5</xdr:col>
      <xdr:colOff>232834</xdr:colOff>
      <xdr:row>0</xdr:row>
      <xdr:rowOff>0</xdr:rowOff>
    </xdr:from>
    <xdr:to>
      <xdr:col>13</xdr:col>
      <xdr:colOff>550333</xdr:colOff>
      <xdr:row>20</xdr:row>
      <xdr:rowOff>158750</xdr:rowOff>
    </xdr:to>
    <xdr:sp macro="" textlink="">
      <xdr:nvSpPr>
        <xdr:cNvPr id="27" name="Rectangle: Rounded Corners 26">
          <a:extLst>
            <a:ext uri="{FF2B5EF4-FFF2-40B4-BE49-F238E27FC236}">
              <a16:creationId xmlns:a16="http://schemas.microsoft.com/office/drawing/2014/main" id="{3DEDA44F-9908-4CC4-A80E-D07F3678268C}"/>
            </a:ext>
          </a:extLst>
        </xdr:cNvPr>
        <xdr:cNvSpPr/>
      </xdr:nvSpPr>
      <xdr:spPr>
        <a:xfrm>
          <a:off x="3418417" y="0"/>
          <a:ext cx="5566833" cy="3757083"/>
        </a:xfrm>
        <a:prstGeom prst="roundRect">
          <a:avLst>
            <a:gd name="adj" fmla="val 2381"/>
          </a:avLst>
        </a:prstGeom>
        <a:solidFill>
          <a:schemeClr val="accent5">
            <a:lumMod val="5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213177</xdr:colOff>
      <xdr:row>0</xdr:row>
      <xdr:rowOff>0</xdr:rowOff>
    </xdr:from>
    <xdr:to>
      <xdr:col>13</xdr:col>
      <xdr:colOff>508000</xdr:colOff>
      <xdr:row>20</xdr:row>
      <xdr:rowOff>158749</xdr:rowOff>
    </xdr:to>
    <xdr:graphicFrame macro="">
      <xdr:nvGraphicFramePr>
        <xdr:cNvPr id="14" name="Chart 13">
          <a:extLst>
            <a:ext uri="{FF2B5EF4-FFF2-40B4-BE49-F238E27FC236}">
              <a16:creationId xmlns:a16="http://schemas.microsoft.com/office/drawing/2014/main" id="{476C1112-4C59-40B4-9A1C-970EAD4946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247651</xdr:colOff>
      <xdr:row>21</xdr:row>
      <xdr:rowOff>173568</xdr:rowOff>
    </xdr:from>
    <xdr:to>
      <xdr:col>13</xdr:col>
      <xdr:colOff>565150</xdr:colOff>
      <xdr:row>44</xdr:row>
      <xdr:rowOff>84667</xdr:rowOff>
    </xdr:to>
    <xdr:sp macro="" textlink="">
      <xdr:nvSpPr>
        <xdr:cNvPr id="28" name="Rectangle: Rounded Corners 27">
          <a:extLst>
            <a:ext uri="{FF2B5EF4-FFF2-40B4-BE49-F238E27FC236}">
              <a16:creationId xmlns:a16="http://schemas.microsoft.com/office/drawing/2014/main" id="{0259AAF9-32EA-49DC-AB14-CA3D6FBD8B34}"/>
            </a:ext>
          </a:extLst>
        </xdr:cNvPr>
        <xdr:cNvSpPr/>
      </xdr:nvSpPr>
      <xdr:spPr>
        <a:xfrm>
          <a:off x="3433234" y="3951818"/>
          <a:ext cx="5566833" cy="4049182"/>
        </a:xfrm>
        <a:prstGeom prst="roundRect">
          <a:avLst>
            <a:gd name="adj" fmla="val 2381"/>
          </a:avLst>
        </a:prstGeom>
        <a:solidFill>
          <a:schemeClr val="accent5">
            <a:lumMod val="5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326050</xdr:colOff>
      <xdr:row>22</xdr:row>
      <xdr:rowOff>62819</xdr:rowOff>
    </xdr:from>
    <xdr:to>
      <xdr:col>13</xdr:col>
      <xdr:colOff>562739</xdr:colOff>
      <xdr:row>44</xdr:row>
      <xdr:rowOff>149627</xdr:rowOff>
    </xdr:to>
    <xdr:graphicFrame macro="">
      <xdr:nvGraphicFramePr>
        <xdr:cNvPr id="17" name="Chart 16">
          <a:extLst>
            <a:ext uri="{FF2B5EF4-FFF2-40B4-BE49-F238E27FC236}">
              <a16:creationId xmlns:a16="http://schemas.microsoft.com/office/drawing/2014/main" id="{7433F437-87E9-4483-A4B4-1E7C8FC20C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54742</xdr:colOff>
      <xdr:row>29</xdr:row>
      <xdr:rowOff>105834</xdr:rowOff>
    </xdr:from>
    <xdr:to>
      <xdr:col>12</xdr:col>
      <xdr:colOff>153275</xdr:colOff>
      <xdr:row>42</xdr:row>
      <xdr:rowOff>116416</xdr:rowOff>
    </xdr:to>
    <xdr:graphicFrame macro="">
      <xdr:nvGraphicFramePr>
        <xdr:cNvPr id="18" name="Chart 17">
          <a:extLst>
            <a:ext uri="{FF2B5EF4-FFF2-40B4-BE49-F238E27FC236}">
              <a16:creationId xmlns:a16="http://schemas.microsoft.com/office/drawing/2014/main" id="{02261CFA-6789-4F19-AC44-53DB9C0BDA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404</xdr:colOff>
      <xdr:row>21</xdr:row>
      <xdr:rowOff>151190</xdr:rowOff>
    </xdr:from>
    <xdr:to>
      <xdr:col>22</xdr:col>
      <xdr:colOff>141111</xdr:colOff>
      <xdr:row>44</xdr:row>
      <xdr:rowOff>89404</xdr:rowOff>
    </xdr:to>
    <xdr:sp macro="" textlink="">
      <xdr:nvSpPr>
        <xdr:cNvPr id="29" name="Rectangle: Rounded Corners 28">
          <a:extLst>
            <a:ext uri="{FF2B5EF4-FFF2-40B4-BE49-F238E27FC236}">
              <a16:creationId xmlns:a16="http://schemas.microsoft.com/office/drawing/2014/main" id="{7BB97BF1-B947-46A5-892E-2BD165BB0582}"/>
            </a:ext>
          </a:extLst>
        </xdr:cNvPr>
        <xdr:cNvSpPr/>
      </xdr:nvSpPr>
      <xdr:spPr>
        <a:xfrm>
          <a:off x="9202864" y="3961190"/>
          <a:ext cx="5462612" cy="4111071"/>
        </a:xfrm>
        <a:prstGeom prst="roundRect">
          <a:avLst>
            <a:gd name="adj" fmla="val 2381"/>
          </a:avLst>
        </a:prstGeom>
        <a:solidFill>
          <a:schemeClr val="accent5">
            <a:lumMod val="5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31749</xdr:colOff>
      <xdr:row>22</xdr:row>
      <xdr:rowOff>37041</xdr:rowOff>
    </xdr:from>
    <xdr:to>
      <xdr:col>20</xdr:col>
      <xdr:colOff>582082</xdr:colOff>
      <xdr:row>44</xdr:row>
      <xdr:rowOff>127000</xdr:rowOff>
    </xdr:to>
    <mc:AlternateContent xmlns:mc="http://schemas.openxmlformats.org/markup-compatibility/2006">
      <mc:Choice xmlns:cx4="http://schemas.microsoft.com/office/drawing/2016/5/10/chartex" Requires="cx4">
        <xdr:graphicFrame macro="">
          <xdr:nvGraphicFramePr>
            <xdr:cNvPr id="19" name="Chart 18">
              <a:extLst>
                <a:ext uri="{FF2B5EF4-FFF2-40B4-BE49-F238E27FC236}">
                  <a16:creationId xmlns:a16="http://schemas.microsoft.com/office/drawing/2014/main" id="{DD228FE1-5178-4A15-B885-2514D6390E4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9175749" y="3948641"/>
              <a:ext cx="4512733" cy="400155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172407</xdr:colOff>
      <xdr:row>26</xdr:row>
      <xdr:rowOff>87640</xdr:rowOff>
    </xdr:from>
    <xdr:to>
      <xdr:col>22</xdr:col>
      <xdr:colOff>35201</xdr:colOff>
      <xdr:row>37</xdr:row>
      <xdr:rowOff>146149</xdr:rowOff>
    </xdr:to>
    <mc:AlternateContent xmlns:mc="http://schemas.openxmlformats.org/markup-compatibility/2006">
      <mc:Choice xmlns:cx4="http://schemas.microsoft.com/office/drawing/2016/5/10/chartex" Requires="cx4">
        <xdr:graphicFrame macro="">
          <xdr:nvGraphicFramePr>
            <xdr:cNvPr id="20" name="Chart 19">
              <a:extLst>
                <a:ext uri="{FF2B5EF4-FFF2-40B4-BE49-F238E27FC236}">
                  <a16:creationId xmlns:a16="http://schemas.microsoft.com/office/drawing/2014/main" id="{1F71E018-BCE1-4919-B406-5BA92F5A4A0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1958007" y="4710440"/>
              <a:ext cx="2504394" cy="201430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22</xdr:col>
      <xdr:colOff>257124</xdr:colOff>
      <xdr:row>0</xdr:row>
      <xdr:rowOff>60476</xdr:rowOff>
    </xdr:from>
    <xdr:to>
      <xdr:col>30</xdr:col>
      <xdr:colOff>583695</xdr:colOff>
      <xdr:row>44</xdr:row>
      <xdr:rowOff>102709</xdr:rowOff>
    </xdr:to>
    <xdr:sp macro="" textlink="">
      <xdr:nvSpPr>
        <xdr:cNvPr id="30" name="Rectangle: Rounded Corners 29">
          <a:extLst>
            <a:ext uri="{FF2B5EF4-FFF2-40B4-BE49-F238E27FC236}">
              <a16:creationId xmlns:a16="http://schemas.microsoft.com/office/drawing/2014/main" id="{B129E0B2-1F13-487A-83F6-99343D33DF26}"/>
            </a:ext>
          </a:extLst>
        </xdr:cNvPr>
        <xdr:cNvSpPr/>
      </xdr:nvSpPr>
      <xdr:spPr>
        <a:xfrm>
          <a:off x="14781489" y="60476"/>
          <a:ext cx="5648476" cy="8025090"/>
        </a:xfrm>
        <a:prstGeom prst="roundRect">
          <a:avLst>
            <a:gd name="adj" fmla="val 2381"/>
          </a:avLst>
        </a:prstGeom>
        <a:solidFill>
          <a:schemeClr val="accent5">
            <a:lumMod val="5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332114</xdr:colOff>
      <xdr:row>16</xdr:row>
      <xdr:rowOff>151191</xdr:rowOff>
    </xdr:from>
    <xdr:to>
      <xdr:col>30</xdr:col>
      <xdr:colOff>554365</xdr:colOff>
      <xdr:row>28</xdr:row>
      <xdr:rowOff>167445</xdr:rowOff>
    </xdr:to>
    <xdr:graphicFrame macro="">
      <xdr:nvGraphicFramePr>
        <xdr:cNvPr id="21" name="Chart 20">
          <a:extLst>
            <a:ext uri="{FF2B5EF4-FFF2-40B4-BE49-F238E27FC236}">
              <a16:creationId xmlns:a16="http://schemas.microsoft.com/office/drawing/2014/main" id="{970AC4A1-10C8-4C80-9364-04C256935F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22</xdr:col>
      <xdr:colOff>284237</xdr:colOff>
      <xdr:row>30</xdr:row>
      <xdr:rowOff>11086</xdr:rowOff>
    </xdr:from>
    <xdr:to>
      <xdr:col>30</xdr:col>
      <xdr:colOff>534205</xdr:colOff>
      <xdr:row>43</xdr:row>
      <xdr:rowOff>42836</xdr:rowOff>
    </xdr:to>
    <xdr:graphicFrame macro="">
      <xdr:nvGraphicFramePr>
        <xdr:cNvPr id="22" name="Chart 21">
          <a:extLst>
            <a:ext uri="{FF2B5EF4-FFF2-40B4-BE49-F238E27FC236}">
              <a16:creationId xmlns:a16="http://schemas.microsoft.com/office/drawing/2014/main" id="{2DFC30B4-DF53-4A87-A8F4-2C700DBA45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0</xdr:row>
      <xdr:rowOff>10583</xdr:rowOff>
    </xdr:from>
    <xdr:to>
      <xdr:col>5</xdr:col>
      <xdr:colOff>197068</xdr:colOff>
      <xdr:row>3</xdr:row>
      <xdr:rowOff>127000</xdr:rowOff>
    </xdr:to>
    <xdr:sp macro="" textlink="">
      <xdr:nvSpPr>
        <xdr:cNvPr id="25" name="TextBox 24">
          <a:extLst>
            <a:ext uri="{FF2B5EF4-FFF2-40B4-BE49-F238E27FC236}">
              <a16:creationId xmlns:a16="http://schemas.microsoft.com/office/drawing/2014/main" id="{C981B2D2-6D1A-4CE5-A1C6-B3921F0B5887}"/>
            </a:ext>
          </a:extLst>
        </xdr:cNvPr>
        <xdr:cNvSpPr txBox="1"/>
      </xdr:nvSpPr>
      <xdr:spPr>
        <a:xfrm>
          <a:off x="0" y="10583"/>
          <a:ext cx="3383016" cy="641934"/>
        </a:xfrm>
        <a:prstGeom prst="rect">
          <a:avLst/>
        </a:prstGeom>
        <a:solidFill>
          <a:schemeClr val="accent5">
            <a:lumMod val="50000"/>
          </a:schemeClr>
        </a:solidFill>
        <a:ln w="9525" cmpd="sng">
          <a:noFill/>
        </a:ln>
        <a:effectLst>
          <a:outerShdw blurRad="50800" dist="38100" dir="9600000" sx="94000" sy="940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3200" b="0" i="0" u="none" strike="noStrike">
              <a:solidFill>
                <a:schemeClr val="bg1"/>
              </a:solidFill>
              <a:latin typeface="Arial Rounded MT Bold" panose="020F0704030504030204" pitchFamily="34" charset="0"/>
              <a:ea typeface="+mn-ea"/>
              <a:cs typeface="+mn-cs"/>
            </a:rPr>
            <a:t>SHOP IT STORE</a:t>
          </a:r>
        </a:p>
      </xdr:txBody>
    </xdr:sp>
    <xdr:clientData/>
  </xdr:twoCellAnchor>
  <xdr:twoCellAnchor>
    <xdr:from>
      <xdr:col>22</xdr:col>
      <xdr:colOff>355801</xdr:colOff>
      <xdr:row>1</xdr:row>
      <xdr:rowOff>18143</xdr:rowOff>
    </xdr:from>
    <xdr:to>
      <xdr:col>30</xdr:col>
      <xdr:colOff>514047</xdr:colOff>
      <xdr:row>15</xdr:row>
      <xdr:rowOff>83155</xdr:rowOff>
    </xdr:to>
    <xdr:graphicFrame macro="">
      <xdr:nvGraphicFramePr>
        <xdr:cNvPr id="16" name="Chart 15">
          <a:extLst>
            <a:ext uri="{FF2B5EF4-FFF2-40B4-BE49-F238E27FC236}">
              <a16:creationId xmlns:a16="http://schemas.microsoft.com/office/drawing/2014/main" id="{5FA3B6B6-99D9-49F9-9A51-B6DA320DC5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ecious Ifedolapo" refreshedDate="46061.781791319445" createdVersion="6" refreshedVersion="6" minRefreshableVersion="3" recordCount="2400" xr:uid="{0CD2DC3C-55AA-4938-B8E3-1DE5906C3CD9}">
  <cacheSource type="worksheet">
    <worksheetSource name="orders"/>
  </cacheSource>
  <cacheFields count="18">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ount="1764">
        <n v="10.9"/>
        <n v="61.2"/>
        <n v="328.20000000000005"/>
        <n v="263.90000000000003"/>
        <n v="170.10000000000002"/>
        <n v="1002"/>
        <n v="55.3"/>
        <n v="80.599999999999994"/>
        <n v="392.70000000000005"/>
        <n v="156.79999999999998"/>
        <n v="108.8"/>
        <n v="98"/>
        <n v="830.19999999999993"/>
        <n v="2386.8000000000002"/>
        <n v="66.7"/>
        <n v="309"/>
        <n v="93.300000000000011"/>
        <n v="109.80000000000001"/>
        <n v="408.8"/>
        <n v="25.2"/>
        <n v="219"/>
        <n v="560.40000000000009"/>
        <n v="1518.1000000000001"/>
        <n v="211.2"/>
        <n v="710.4"/>
        <n v="175"/>
        <n v="348.3"/>
        <n v="228.8"/>
        <n v="254.5"/>
        <n v="287"/>
        <n v="133.70000000000002"/>
        <n v="830.5"/>
        <n v="89.699999999999989"/>
        <n v="130.19999999999999"/>
        <n v="64"/>
        <n v="31.6"/>
        <n v="3452.7"/>
        <n v="507"/>
        <n v="26.5"/>
        <n v="43.1"/>
        <n v="417"/>
        <n v="80.7"/>
        <n v="109"/>
        <n v="205.79999999999998"/>
        <n v="543.6"/>
        <n v="283.60000000000002"/>
        <n v="318.5"/>
        <n v="29.7"/>
        <n v="80.400000000000006"/>
        <n v="27"/>
        <n v="41.4"/>
        <n v="48.6"/>
        <n v="125.10000000000001"/>
        <n v="36"/>
        <n v="273.89999999999998"/>
        <n v="154.4"/>
        <n v="821.6"/>
        <n v="299.7"/>
        <n v="128.4"/>
        <n v="69.300000000000011"/>
        <n v="142.19999999999999"/>
        <n v="23"/>
        <n v="1314.8"/>
        <n v="26.8"/>
        <n v="93.6"/>
        <n v="226.4"/>
        <n v="168"/>
        <n v="178.2"/>
        <n v="97.7"/>
        <n v="390.8"/>
        <n v="89.6"/>
        <n v="511.2"/>
        <n v="35.799999999999997"/>
        <n v="96.8"/>
        <n v="177.6"/>
        <n v="829.6"/>
        <n v="234.4"/>
        <n v="219.2"/>
        <n v="236.39999999999998"/>
        <n v="184"/>
        <n v="303.60000000000002"/>
        <n v="110.39999999999999"/>
        <n v="376.2"/>
        <n v="77.3"/>
        <n v="79.2"/>
        <n v="62"/>
        <n v="46.8"/>
        <n v="257.40000000000003"/>
        <n v="273.5"/>
        <n v="783"/>
        <n v="100.8"/>
        <n v="799.5"/>
        <n v="120.4"/>
        <n v="374"/>
        <n v="194.70000000000002"/>
        <n v="101"/>
        <n v="441"/>
        <n v="280.79999999999995"/>
        <n v="1242"/>
        <n v="320"/>
        <n v="115.5"/>
        <n v="106"/>
        <n v="55.5"/>
        <n v="253.5"/>
        <n v="218.4"/>
        <n v="586.80000000000007"/>
        <n v="181.6"/>
        <n v="1440"/>
        <n v="75.599999999999994"/>
        <n v="32"/>
        <n v="74.599999999999994"/>
        <n v="119.8"/>
        <n v="52.8"/>
        <n v="459"/>
        <n v="457"/>
        <n v="1111.1999999999998"/>
        <n v="360.6"/>
        <n v="132.89999999999998"/>
        <n v="189.89999999999998"/>
        <n v="66.8"/>
        <n v="119.4"/>
        <n v="552"/>
        <n v="175.2"/>
        <n v="232.6"/>
        <n v="263.5"/>
        <n v="102.60000000000001"/>
        <n v="23.3"/>
        <n v="673.4"/>
        <n v="1592.1"/>
        <n v="227.39999999999998"/>
        <n v="404.09999999999997"/>
        <n v="97.6"/>
        <n v="20.3"/>
        <n v="254.79999999999998"/>
        <n v="19"/>
        <n v="17.8"/>
        <n v="837.59999999999991"/>
        <n v="31.7"/>
        <n v="210.4"/>
        <n v="95.6"/>
        <n v="208.20000000000002"/>
        <n v="309.60000000000002"/>
        <n v="105.6"/>
        <n v="62.8"/>
        <n v="39.700000000000003"/>
        <n v="124.4"/>
        <n v="351"/>
        <n v="228.4"/>
        <n v="449.5"/>
        <n v="336.7"/>
        <n v="58.6"/>
        <n v="115.2"/>
        <n v="202.5"/>
        <n v="911.39999999999986"/>
        <n v="161.19999999999999"/>
        <n v="259"/>
        <n v="183.89999999999998"/>
        <n v="490"/>
        <n v="112.5"/>
        <n v="300"/>
        <n v="120"/>
        <n v="308"/>
        <n v="172.8"/>
        <n v="50.7"/>
        <n v="122"/>
        <n v="39.799999999999997"/>
        <n v="78.3"/>
        <n v="197.6"/>
        <n v="36.1"/>
        <n v="34.6"/>
        <n v="61"/>
        <n v="4346.2"/>
        <n v="76.099999999999994"/>
        <n v="444.6"/>
        <n v="151.5"/>
        <n v="262.5"/>
        <n v="315.7"/>
        <n v="364"/>
        <n v="13.3"/>
        <n v="47.099999999999994"/>
        <n v="51.2"/>
        <n v="43.4"/>
        <n v="300.59999999999997"/>
        <n v="1045"/>
        <n v="70.800000000000011"/>
        <n v="936"/>
        <n v="103.6"/>
        <n v="172.5"/>
        <n v="5654.5"/>
        <n v="334.59999999999997"/>
        <n v="20.399999999999999"/>
        <n v="328"/>
        <n v="355.59999999999997"/>
        <n v="118.80000000000001"/>
        <n v="139"/>
        <n v="260.8"/>
        <n v="98.2"/>
        <n v="98.8"/>
        <n v="455.69999999999993"/>
        <n v="104.2"/>
        <n v="516.79999999999995"/>
        <n v="1554.2"/>
        <n v="24.9"/>
        <n v="148.19999999999999"/>
        <n v="45.4"/>
        <n v="545.5"/>
        <n v="215.6"/>
        <n v="551.19999999999993"/>
        <n v="276"/>
        <n v="138.60000000000002"/>
        <n v="487"/>
        <n v="105"/>
        <n v="65.400000000000006"/>
        <n v="192"/>
        <n v="204.60000000000002"/>
        <n v="107.8"/>
        <n v="248.4"/>
        <n v="231.70000000000002"/>
        <n v="176"/>
        <n v="96.300000000000011"/>
        <n v="38.1"/>
        <n v="65.2"/>
        <n v="386.40000000000003"/>
        <n v="137.69999999999999"/>
        <n v="174.89999999999998"/>
        <n v="44.6"/>
        <n v="213"/>
        <n v="2369.7999999999997"/>
        <n v="202.79999999999998"/>
        <n v="400.20000000000005"/>
        <n v="212.4"/>
        <n v="172.2"/>
        <n v="290.5"/>
        <n v="95.4"/>
        <n v="94.5"/>
        <n v="391.3"/>
        <n v="72.8"/>
        <n v="236.5"/>
        <n v="247.5"/>
        <n v="14.3"/>
        <n v="345.6"/>
        <n v="427.20000000000005"/>
        <n v="30.2"/>
        <n v="195.89999999999998"/>
        <n v="90.2"/>
        <n v="431.90000000000003"/>
        <n v="135.30000000000001"/>
        <n v="113.5"/>
        <n v="17.600000000000001"/>
        <n v="22.6"/>
        <n v="160.19999999999999"/>
        <n v="562.1"/>
        <n v="55"/>
        <n v="33.5"/>
        <n v="59.5"/>
        <n v="94"/>
        <n v="49.7"/>
        <n v="176.8"/>
        <n v="22.1"/>
        <n v="272.70000000000005"/>
        <n v="133.5"/>
        <n v="193.79999999999998"/>
        <n v="243.5"/>
        <n v="527.20000000000005"/>
        <n v="209.5"/>
        <n v="337.5"/>
        <n v="60.4"/>
        <n v="212.79999999999998"/>
        <n v="49"/>
        <n v="317.70000000000005"/>
        <n v="621.59999999999991"/>
        <n v="200.39999999999998"/>
        <n v="336.9"/>
        <n v="564.59999999999991"/>
        <n v="40.700000000000003"/>
        <n v="142.80000000000001"/>
        <n v="280.8"/>
        <n v="151.19999999999999"/>
        <n v="84.300000000000011"/>
        <n v="308.39999999999998"/>
        <n v="195.4"/>
        <n v="255.2"/>
        <n v="40.200000000000003"/>
        <n v="16.2"/>
        <n v="566.30000000000007"/>
        <n v="571.20000000000005"/>
        <n v="563.20000000000005"/>
        <n v="53.5"/>
        <n v="381.70000000000005"/>
        <n v="306.90000000000003"/>
        <n v="1435.7"/>
        <n v="55.2"/>
        <n v="78"/>
        <n v="28.4"/>
        <n v="204.29999999999998"/>
        <n v="297"/>
        <n v="95.1"/>
        <n v="121.6"/>
        <n v="102.4"/>
        <n v="69.8"/>
        <n v="256.20000000000005"/>
        <n v="23.9"/>
        <n v="124.3"/>
        <n v="215.39999999999998"/>
        <n v="138.19999999999999"/>
        <n v="58.4"/>
        <n v="555.90000000000009"/>
        <n v="170.79999999999998"/>
        <n v="200"/>
        <n v="129"/>
        <n v="322"/>
        <n v="114.8"/>
        <n v="165.3"/>
        <n v="279.89999999999998"/>
        <n v="3005.7999999999997"/>
        <n v="149.80000000000001"/>
        <n v="182"/>
        <n v="225"/>
        <n v="151.6"/>
        <n v="48.5"/>
        <n v="296.70000000000005"/>
        <n v="610.79999999999995"/>
        <n v="508.20000000000005"/>
        <n v="20.7"/>
        <n v="520.19999999999993"/>
        <n v="213.8"/>
        <n v="226"/>
        <n v="449.8"/>
        <n v="43.8"/>
        <n v="36.700000000000003"/>
        <n v="81.599999999999994"/>
        <n v="58.2"/>
        <n v="76.800000000000011"/>
        <n v="21.2"/>
        <n v="96.4"/>
        <n v="333.6"/>
        <n v="135.89999999999998"/>
        <n v="42"/>
        <n v="196.20000000000002"/>
        <n v="385.2"/>
        <n v="135"/>
        <n v="39.6"/>
        <n v="239.39999999999998"/>
        <n v="254.4"/>
        <n v="927"/>
        <n v="193.6"/>
        <n v="288"/>
        <n v="324"/>
        <n v="431.2"/>
        <n v="435.59999999999997"/>
        <n v="99.8"/>
        <n v="155.10000000000002"/>
        <n v="125.39999999999999"/>
        <n v="144.80000000000001"/>
        <n v="150.9"/>
        <n v="310.39999999999998"/>
        <n v="327.5"/>
        <n v="270.29999999999995"/>
        <n v="216.6"/>
        <n v="179.7"/>
        <n v="2363"/>
        <n v="261.89999999999998"/>
        <n v="169.2"/>
        <n v="828.8"/>
        <n v="181.8"/>
        <n v="1614.4"/>
        <n v="180"/>
        <n v="499.79999999999995"/>
        <n v="1025.0999999999999"/>
        <n v="721.8"/>
        <n v="340"/>
        <n v="948"/>
        <n v="74"/>
        <n v="302"/>
        <n v="138.6"/>
        <n v="405"/>
        <n v="124.5"/>
        <n v="139.4"/>
        <n v="418"/>
        <n v="150.5"/>
        <n v="112.80000000000001"/>
        <n v="140.4"/>
        <n v="25.4"/>
        <n v="137"/>
        <n v="122.6"/>
        <n v="129.4"/>
        <n v="365.6"/>
        <n v="66.2"/>
        <n v="139.19999999999999"/>
        <n v="494.19999999999993"/>
        <n v="32.200000000000003"/>
        <n v="55.8"/>
        <n v="47.1"/>
        <n v="170"/>
        <n v="178"/>
        <n v="304.5"/>
        <n v="579.5"/>
        <n v="215.4"/>
        <n v="1484.6000000000001"/>
        <n v="1117"/>
        <n v="310.09999999999997"/>
        <n v="766.4"/>
        <n v="158.20000000000002"/>
        <n v="204.8"/>
        <n v="868.8"/>
        <n v="666.9"/>
        <n v="31.2"/>
        <n v="90.9"/>
        <n v="60.6"/>
        <n v="159"/>
        <n v="1078.2"/>
        <n v="91.4"/>
        <n v="184.4"/>
        <n v="52.5"/>
        <n v="109.5"/>
        <n v="95"/>
        <n v="228"/>
        <n v="998"/>
        <n v="67.800000000000011"/>
        <n v="1903.5"/>
        <n v="200.6"/>
        <n v="442.8"/>
        <n v="94.6"/>
        <n v="285.59999999999997"/>
        <n v="393.6"/>
        <n v="28.5"/>
        <n v="73.599999999999994"/>
        <n v="100.5"/>
        <n v="375"/>
        <n v="1916"/>
        <n v="557.40000000000009"/>
        <n v="132.30000000000001"/>
        <n v="11.4"/>
        <n v="83.7"/>
        <n v="46.4"/>
        <n v="162.1"/>
        <n v="196.8"/>
        <n v="531"/>
        <n v="44.8"/>
        <n v="376.5"/>
        <n v="42.6"/>
        <n v="245"/>
        <n v="93.9"/>
        <n v="170.8"/>
        <n v="160"/>
        <n v="77"/>
        <n v="115.6"/>
        <n v="19.2"/>
        <n v="688.8"/>
        <n v="338.8"/>
        <n v="366"/>
        <n v="97.2"/>
        <n v="292.20000000000005"/>
        <n v="64.400000000000006"/>
        <n v="206.4"/>
        <n v="189.6"/>
        <n v="1420"/>
        <n v="292.8"/>
        <n v="50.400000000000006"/>
        <n v="393.79999999999995"/>
        <n v="64.900000000000006"/>
        <n v="207"/>
        <n v="82.4"/>
        <n v="37.799999999999997"/>
        <n v="85.2"/>
        <n v="152"/>
        <n v="55.4"/>
        <n v="249.60000000000002"/>
        <n v="145.4"/>
        <n v="42.4"/>
        <n v="83"/>
        <n v="530.1"/>
        <n v="57.1"/>
        <n v="57.2"/>
        <n v="70.2"/>
        <n v="52.1"/>
        <n v="179.39999999999998"/>
        <n v="333.2"/>
        <n v="495.59999999999997"/>
        <n v="80"/>
        <n v="41.6"/>
        <n v="758.80000000000007"/>
        <n v="77.8"/>
        <n v="21.6"/>
        <n v="629.19999999999993"/>
        <n v="87.6"/>
        <n v="50.2"/>
        <n v="196.79999999999998"/>
        <n v="114.6"/>
        <n v="411.3"/>
        <n v="1628"/>
        <n v="78.400000000000006"/>
        <n v="1065.9000000000001"/>
        <n v="120.2"/>
        <n v="45.8"/>
        <n v="75.2"/>
        <n v="39.200000000000003"/>
        <n v="90.5"/>
        <n v="372.9"/>
        <n v="65.599999999999994"/>
        <n v="49.9"/>
        <n v="396"/>
        <n v="312"/>
        <n v="72"/>
        <n v="41.2"/>
        <n v="1672"/>
        <n v="2235"/>
        <n v="157.19999999999999"/>
        <n v="68.5"/>
        <n v="67.5"/>
        <n v="48"/>
        <n v="65.699999999999989"/>
        <n v="454.30000000000007"/>
        <n v="52.9"/>
        <n v="76.5"/>
        <n v="155.69999999999999"/>
        <n v="46.3"/>
        <n v="136.4"/>
        <n v="40.299999999999997"/>
        <n v="35.700000000000003"/>
        <n v="127"/>
        <n v="54.2"/>
        <n v="164.2"/>
        <n v="214.5"/>
        <n v="416.9"/>
        <n v="22.4"/>
        <n v="1038.7"/>
        <n v="70.599999999999994"/>
        <n v="49.5"/>
        <n v="193.2"/>
        <n v="101.7"/>
        <n v="134.5"/>
        <n v="844"/>
        <n v="84.4"/>
        <n v="26.6"/>
        <n v="53"/>
        <n v="258.8"/>
        <n v="289.3"/>
        <n v="47.8"/>
        <n v="128.39999999999998"/>
        <n v="234"/>
        <n v="641"/>
        <n v="89.1"/>
        <n v="249.29999999999998"/>
        <n v="122.69999999999999"/>
        <n v="251.4"/>
        <n v="61.8"/>
        <n v="36.6"/>
        <n v="113"/>
        <n v="209.29999999999998"/>
        <n v="85.8"/>
        <n v="1065.5999999999999"/>
        <n v="281.2"/>
        <n v="124"/>
        <n v="489.59999999999997"/>
        <n v="1457.5"/>
        <n v="80.2"/>
        <n v="117.60000000000001"/>
        <n v="30.8"/>
        <n v="505.6"/>
        <n v="214.20000000000002"/>
        <n v="524"/>
        <n v="150.80000000000001"/>
        <n v="1482.4"/>
        <n v="69.2"/>
        <n v="116.4"/>
        <n v="532"/>
        <n v="306.60000000000002"/>
        <n v="105.4"/>
        <n v="57.7"/>
        <n v="125"/>
        <n v="55.800000000000004"/>
        <n v="58.8"/>
        <n v="44.2"/>
        <n v="114.9"/>
        <n v="379"/>
        <n v="103"/>
        <n v="203.70000000000002"/>
        <n v="50.6"/>
        <n v="110.5"/>
        <n v="128.69999999999999"/>
        <n v="686.4"/>
        <n v="327.59999999999997"/>
        <n v="45"/>
        <n v="283.2"/>
        <n v="283"/>
        <n v="95.8"/>
        <n v="627.20000000000005"/>
        <n v="1709.3999999999999"/>
        <n v="167.4"/>
        <n v="391.6"/>
        <n v="15"/>
        <n v="283.79999999999995"/>
        <n v="118.19999999999999"/>
        <n v="46.7"/>
        <n v="172"/>
        <n v="243"/>
        <n v="173.6"/>
        <n v="246.4"/>
        <n v="146.10000000000002"/>
        <n v="261.39999999999998"/>
        <n v="26"/>
        <n v="472"/>
        <n v="448.79999999999995"/>
        <n v="1987.2"/>
        <n v="513.9"/>
        <n v="167.29999999999998"/>
        <n v="34.1"/>
        <n v="154"/>
        <n v="210"/>
        <n v="74.400000000000006"/>
        <n v="75"/>
        <n v="169.9"/>
        <n v="144.4"/>
        <n v="20"/>
        <n v="232"/>
        <n v="86.2"/>
        <n v="672.30000000000007"/>
        <n v="128.19999999999999"/>
        <n v="106.8"/>
        <n v="189"/>
        <n v="452.90000000000003"/>
        <n v="111.2"/>
        <n v="72.400000000000006"/>
        <n v="126"/>
        <n v="144.30000000000001"/>
        <n v="86.8"/>
        <n v="31.8"/>
        <n v="126.4"/>
        <n v="259.2"/>
        <n v="54.4"/>
        <n v="87.3"/>
        <n v="129.6"/>
        <n v="177.4"/>
        <n v="140.19999999999999"/>
        <n v="399.5"/>
        <n v="57.6"/>
        <n v="597"/>
        <n v="150"/>
        <n v="138.4"/>
        <n v="87.2"/>
        <n v="122.2"/>
        <n v="223.2"/>
        <n v="99.2"/>
        <n v="359.70000000000005"/>
        <n v="90"/>
        <n v="102.2"/>
        <n v="97.5"/>
        <n v="78.099999999999994"/>
        <n v="661.2"/>
        <n v="258.89999999999998"/>
        <n v="441.59999999999997"/>
        <n v="880.1"/>
        <n v="853.19999999999993"/>
        <n v="412.2"/>
        <n v="48.4"/>
        <n v="434.70000000000005"/>
        <n v="164"/>
        <n v="357"/>
        <n v="109.2"/>
        <n v="71.400000000000006"/>
        <n v="104.8"/>
        <n v="226.79999999999998"/>
        <n v="2011.6"/>
        <n v="1299.6000000000001"/>
        <n v="1101.6000000000001"/>
        <n v="235"/>
        <n v="211.4"/>
        <n v="401.09999999999997"/>
        <n v="585.9"/>
        <n v="18.600000000000001"/>
        <n v="1015.3"/>
        <n v="245.10000000000002"/>
        <n v="81.8"/>
        <n v="283.8"/>
        <n v="145.6"/>
        <n v="59.1"/>
        <n v="1266.5"/>
        <n v="549.20000000000005"/>
        <n v="214.8"/>
        <n v="706.30000000000007"/>
        <n v="83.6"/>
        <n v="355.6"/>
        <n v="62.5"/>
        <n v="140.69999999999999"/>
        <n v="135.60000000000002"/>
        <n v="474.8"/>
        <n v="57.8"/>
        <n v="19.5"/>
        <n v="149.6"/>
        <n v="181.5"/>
        <n v="400.40000000000003"/>
        <n v="224"/>
        <n v="67.400000000000006"/>
        <n v="106.80000000000001"/>
        <n v="1064"/>
        <n v="602.40000000000009"/>
        <n v="87.4"/>
        <n v="33.299999999999997"/>
        <n v="591"/>
        <n v="86.699999999999989"/>
        <n v="166.8"/>
        <n v="66.300000000000011"/>
        <n v="1391.6000000000001"/>
        <n v="399.59999999999997"/>
        <n v="45.2"/>
        <n v="1202.3999999999999"/>
        <n v="83.2"/>
        <n v="717.5"/>
        <n v="446.40000000000003"/>
        <n v="973.4"/>
        <n v="296.5"/>
        <n v="591.59999999999991"/>
        <n v="389.2"/>
        <n v="76.8"/>
        <n v="379.79999999999995"/>
        <n v="46"/>
        <n v="114"/>
        <n v="797"/>
        <n v="244"/>
        <n v="339.5"/>
        <n v="247.2"/>
        <n v="46.1"/>
        <n v="264"/>
        <n v="191.4"/>
        <n v="94.4"/>
        <n v="117.2"/>
        <n v="171"/>
        <n v="303.5"/>
        <n v="304"/>
        <n v="323"/>
        <n v="21.9"/>
        <n v="400.79999999999995"/>
        <n v="51.7"/>
        <n v="339.6"/>
        <n v="685.3"/>
        <n v="39.5"/>
        <n v="92.699999999999989"/>
        <n v="844.8"/>
        <n v="157.80000000000001"/>
        <n v="1632"/>
        <n v="1382"/>
        <n v="90.6"/>
        <n v="230.2"/>
        <n v="316"/>
        <n v="68.2"/>
        <n v="539.5"/>
        <n v="630.5"/>
        <n v="104.10000000000001"/>
        <n v="16.8"/>
        <n v="167.7"/>
        <n v="266"/>
        <n v="312.60000000000002"/>
        <n v="38"/>
        <n v="254.39999999999998"/>
        <n v="255.6"/>
        <n v="196.5"/>
        <n v="232.4"/>
        <n v="91.6"/>
        <n v="161.10000000000002"/>
        <n v="216"/>
        <n v="568.20000000000005"/>
        <n v="167.2"/>
        <n v="201.60000000000002"/>
        <n v="296.39999999999998"/>
        <n v="222"/>
        <n v="175.5"/>
        <n v="592"/>
        <n v="1332"/>
        <n v="129.19999999999999"/>
        <n v="285.89999999999998"/>
        <n v="77.400000000000006"/>
        <n v="23.2"/>
        <n v="52.3"/>
        <n v="1122"/>
        <n v="173"/>
        <n v="225.6"/>
        <n v="497.7"/>
        <n v="2114"/>
        <n v="23.6"/>
        <n v="141.4"/>
        <n v="86.4"/>
        <n v="630"/>
        <n v="41"/>
        <n v="482.40000000000003"/>
        <n v="361.5"/>
        <n v="90.4"/>
        <n v="88.4"/>
        <n v="282.29999999999995"/>
        <n v="53.699999999999996"/>
        <n v="368.90000000000003"/>
        <n v="36.799999999999997"/>
        <n v="267.60000000000002"/>
        <n v="106.4"/>
        <n v="112.19999999999999"/>
        <n v="435.2"/>
        <n v="192.5"/>
        <n v="465"/>
        <n v="20.9"/>
        <n v="107.6"/>
        <n v="73.800000000000011"/>
        <n v="212.70000000000002"/>
        <n v="95.699999999999989"/>
        <n v="40.799999999999997"/>
        <n v="37.200000000000003"/>
        <n v="241.5"/>
        <n v="110.8"/>
        <n v="108"/>
        <n v="184.1"/>
        <n v="721"/>
        <n v="699"/>
        <n v="161"/>
        <n v="66"/>
        <n v="50.4"/>
        <n v="412.20000000000005"/>
        <n v="66.599999999999994"/>
        <n v="252"/>
        <n v="89.8"/>
        <n v="214.79999999999998"/>
        <n v="277.5"/>
        <n v="955.5"/>
        <n v="67.599999999999994"/>
        <n v="229.5"/>
        <n v="127.80000000000001"/>
        <n v="147.30000000000001"/>
        <n v="85.3"/>
        <n v="172.4"/>
        <n v="184.8"/>
        <n v="47.2"/>
        <n v="1101.5999999999999"/>
        <n v="24.7"/>
        <n v="154.70000000000002"/>
        <n v="18.100000000000001"/>
        <n v="117.6"/>
        <n v="61.6"/>
        <n v="24"/>
        <n v="17.899999999999999"/>
        <n v="77.2"/>
        <n v="163.5"/>
        <n v="222.8"/>
        <n v="481.79999999999995"/>
        <n v="117.8"/>
        <n v="150.89999999999998"/>
        <n v="270"/>
        <n v="268.20000000000005"/>
        <n v="495"/>
        <n v="224.5"/>
        <n v="329.7"/>
        <n v="130.5"/>
        <n v="334"/>
        <n v="335.8"/>
        <n v="311.40000000000003"/>
        <n v="105.30000000000001"/>
        <n v="37.9"/>
        <n v="96"/>
        <n v="101.2"/>
        <n v="408.5"/>
        <n v="101.4"/>
        <n v="1278.7"/>
        <n v="1348.6"/>
        <n v="32.9"/>
        <n v="201.6"/>
        <n v="100.4"/>
        <n v="67.2"/>
        <n v="39.299999999999997"/>
        <n v="488"/>
        <n v="582.4"/>
        <n v="369.6"/>
        <n v="2659.2"/>
        <n v="343.2"/>
        <n v="1515.8"/>
        <n v="377.3"/>
        <n v="106.2"/>
        <n v="224.8"/>
        <n v="773"/>
        <n v="751.4"/>
        <n v="631.5"/>
        <n v="205.20000000000002"/>
        <n v="513.29999999999995"/>
        <n v="28"/>
        <n v="351.40000000000003"/>
        <n v="112"/>
        <n v="76.599999999999994"/>
        <n v="111.5"/>
        <n v="66.900000000000006"/>
        <n v="188"/>
        <n v="61.4"/>
        <n v="452.5"/>
        <n v="126.5"/>
        <n v="174.3"/>
        <n v="224.70000000000002"/>
        <n v="65"/>
        <n v="310"/>
        <n v="173.39999999999998"/>
        <n v="342.4"/>
        <n v="315.2"/>
        <n v="199.20000000000002"/>
        <n v="143.6"/>
        <n v="55.1"/>
        <n v="274.3"/>
        <n v="169"/>
        <n v="224.4"/>
        <n v="58.5"/>
        <n v="84.2"/>
        <n v="208"/>
        <n v="157.5"/>
        <n v="810"/>
        <n v="276.60000000000002"/>
        <n v="396.90000000000003"/>
        <n v="297.7"/>
        <n v="1018.4"/>
        <n v="500.40000000000003"/>
        <n v="372.29999999999995"/>
        <n v="946.39999999999986"/>
        <n v="353.4"/>
        <n v="162"/>
        <n v="445"/>
        <n v="282"/>
        <n v="110.4"/>
        <n v="1398.6"/>
        <n v="443.6"/>
        <n v="403.79999999999995"/>
        <n v="209.10000000000002"/>
        <n v="39.1"/>
        <n v="625.79999999999995"/>
        <n v="83.4"/>
        <n v="147"/>
        <n v="132.5"/>
        <n v="30.3"/>
        <n v="476.40000000000003"/>
        <n v="589"/>
        <n v="348.2"/>
        <n v="141.6"/>
        <n v="57"/>
        <n v="2132"/>
        <n v="359.1"/>
        <n v="73.3"/>
        <n v="51.6"/>
        <n v="44.9"/>
        <n v="108.6"/>
        <n v="33"/>
        <n v="481.20000000000005"/>
        <n v="392"/>
        <n v="417.6"/>
        <n v="32.799999999999997"/>
        <n v="44"/>
        <n v="258"/>
        <n v="544"/>
        <n v="263.7"/>
        <n v="122.7"/>
        <n v="160.29999999999998"/>
        <n v="255"/>
        <n v="70.199999999999989"/>
        <n v="342"/>
        <n v="51.9"/>
        <n v="132"/>
        <n v="148.80000000000001"/>
        <n v="61.800000000000004"/>
        <n v="197.2"/>
        <n v="48.2"/>
        <n v="261.60000000000002"/>
        <n v="223.20000000000002"/>
        <n v="45.6"/>
        <n v="156.80000000000001"/>
        <n v="51.8"/>
        <n v="74.7"/>
        <n v="67.199999999999989"/>
        <n v="125.6"/>
        <n v="22.3"/>
        <n v="81"/>
        <n v="598.4"/>
        <n v="516.4"/>
        <n v="484.79999999999995"/>
        <n v="145.5"/>
        <n v="92.5"/>
        <n v="189.4"/>
        <n v="232.79999999999998"/>
        <n v="204"/>
        <n v="445.90000000000003"/>
        <n v="132.4"/>
        <n v="96.899999999999991"/>
        <n v="133.80000000000001"/>
        <n v="302.39999999999998"/>
        <n v="177"/>
        <n v="230"/>
        <n v="218.6"/>
        <n v="133.19999999999999"/>
        <n v="238.5"/>
        <n v="92"/>
        <n v="235.79999999999998"/>
        <n v="286"/>
        <n v="217"/>
        <n v="341"/>
        <n v="1129"/>
        <n v="303.3"/>
        <n v="353"/>
        <n v="136.80000000000001"/>
        <n v="319.39999999999998"/>
        <n v="76"/>
        <n v="546.59999999999991"/>
        <n v="470.5"/>
        <n v="189.9"/>
        <n v="107.10000000000001"/>
        <n v="77.099999999999994"/>
        <n v="284.40000000000003"/>
        <n v="64.2"/>
        <n v="111.6"/>
        <n v="56.2"/>
        <n v="289.79999999999995"/>
        <n v="225.40000000000003"/>
        <n v="1358"/>
        <n v="318.29999999999995"/>
        <n v="70.5"/>
        <n v="71.2"/>
        <n v="580.30000000000007"/>
        <n v="321.29999999999995"/>
        <n v="62.7"/>
        <n v="242.39999999999998"/>
        <n v="357.6"/>
        <n v="765.59999999999991"/>
        <n v="178.8"/>
        <n v="15.9"/>
        <n v="157.4"/>
        <n v="355.20000000000005"/>
        <n v="86"/>
        <n v="1288.5999999999999"/>
        <n v="169.8"/>
        <n v="1098.5"/>
        <n v="527"/>
        <n v="275.8"/>
        <n v="62.3"/>
        <n v="245.5"/>
        <n v="974.59999999999991"/>
        <n v="99.4"/>
        <n v="29"/>
        <n v="60.7"/>
        <n v="349.6"/>
        <n v="311.5"/>
        <n v="141"/>
        <n v="50.099999999999994"/>
        <n v="155"/>
        <n v="326"/>
        <n v="192.6"/>
        <n v="68.599999999999994"/>
        <n v="241"/>
        <n v="51.4"/>
        <n v="586"/>
        <n v="88.2"/>
        <n v="134.4"/>
        <n v="105.2"/>
        <n v="479.5"/>
        <n v="404.70000000000005"/>
        <n v="303"/>
        <n v="87"/>
        <n v="374.2"/>
        <n v="221.6"/>
        <n v="469.3"/>
        <n v="24.1"/>
        <n v="91.5"/>
        <n v="409.79999999999995"/>
        <n v="129.89999999999998"/>
        <n v="108.4"/>
        <n v="102"/>
        <n v="46.2"/>
        <n v="612.5"/>
        <n v="153"/>
        <n v="212"/>
        <n v="440.6"/>
        <n v="137.10000000000002"/>
        <n v="235.5"/>
        <n v="978"/>
        <n v="127.19999999999999"/>
        <n v="745"/>
        <n v="284.39999999999998"/>
        <n v="51.900000000000006"/>
        <n v="311.60000000000002"/>
        <n v="29.1"/>
        <n v="126.60000000000001"/>
        <n v="701.1"/>
        <n v="926"/>
        <n v="164.39999999999998"/>
        <n v="681.59999999999991"/>
        <n v="1557.6000000000001"/>
        <n v="270.60000000000002"/>
        <n v="22"/>
        <n v="61.5"/>
        <n v="190.4"/>
        <n v="121.9"/>
        <n v="895.19999999999993"/>
        <n v="54.1"/>
        <n v="54.8"/>
        <n v="395.2"/>
        <n v="628.79999999999995"/>
        <n v="134.80000000000001"/>
        <n v="215.5"/>
        <n v="161.4"/>
        <n v="144.20000000000002"/>
        <n v="111.30000000000001"/>
        <n v="118"/>
        <n v="64.599999999999994"/>
        <n v="59.2"/>
        <n v="81.2"/>
        <n v="26.2"/>
        <n v="1320"/>
        <n v="262.39999999999998"/>
        <n v="391.20000000000005"/>
        <n v="1824.9"/>
        <n v="54.5"/>
        <n v="344.5"/>
        <n v="124.8"/>
        <n v="488.40000000000003"/>
        <n v="49.6"/>
        <n v="2996.9999999999995"/>
        <n v="79.199999999999989"/>
        <n v="34.4"/>
        <n v="464.8"/>
        <n v="27.1"/>
        <n v="40.5"/>
        <n v="233.70000000000002"/>
        <n v="148.4"/>
        <n v="154.80000000000001"/>
        <n v="294"/>
        <n v="289.8"/>
        <n v="272"/>
        <n v="66.3"/>
        <n v="287.70000000000005"/>
        <n v="156.19999999999999"/>
        <n v="113.6"/>
        <n v="163.4"/>
        <n v="113.4"/>
        <n v="210.6"/>
        <n v="190.2"/>
        <n v="345.2"/>
        <n v="80.099999999999994"/>
        <n v="136.19999999999999"/>
        <n v="81.7"/>
        <n v="251"/>
        <n v="20.2"/>
        <n v="624"/>
        <n v="38.4"/>
        <n v="292.59999999999997"/>
        <n v="224.39999999999998"/>
        <n v="180.60000000000002"/>
        <n v="183"/>
        <n v="278.5"/>
        <n v="153.4"/>
        <n v="592.19999999999993"/>
        <n v="466"/>
        <n v="78.2"/>
        <n v="543.59999999999991"/>
        <n v="237.29999999999998"/>
        <n v="41.9"/>
        <n v="92.4"/>
        <n v="340.8"/>
        <n v="70"/>
        <n v="88"/>
        <n v="222.29999999999998"/>
        <n v="161.9"/>
        <n v="32.1"/>
        <n v="419.2"/>
        <n v="404.40000000000003"/>
        <n v="230.4"/>
        <n v="730.40000000000009"/>
        <n v="817.19999999999993"/>
        <n v="162.5"/>
        <n v="183.60000000000002"/>
        <n v="229.6"/>
        <n v="229.20000000000002"/>
        <n v="211.20000000000002"/>
        <n v="223.79999999999998"/>
        <n v="1089"/>
        <n v="101.39999999999999"/>
        <n v="85.7"/>
        <n v="184.2"/>
        <n v="195.29999999999998"/>
        <n v="142.1"/>
        <n v="59.6"/>
        <n v="57.3"/>
        <n v="108.9"/>
        <n v="594.9"/>
        <n v="183.5"/>
        <n v="328.1"/>
        <n v="82.8"/>
        <n v="164.10000000000002"/>
        <n v="41.1"/>
        <n v="348"/>
        <n v="205.6"/>
        <n v="79.599999999999994"/>
        <n v="305"/>
        <n v="166.1"/>
        <n v="499.09999999999997"/>
        <n v="25.8"/>
        <n v="198"/>
        <n v="128"/>
        <n v="1457.6"/>
        <n v="43.6"/>
        <n v="92.6"/>
        <n v="62.2"/>
        <n v="321.3"/>
        <n v="219.6"/>
        <n v="18.2"/>
        <n v="59.7"/>
        <n v="210.89999999999998"/>
        <n v="413.6"/>
        <n v="246"/>
        <n v="87.9"/>
        <n v="251.8"/>
        <n v="146.5"/>
        <n v="126.8"/>
        <n v="131.5"/>
        <n v="199"/>
        <n v="412.5"/>
        <n v="45.1"/>
        <n v="344"/>
        <n v="453.59999999999997"/>
        <n v="533.4"/>
        <n v="85.6"/>
        <n v="100"/>
        <n v="753.5"/>
        <n v="19.600000000000001"/>
        <n v="63.599999999999994"/>
        <n v="297.5"/>
        <n v="34"/>
        <n v="103.2"/>
        <n v="147.6"/>
        <n v="812.40000000000009"/>
        <n v="306.59999999999997"/>
        <n v="431.40000000000003"/>
        <n v="52.6"/>
        <n v="32.700000000000003"/>
        <n v="155.6"/>
        <n v="242"/>
        <n v="1339.8"/>
        <n v="77.7"/>
        <n v="241.2"/>
        <n v="248.2"/>
        <n v="462"/>
        <n v="7446.6"/>
        <n v="321.5"/>
        <n v="109.6"/>
        <n v="792.5"/>
        <n v="287.60000000000002"/>
        <n v="59"/>
        <n v="167.6"/>
        <n v="323.39999999999998"/>
        <n v="718.19999999999993"/>
        <n v="22.9"/>
        <n v="48.599999999999994"/>
        <n v="238"/>
        <n v="131"/>
        <n v="118.4"/>
        <n v="166"/>
        <n v="805.19999999999993"/>
        <n v="57.4"/>
        <n v="528.4"/>
        <n v="657.4"/>
        <n v="166.5"/>
        <n v="800.40000000000009"/>
        <n v="378.90000000000003"/>
        <n v="410.90000000000003"/>
        <n v="54"/>
        <n v="93.4"/>
        <n v="144.69999999999999"/>
        <n v="818.1"/>
        <n v="289.5"/>
        <n v="132.60000000000002"/>
        <n v="267.5"/>
        <n v="249.6"/>
        <n v="123.5"/>
        <n v="308.5"/>
        <n v="91"/>
        <n v="160.5"/>
        <n v="130.80000000000001"/>
        <n v="1350"/>
        <n v="84.6"/>
        <n v="181"/>
        <n v="63.900000000000006"/>
        <n v="36.299999999999997"/>
        <n v="331.5"/>
        <n v="228.20000000000002"/>
        <n v="626.40000000000009"/>
        <n v="57.300000000000004"/>
        <n v="218.2"/>
        <n v="42.2"/>
        <n v="170.4"/>
        <n v="72.900000000000006"/>
        <n v="43.3"/>
        <n v="123"/>
        <n v="162.30000000000001"/>
        <n v="72.300000000000011"/>
        <n v="261.5"/>
        <n v="275.2"/>
        <n v="257.60000000000002"/>
        <n v="48.3"/>
        <n v="136.5"/>
        <n v="1377"/>
        <n v="122.39999999999999"/>
        <n v="60.8"/>
        <n v="143"/>
        <n v="501.6"/>
        <n v="99.5"/>
        <n v="468.90000000000003"/>
        <n v="1159"/>
        <n v="774"/>
        <n v="515.19999999999993"/>
        <n v="326.2"/>
        <n v="253.79999999999998"/>
        <n v="581"/>
        <n v="326.90000000000003"/>
        <n v="53.7"/>
        <n v="247.8"/>
        <n v="107.69999999999999"/>
        <n v="1599.5"/>
        <n v="1301.3"/>
        <n v="74.2"/>
        <n v="606.4"/>
        <n v="243.2"/>
        <n v="267.40000000000003"/>
        <n v="462.8"/>
        <n v="596.40000000000009"/>
        <n v="38.700000000000003"/>
        <n v="71"/>
        <n v="373.2"/>
        <n v="31.4"/>
        <n v="85.9"/>
        <n v="72.599999999999994"/>
        <n v="100.19999999999999"/>
        <n v="195.60000000000002"/>
        <n v="589.5"/>
        <n v="158.39999999999998"/>
        <n v="153.60000000000002"/>
        <n v="84.9"/>
        <n v="126.89999999999999"/>
        <n v="1306.4000000000001"/>
        <n v="331.09999999999997"/>
        <n v="436.8"/>
        <n v="209.39999999999998"/>
        <n v="174.4"/>
        <n v="878.5"/>
        <n v="498.4"/>
        <n v="279.3"/>
        <n v="299.2"/>
        <n v="52.2"/>
        <n v="193"/>
        <n v="159.6"/>
        <n v="165.89999999999998"/>
        <n v="731.5"/>
        <n v="306.39999999999998"/>
        <n v="191.39999999999998"/>
        <n v="21.4"/>
        <n v="176.4"/>
        <n v="460.8"/>
        <n v="40.6"/>
        <n v="423.6"/>
        <n v="336.59999999999997"/>
        <n v="158"/>
        <n v="57.900000000000006"/>
        <n v="356.5"/>
        <n v="332.4"/>
        <n v="231"/>
        <n v="86.1"/>
        <n v="577"/>
        <n v="706"/>
        <n v="146.69999999999999"/>
        <n v="54.300000000000004"/>
        <n v="237"/>
        <n v="413.7"/>
        <n v="137.6"/>
        <n v="292.5"/>
        <n v="798"/>
        <n v="266.39999999999998"/>
        <n v="257.5"/>
        <n v="190.8"/>
        <n v="368"/>
        <n v="638.4"/>
        <n v="289.60000000000002"/>
        <n v="784"/>
        <n v="348.8"/>
        <n v="378"/>
        <n v="566.1"/>
        <n v="511"/>
        <n v="295.79999999999995"/>
        <n v="338.4"/>
        <n v="344.8"/>
        <n v="154.6"/>
        <n v="189.60000000000002"/>
        <n v="913.1"/>
        <n v="137.39999999999998"/>
        <n v="152.39999999999998"/>
        <n v="103.8"/>
        <n v="186.8"/>
        <n v="143.19999999999999"/>
        <n v="444.4"/>
        <n v="2498.5"/>
        <n v="64.3"/>
        <n v="174.60000000000002"/>
        <n v="236.8"/>
        <n v="296"/>
        <n v="1050.3999999999999"/>
        <n v="154.19999999999999"/>
        <n v="40.4"/>
        <n v="145.19999999999999"/>
        <n v="119.39999999999999"/>
        <n v="128.80000000000001"/>
        <n v="230.39999999999998"/>
        <n v="83.8"/>
        <n v="429.09999999999997"/>
        <n v="54.7"/>
        <n v="847"/>
        <n v="280.20000000000005"/>
        <n v="144"/>
        <n v="135.80000000000001"/>
        <n v="233.09999999999997"/>
        <n v="113.39999999999999"/>
        <n v="537.70000000000005"/>
        <n v="125.2"/>
        <n v="208.5"/>
        <n v="33.4"/>
        <n v="310.8"/>
        <n v="142.4"/>
        <n v="285"/>
        <n v="688.4"/>
        <n v="43.5"/>
        <n v="131.6"/>
        <n v="425.70000000000005"/>
        <n v="7264.5"/>
        <n v="15.5"/>
        <n v="140.80000000000001"/>
        <n v="207.60000000000002"/>
        <n v="21.3"/>
        <n v="273"/>
        <n v="214.9"/>
        <n v="123.2"/>
        <n v="217.2"/>
        <n v="174"/>
        <n v="144.60000000000002"/>
        <n v="13.7"/>
        <n v="221"/>
        <n v="1407"/>
        <n v="270.2"/>
        <n v="2101"/>
        <n v="25.5"/>
        <n v="486"/>
        <n v="80.8"/>
        <n v="299.5"/>
        <n v="165"/>
        <n v="543.9"/>
        <n v="46.6"/>
        <n v="62.099999999999994"/>
        <n v="114.60000000000001"/>
        <n v="1390"/>
        <n v="192.4"/>
        <n v="181.2"/>
        <n v="741.6"/>
        <n v="103.7"/>
        <n v="31.5"/>
        <n v="44.7"/>
        <n v="139.6"/>
        <n v="186.89999999999998"/>
        <n v="99.600000000000009"/>
        <n v="298"/>
        <n v="823.19999999999993"/>
        <n v="509.59999999999997"/>
        <n v="338"/>
        <n v="372.6"/>
        <n v="41.8"/>
        <n v="114.4"/>
        <n v="94.2"/>
        <n v="259.20000000000005"/>
        <n v="525"/>
        <n v="533"/>
        <n v="857.6"/>
        <n v="651"/>
        <n v="194.6"/>
        <n v="49.8"/>
        <n v="163"/>
        <n v="67.3"/>
        <n v="1222.0999999999999"/>
        <n v="59.099999999999994"/>
        <n v="217.6"/>
        <n v="314.10000000000002"/>
        <n v="65.5"/>
        <n v="12.5"/>
        <n v="111.4"/>
        <n v="115.4"/>
        <n v="514.20000000000005"/>
        <n v="260.70000000000005"/>
        <n v="92.8"/>
        <n v="76.199999999999989"/>
        <n v="143.39999999999998"/>
        <n v="349.59999999999997"/>
        <n v="345"/>
        <n v="18.7"/>
        <n v="30.1"/>
        <n v="16.3"/>
        <n v="517.30000000000007"/>
        <n v="324.5"/>
        <n v="265.3"/>
        <n v="56.5"/>
        <n v="259.5"/>
        <n v="20.6"/>
        <n v="149.10000000000002"/>
        <n v="480"/>
        <n v="693"/>
        <n v="502.79999999999995"/>
        <n v="309.2"/>
        <n v="153.80000000000001"/>
        <n v="548.6"/>
        <n v="304.39999999999998"/>
        <n v="1728"/>
        <n v="1630.7"/>
        <n v="107.4"/>
        <n v="171.6"/>
        <n v="752.5"/>
        <n v="426.5"/>
        <n v="404"/>
        <n v="369.29999999999995"/>
        <n v="73.8"/>
        <n v="82"/>
        <n v="200.4"/>
        <n v="35.9"/>
        <n v="360"/>
        <n v="171.89999999999998"/>
        <n v="81.400000000000006"/>
        <n v="73.400000000000006"/>
        <n v="176.39999999999998"/>
        <n v="292.79999999999995"/>
        <n v="117.4"/>
        <n v="359.5"/>
        <n v="860.8"/>
        <n v="160.80000000000001"/>
        <n v="168.6"/>
        <n v="1061.1000000000001"/>
        <n v="240"/>
        <n v="111.89999999999999"/>
        <n v="225.9"/>
        <n v="604.80000000000007"/>
        <n v="165.2"/>
        <n v="30.6"/>
        <n v="54.6"/>
        <n v="340.4"/>
        <n v="228.90000000000003"/>
        <n v="302.10000000000002"/>
        <n v="98.6"/>
        <n v="582"/>
        <n v="134.19999999999999"/>
        <n v="271.59999999999997"/>
        <n v="212.8"/>
        <n v="1057"/>
        <n v="70.400000000000006"/>
        <n v="455.40000000000003"/>
        <n v="236.10000000000002"/>
        <n v="429.8"/>
        <n v="35"/>
        <n v="75.900000000000006"/>
        <n v="126.30000000000001"/>
        <n v="362"/>
        <n v="53.2"/>
        <n v="2464"/>
        <n v="52.4"/>
        <n v="363"/>
        <n v="23.4"/>
        <n v="452.8"/>
        <n v="53.6"/>
        <n v="33.900000000000006"/>
        <n v="180.3"/>
        <n v="304.7"/>
        <n v="133.4"/>
        <n v="195.5"/>
        <n v="99.6"/>
        <n v="146"/>
        <n v="396.2"/>
        <n v="196.70000000000002"/>
        <n v="179.10000000000002"/>
        <n v="71.900000000000006"/>
        <n v="113.8"/>
        <n v="246.8"/>
        <n v="1052"/>
        <n v="252.29999999999998"/>
        <n v="115"/>
        <n v="34.299999999999997"/>
        <n v="55.6"/>
        <n v="190"/>
        <n v="130.4"/>
        <n v="345.9"/>
        <n v="1250.0999999999999"/>
        <n v="252.60000000000002"/>
        <n v="401.8"/>
        <n v="156.89999999999998"/>
        <n v="79.800000000000011"/>
        <n v="383.2"/>
        <n v="303.09999999999997"/>
        <n v="322.40000000000003"/>
        <n v="771.30000000000007"/>
        <n v="832"/>
        <n v="471"/>
        <n v="182.39999999999998"/>
        <n v="134.39999999999998"/>
        <n v="77.599999999999994"/>
        <n v="1216.6000000000001"/>
        <n v="18.3"/>
        <n v="47.5"/>
        <n v="349.2"/>
        <n v="168.5"/>
        <n v="322.20000000000005"/>
        <n v="88.8"/>
        <n v="828"/>
        <n v="355.2"/>
        <n v="78.599999999999994"/>
        <n v="17.399999999999999"/>
        <n v="433.79999999999995"/>
        <n v="267.3"/>
        <n v="2347"/>
        <n v="380.5"/>
        <n v="281.70000000000005"/>
        <n v="748"/>
        <n v="24.4"/>
        <n v="337.6"/>
        <n v="153.19999999999999"/>
        <n v="174.6"/>
        <n v="63"/>
        <n v="152.19999999999999"/>
        <n v="117"/>
        <n v="78.5"/>
        <n v="248.5"/>
        <n v="273.60000000000002"/>
        <n v="145.80000000000001"/>
        <n v="393.90000000000003"/>
        <n v="636.9"/>
        <n v="96.7"/>
        <n v="331.20000000000005"/>
        <n v="7420"/>
        <n v="384"/>
        <n v="276.39999999999998"/>
        <n v="152.80000000000001"/>
        <n v="58"/>
        <n v="818.4"/>
        <n v="27.6"/>
        <n v="99.899999999999991"/>
        <n v="27.4"/>
        <n v="56.8"/>
        <n v="136"/>
        <n v="30.7"/>
        <n v="670.80000000000007"/>
        <n v="24.8"/>
        <n v="78.399999999999991"/>
        <n v="543"/>
        <n v="84.8"/>
        <n v="76.400000000000006"/>
        <n v="1091.7"/>
        <n v="93.8"/>
        <n v="211.79999999999998"/>
        <n v="104.4"/>
        <n v="379.5"/>
        <n v="582.79999999999995"/>
        <n v="157"/>
        <n v="34.200000000000003"/>
        <n v="35.4"/>
        <n v="1282.5"/>
        <n v="824.19999999999993"/>
        <n v="156.6"/>
        <n v="43.9"/>
        <n v="380"/>
        <n v="555.5"/>
        <n v="70.8"/>
        <n v="412"/>
        <n v="636"/>
        <n v="41.3"/>
        <n v="35.299999999999997"/>
        <n v="173.5"/>
        <n v="78.300000000000011"/>
        <n v="308.8"/>
        <n v="25"/>
        <n v="633.59999999999991"/>
        <n v="476.8"/>
        <n v="226.20000000000002"/>
        <n v="2082"/>
        <n v="283.20000000000005"/>
        <n v="29.6"/>
        <n v="250.6"/>
        <n v="33.799999999999997"/>
        <n v="101.69999999999999"/>
        <n v="1099.5"/>
        <n v="140"/>
        <n v="32.4"/>
        <n v="265.20000000000005"/>
        <n v="228.60000000000002"/>
        <n v="80.699999999999989"/>
        <n v="352.79999999999995"/>
        <n v="729.2"/>
        <n v="785"/>
        <n v="170.5"/>
        <n v="52"/>
        <n v="135.79999999999998"/>
        <n v="304.20000000000005"/>
        <n v="23.1"/>
        <n v="1046.7"/>
        <n v="576.9"/>
        <n v="655.20000000000005"/>
        <n v="116"/>
        <n v="487.20000000000005"/>
        <n v="499.80000000000007"/>
        <n v="89"/>
        <n v="25.7"/>
        <n v="208.4"/>
        <n v="31"/>
        <n v="233.2"/>
        <n v="93"/>
        <n v="141.89999999999998"/>
        <n v="18.5"/>
        <n v="120.8"/>
        <n v="401"/>
        <n v="41.5"/>
        <n v="167.8"/>
        <n v="68.400000000000006"/>
        <n v="215.8"/>
        <n v="670.5"/>
        <n v="556.20000000000005"/>
        <n v="146.39999999999998"/>
        <n v="641.29999999999995"/>
        <n v="3509.7999999999997"/>
        <n v="76.900000000000006"/>
        <n v="216.60000000000002"/>
        <n v="240.79999999999998"/>
        <n v="1495.2"/>
        <n v="215.10000000000002"/>
        <n v="241.79999999999998"/>
        <n v="1050"/>
        <n v="163.80000000000001"/>
        <n v="526.4"/>
        <n v="137.4"/>
        <n v="362.59999999999997"/>
        <n v="38.799999999999997"/>
        <n v="156.30000000000001"/>
        <n v="74.900000000000006"/>
        <n v="347.2"/>
        <n v="331.2"/>
        <n v="117.5"/>
        <n v="60.300000000000004"/>
        <n v="768"/>
        <n v="64.7"/>
        <n v="483.2"/>
        <n v="459.90000000000003"/>
        <n v="295.2"/>
        <n v="658.69999999999993"/>
        <n v="36.9"/>
        <n v="381.6"/>
        <n v="314.39999999999998"/>
        <n v="786.5"/>
        <n v="485.6"/>
        <n v="159.5"/>
        <n v="79"/>
        <n v="876.30000000000007"/>
        <n v="148.5"/>
        <n v="263.2"/>
        <n v="313.60000000000002"/>
        <n v="414.4"/>
        <n v="97.199999999999989"/>
        <n v="53.8"/>
        <n v="164.8"/>
        <n v="235.6"/>
        <n v="146.80000000000001"/>
        <n v="140.39999999999998"/>
        <n v="168.4"/>
      </sharedItems>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base="5">
        <rangePr groupBy="days" startDate="2025-01-01T00:00:00" endDate="2025-03-30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0/2025"/>
        </groupItems>
      </fieldGroup>
    </cacheField>
    <cacheField name="Ship Date" numFmtId="15">
      <sharedItems containsSemiMixedTypes="0" containsNonDate="0" containsDate="1" containsString="0" minDate="2025-01-02T00:00:00" maxDate="2025-04-11T00:00:00" count="96">
        <d v="2025-01-06T00:00:00"/>
        <d v="2025-01-03T00:00:00"/>
        <d v="2025-01-04T00:00:00"/>
        <d v="2025-01-02T00:00:00"/>
        <d v="2025-01-07T00:00:00"/>
        <d v="2025-01-05T00:00:00"/>
        <d v="2025-01-08T00:00:00"/>
        <d v="2025-01-11T00:00:00"/>
        <d v="2025-01-09T00:00:00"/>
        <d v="2025-01-10T00:00:00"/>
        <d v="2025-01-17T00:00:00"/>
        <d v="2025-01-15T00:00:00"/>
        <d v="2025-01-12T00:00:00"/>
        <d v="2025-01-18T00:00:00"/>
        <d v="2025-01-13T00:00:00"/>
        <d v="2025-01-16T00:00:00"/>
        <d v="2025-01-14T00:00:00"/>
        <d v="2025-01-25T00:00:00"/>
        <d v="2025-01-19T00:00:00"/>
        <d v="2025-01-26T00:00:00"/>
        <d v="2025-01-21T00:00:00"/>
        <d v="2025-01-20T00:00:00"/>
        <d v="2025-01-27T00:00:00"/>
        <d v="2025-01-23T00:00:00"/>
        <d v="2025-01-22T00:00:00"/>
        <d v="2025-01-24T00:00:00"/>
        <d v="2025-01-30T00:00:00"/>
        <d v="2025-01-31T00:00:00"/>
        <d v="2025-01-29T00:00:00"/>
        <d v="2025-01-28T00:00:00"/>
        <d v="2025-02-01T00:00:00"/>
        <d v="2025-02-07T00:00:00"/>
        <d v="2025-02-04T00:00:00"/>
        <d v="2025-02-02T00:00:00"/>
        <d v="2025-02-03T00:00:00"/>
        <d v="2025-02-09T00:00:00"/>
        <d v="2025-02-05T00:00:00"/>
        <d v="2025-02-10T00:00:00"/>
        <d v="2025-02-06T00:00:00"/>
        <d v="2025-02-08T00:00:00"/>
        <d v="2025-02-11T00:00:00"/>
        <d v="2025-02-16T00:00:00"/>
        <d v="2025-02-14T00:00:00"/>
        <d v="2025-02-17T00:00:00"/>
        <d v="2025-02-12T00:00:00"/>
        <d v="2025-02-13T00:00:00"/>
        <d v="2025-02-19T00:00:00"/>
        <d v="2025-02-21T00:00:00"/>
        <d v="2025-02-15T00:00:00"/>
        <d v="2025-02-20T00:00:00"/>
        <d v="2025-02-18T00:00:00"/>
        <d v="2025-02-25T00:00:00"/>
        <d v="2025-02-26T00:00:00"/>
        <d v="2025-02-27T00:00:00"/>
        <d v="2025-02-24T00:00:00"/>
        <d v="2025-02-23T00:00:00"/>
        <d v="2025-02-22T00:00:00"/>
        <d v="2025-03-02T00:00:00"/>
        <d v="2025-02-28T00:00:00"/>
        <d v="2025-03-01T00:00:00"/>
        <d v="2025-03-09T00:00:00"/>
        <d v="2025-03-04T00:00:00"/>
        <d v="2025-03-03T00:00:00"/>
        <d v="2025-03-05T00:00:00"/>
        <d v="2025-03-13T00:00:00"/>
        <d v="2025-03-10T00:00:00"/>
        <d v="2025-03-06T00:00:00"/>
        <d v="2025-03-14T00:00:00"/>
        <d v="2025-03-07T00:00:00"/>
        <d v="2025-03-16T00:00:00"/>
        <d v="2025-03-08T00:00:00"/>
        <d v="2025-03-11T00:00:00"/>
        <d v="2025-03-15T00:00:00"/>
        <d v="2025-03-18T00:00:00"/>
        <d v="2025-03-12T00:00:00"/>
        <d v="2025-03-21T00:00:00"/>
        <d v="2025-03-17T00:00:00"/>
        <d v="2025-03-24T00:00:00"/>
        <d v="2025-03-20T00:00:00"/>
        <d v="2025-03-23T00:00:00"/>
        <d v="2025-03-22T00:00:00"/>
        <d v="2025-03-26T00:00:00"/>
        <d v="2025-03-25T00:00:00"/>
        <d v="2025-03-19T00:00:00"/>
        <d v="2025-04-01T00:00:00"/>
        <d v="2025-04-03T00:00:00"/>
        <d v="2025-03-28T00:00:00"/>
        <d v="2025-03-27T00:00:00"/>
        <d v="2025-03-31T00:00:00"/>
        <d v="2025-03-30T00:00:00"/>
        <d v="2025-03-29T00:00:00"/>
        <d v="2025-04-09T00:00:00"/>
        <d v="2025-04-02T00:00:00"/>
        <d v="2025-04-05T00:00:00"/>
        <d v="2025-04-10T00:00:00"/>
        <d v="2025-04-04T00:00:00"/>
      </sharedItems>
      <fieldGroup par="16" base="6">
        <rangePr groupBy="days" startDate="2025-01-02T00:00:00" endDate="2025-04-11T00:00:00"/>
        <groupItems count="368">
          <s v="&lt;1/2/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4/11/2025"/>
        </groupItems>
      </fieldGroup>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Months" numFmtId="0" databaseField="0">
      <fieldGroup base="6">
        <rangePr groupBy="months" startDate="2025-01-02T00:00:00" endDate="2025-04-11T00:00:00"/>
        <groupItems count="14">
          <s v="&lt;1/2/2025"/>
          <s v="Jan"/>
          <s v="Feb"/>
          <s v="Mar"/>
          <s v="Apr"/>
          <s v="May"/>
          <s v="Jun"/>
          <s v="Jul"/>
          <s v="Aug"/>
          <s v="Sep"/>
          <s v="Oct"/>
          <s v="Nov"/>
          <s v="Dec"/>
          <s v="&gt;4/11/2025"/>
        </groupItems>
      </fieldGroup>
    </cacheField>
    <cacheField name="Months2" numFmtId="0" databaseField="0">
      <fieldGroup base="5">
        <rangePr groupBy="months" startDate="2025-01-01T00:00:00" endDate="2025-03-30T00:00:00"/>
        <groupItems count="14">
          <s v="&lt;1/1/2025"/>
          <s v="Jan"/>
          <s v="Feb"/>
          <s v="Mar"/>
          <s v="Apr"/>
          <s v="May"/>
          <s v="Jun"/>
          <s v="Jul"/>
          <s v="Aug"/>
          <s v="Sep"/>
          <s v="Oct"/>
          <s v="Nov"/>
          <s v="Dec"/>
          <s v="&gt;3/30/2025"/>
        </groupItems>
      </fieldGroup>
    </cacheField>
  </cacheFields>
  <extLst>
    <ext xmlns:x14="http://schemas.microsoft.com/office/spreadsheetml/2009/9/main" uri="{725AE2AE-9491-48be-B2B4-4EB974FC3084}">
      <x14:pivotCacheDefinition pivotCacheId="9329869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x v="0"/>
    <n v="10.9"/>
    <x v="0"/>
    <x v="0"/>
    <x v="0"/>
    <x v="0"/>
    <x v="0"/>
    <x v="0"/>
    <x v="0"/>
    <x v="0"/>
    <x v="0"/>
    <x v="0"/>
    <x v="0"/>
  </r>
  <r>
    <x v="1"/>
    <x v="1"/>
    <x v="1"/>
    <n v="30.6"/>
    <x v="1"/>
    <x v="0"/>
    <x v="1"/>
    <x v="1"/>
    <x v="0"/>
    <x v="0"/>
    <x v="0"/>
    <x v="1"/>
    <x v="1"/>
    <x v="0"/>
    <x v="1"/>
  </r>
  <r>
    <x v="2"/>
    <x v="2"/>
    <x v="2"/>
    <n v="109.4"/>
    <x v="2"/>
    <x v="0"/>
    <x v="2"/>
    <x v="2"/>
    <x v="0"/>
    <x v="1"/>
    <x v="0"/>
    <x v="2"/>
    <x v="2"/>
    <x v="0"/>
    <x v="2"/>
  </r>
  <r>
    <x v="3"/>
    <x v="3"/>
    <x v="3"/>
    <n v="37.700000000000003"/>
    <x v="3"/>
    <x v="0"/>
    <x v="3"/>
    <x v="2"/>
    <x v="0"/>
    <x v="0"/>
    <x v="0"/>
    <x v="2"/>
    <x v="3"/>
    <x v="0"/>
    <x v="2"/>
  </r>
  <r>
    <x v="4"/>
    <x v="4"/>
    <x v="2"/>
    <n v="56.7"/>
    <x v="4"/>
    <x v="0"/>
    <x v="2"/>
    <x v="2"/>
    <x v="0"/>
    <x v="2"/>
    <x v="0"/>
    <x v="3"/>
    <x v="2"/>
    <x v="0"/>
    <x v="2"/>
  </r>
  <r>
    <x v="5"/>
    <x v="1"/>
    <x v="4"/>
    <n v="83.5"/>
    <x v="5"/>
    <x v="0"/>
    <x v="2"/>
    <x v="1"/>
    <x v="1"/>
    <x v="0"/>
    <x v="0"/>
    <x v="3"/>
    <x v="2"/>
    <x v="0"/>
    <x v="1"/>
  </r>
  <r>
    <x v="6"/>
    <x v="5"/>
    <x v="0"/>
    <n v="55.3"/>
    <x v="6"/>
    <x v="0"/>
    <x v="3"/>
    <x v="2"/>
    <x v="0"/>
    <x v="0"/>
    <x v="0"/>
    <x v="3"/>
    <x v="3"/>
    <x v="0"/>
    <x v="2"/>
  </r>
  <r>
    <x v="7"/>
    <x v="6"/>
    <x v="1"/>
    <n v="40.299999999999997"/>
    <x v="7"/>
    <x v="0"/>
    <x v="3"/>
    <x v="1"/>
    <x v="2"/>
    <x v="2"/>
    <x v="0"/>
    <x v="3"/>
    <x v="3"/>
    <x v="0"/>
    <x v="1"/>
  </r>
  <r>
    <x v="8"/>
    <x v="7"/>
    <x v="5"/>
    <n v="35.700000000000003"/>
    <x v="8"/>
    <x v="0"/>
    <x v="3"/>
    <x v="2"/>
    <x v="0"/>
    <x v="0"/>
    <x v="0"/>
    <x v="3"/>
    <x v="3"/>
    <x v="0"/>
    <x v="2"/>
  </r>
  <r>
    <x v="9"/>
    <x v="8"/>
    <x v="3"/>
    <n v="22.4"/>
    <x v="9"/>
    <x v="0"/>
    <x v="2"/>
    <x v="1"/>
    <x v="0"/>
    <x v="1"/>
    <x v="0"/>
    <x v="3"/>
    <x v="2"/>
    <x v="0"/>
    <x v="1"/>
  </r>
  <r>
    <x v="10"/>
    <x v="9"/>
    <x v="1"/>
    <n v="54.4"/>
    <x v="10"/>
    <x v="0"/>
    <x v="4"/>
    <x v="2"/>
    <x v="0"/>
    <x v="0"/>
    <x v="0"/>
    <x v="3"/>
    <x v="4"/>
    <x v="0"/>
    <x v="2"/>
  </r>
  <r>
    <x v="11"/>
    <x v="9"/>
    <x v="1"/>
    <n v="49"/>
    <x v="11"/>
    <x v="0"/>
    <x v="1"/>
    <x v="2"/>
    <x v="2"/>
    <x v="1"/>
    <x v="0"/>
    <x v="3"/>
    <x v="1"/>
    <x v="0"/>
    <x v="2"/>
  </r>
  <r>
    <x v="12"/>
    <x v="5"/>
    <x v="3"/>
    <n v="118.6"/>
    <x v="12"/>
    <x v="0"/>
    <x v="5"/>
    <x v="2"/>
    <x v="1"/>
    <x v="0"/>
    <x v="0"/>
    <x v="4"/>
    <x v="5"/>
    <x v="0"/>
    <x v="2"/>
  </r>
  <r>
    <x v="13"/>
    <x v="6"/>
    <x v="6"/>
    <n v="88.4"/>
    <x v="13"/>
    <x v="0"/>
    <x v="6"/>
    <x v="1"/>
    <x v="3"/>
    <x v="0"/>
    <x v="0"/>
    <x v="5"/>
    <x v="6"/>
    <x v="0"/>
    <x v="1"/>
  </r>
  <r>
    <x v="14"/>
    <x v="10"/>
    <x v="0"/>
    <n v="66.7"/>
    <x v="14"/>
    <x v="0"/>
    <x v="2"/>
    <x v="1"/>
    <x v="0"/>
    <x v="0"/>
    <x v="0"/>
    <x v="6"/>
    <x v="2"/>
    <x v="0"/>
    <x v="1"/>
  </r>
  <r>
    <x v="15"/>
    <x v="9"/>
    <x v="7"/>
    <n v="30.9"/>
    <x v="15"/>
    <x v="0"/>
    <x v="3"/>
    <x v="1"/>
    <x v="1"/>
    <x v="2"/>
    <x v="0"/>
    <x v="6"/>
    <x v="3"/>
    <x v="0"/>
    <x v="1"/>
  </r>
  <r>
    <x v="16"/>
    <x v="4"/>
    <x v="2"/>
    <n v="31.1"/>
    <x v="16"/>
    <x v="0"/>
    <x v="3"/>
    <x v="2"/>
    <x v="0"/>
    <x v="1"/>
    <x v="0"/>
    <x v="6"/>
    <x v="3"/>
    <x v="0"/>
    <x v="2"/>
  </r>
  <r>
    <x v="17"/>
    <x v="7"/>
    <x v="2"/>
    <n v="36.6"/>
    <x v="17"/>
    <x v="0"/>
    <x v="2"/>
    <x v="2"/>
    <x v="0"/>
    <x v="0"/>
    <x v="0"/>
    <x v="7"/>
    <x v="2"/>
    <x v="0"/>
    <x v="2"/>
  </r>
  <r>
    <x v="18"/>
    <x v="6"/>
    <x v="8"/>
    <n v="51.1"/>
    <x v="18"/>
    <x v="0"/>
    <x v="2"/>
    <x v="2"/>
    <x v="2"/>
    <x v="3"/>
    <x v="0"/>
    <x v="7"/>
    <x v="2"/>
    <x v="0"/>
    <x v="2"/>
  </r>
  <r>
    <x v="19"/>
    <x v="9"/>
    <x v="0"/>
    <n v="25.2"/>
    <x v="19"/>
    <x v="0"/>
    <x v="3"/>
    <x v="2"/>
    <x v="1"/>
    <x v="2"/>
    <x v="0"/>
    <x v="8"/>
    <x v="3"/>
    <x v="0"/>
    <x v="2"/>
  </r>
  <r>
    <x v="20"/>
    <x v="9"/>
    <x v="9"/>
    <n v="43.8"/>
    <x v="20"/>
    <x v="0"/>
    <x v="2"/>
    <x v="2"/>
    <x v="2"/>
    <x v="0"/>
    <x v="0"/>
    <x v="8"/>
    <x v="2"/>
    <x v="0"/>
    <x v="2"/>
  </r>
  <r>
    <x v="21"/>
    <x v="8"/>
    <x v="4"/>
    <n v="46.7"/>
    <x v="21"/>
    <x v="0"/>
    <x v="3"/>
    <x v="2"/>
    <x v="1"/>
    <x v="1"/>
    <x v="0"/>
    <x v="8"/>
    <x v="3"/>
    <x v="0"/>
    <x v="2"/>
  </r>
  <r>
    <x v="22"/>
    <x v="3"/>
    <x v="10"/>
    <n v="79.900000000000006"/>
    <x v="22"/>
    <x v="0"/>
    <x v="3"/>
    <x v="1"/>
    <x v="0"/>
    <x v="2"/>
    <x v="0"/>
    <x v="8"/>
    <x v="3"/>
    <x v="0"/>
    <x v="1"/>
  </r>
  <r>
    <x v="23"/>
    <x v="11"/>
    <x v="8"/>
    <n v="26.4"/>
    <x v="23"/>
    <x v="0"/>
    <x v="3"/>
    <x v="2"/>
    <x v="3"/>
    <x v="0"/>
    <x v="0"/>
    <x v="8"/>
    <x v="3"/>
    <x v="0"/>
    <x v="2"/>
  </r>
  <r>
    <x v="24"/>
    <x v="12"/>
    <x v="8"/>
    <n v="88.8"/>
    <x v="24"/>
    <x v="0"/>
    <x v="3"/>
    <x v="2"/>
    <x v="4"/>
    <x v="0"/>
    <x v="0"/>
    <x v="8"/>
    <x v="3"/>
    <x v="0"/>
    <x v="2"/>
  </r>
  <r>
    <x v="25"/>
    <x v="0"/>
    <x v="7"/>
    <n v="17.5"/>
    <x v="25"/>
    <x v="0"/>
    <x v="3"/>
    <x v="2"/>
    <x v="2"/>
    <x v="0"/>
    <x v="0"/>
    <x v="9"/>
    <x v="3"/>
    <x v="0"/>
    <x v="2"/>
  </r>
  <r>
    <x v="26"/>
    <x v="1"/>
    <x v="11"/>
    <n v="38.700000000000003"/>
    <x v="26"/>
    <x v="0"/>
    <x v="2"/>
    <x v="1"/>
    <x v="1"/>
    <x v="0"/>
    <x v="0"/>
    <x v="10"/>
    <x v="2"/>
    <x v="0"/>
    <x v="1"/>
  </r>
  <r>
    <x v="27"/>
    <x v="13"/>
    <x v="12"/>
    <n v="57.2"/>
    <x v="27"/>
    <x v="0"/>
    <x v="1"/>
    <x v="0"/>
    <x v="1"/>
    <x v="2"/>
    <x v="0"/>
    <x v="11"/>
    <x v="1"/>
    <x v="0"/>
    <x v="0"/>
  </r>
  <r>
    <x v="28"/>
    <x v="6"/>
    <x v="9"/>
    <n v="50.9"/>
    <x v="28"/>
    <x v="0"/>
    <x v="4"/>
    <x v="0"/>
    <x v="1"/>
    <x v="2"/>
    <x v="0"/>
    <x v="12"/>
    <x v="4"/>
    <x v="0"/>
    <x v="0"/>
  </r>
  <r>
    <x v="29"/>
    <x v="14"/>
    <x v="3"/>
    <n v="41"/>
    <x v="29"/>
    <x v="0"/>
    <x v="5"/>
    <x v="2"/>
    <x v="1"/>
    <x v="0"/>
    <x v="0"/>
    <x v="13"/>
    <x v="5"/>
    <x v="0"/>
    <x v="2"/>
  </r>
  <r>
    <x v="30"/>
    <x v="8"/>
    <x v="3"/>
    <n v="19.100000000000001"/>
    <x v="30"/>
    <x v="0"/>
    <x v="5"/>
    <x v="1"/>
    <x v="0"/>
    <x v="2"/>
    <x v="0"/>
    <x v="14"/>
    <x v="5"/>
    <x v="0"/>
    <x v="1"/>
  </r>
  <r>
    <x v="31"/>
    <x v="2"/>
    <x v="9"/>
    <n v="166.1"/>
    <x v="31"/>
    <x v="0"/>
    <x v="2"/>
    <x v="1"/>
    <x v="0"/>
    <x v="0"/>
    <x v="0"/>
    <x v="15"/>
    <x v="2"/>
    <x v="0"/>
    <x v="1"/>
  </r>
  <r>
    <x v="32"/>
    <x v="4"/>
    <x v="2"/>
    <n v="29.9"/>
    <x v="32"/>
    <x v="0"/>
    <x v="3"/>
    <x v="1"/>
    <x v="3"/>
    <x v="0"/>
    <x v="0"/>
    <x v="3"/>
    <x v="3"/>
    <x v="0"/>
    <x v="1"/>
  </r>
  <r>
    <x v="33"/>
    <x v="10"/>
    <x v="13"/>
    <n v="21.7"/>
    <x v="33"/>
    <x v="0"/>
    <x v="1"/>
    <x v="3"/>
    <x v="2"/>
    <x v="2"/>
    <x v="0"/>
    <x v="3"/>
    <x v="1"/>
    <x v="0"/>
    <x v="3"/>
  </r>
  <r>
    <x v="34"/>
    <x v="11"/>
    <x v="1"/>
    <n v="32"/>
    <x v="34"/>
    <x v="0"/>
    <x v="2"/>
    <x v="1"/>
    <x v="0"/>
    <x v="2"/>
    <x v="0"/>
    <x v="3"/>
    <x v="2"/>
    <x v="0"/>
    <x v="1"/>
  </r>
  <r>
    <x v="35"/>
    <x v="8"/>
    <x v="1"/>
    <n v="15.8"/>
    <x v="35"/>
    <x v="0"/>
    <x v="3"/>
    <x v="1"/>
    <x v="4"/>
    <x v="2"/>
    <x v="0"/>
    <x v="3"/>
    <x v="3"/>
    <x v="0"/>
    <x v="1"/>
  </r>
  <r>
    <x v="36"/>
    <x v="2"/>
    <x v="14"/>
    <n v="203.1"/>
    <x v="36"/>
    <x v="0"/>
    <x v="5"/>
    <x v="1"/>
    <x v="3"/>
    <x v="1"/>
    <x v="0"/>
    <x v="3"/>
    <x v="5"/>
    <x v="0"/>
    <x v="1"/>
  </r>
  <r>
    <x v="37"/>
    <x v="7"/>
    <x v="15"/>
    <n v="39"/>
    <x v="37"/>
    <x v="0"/>
    <x v="4"/>
    <x v="1"/>
    <x v="0"/>
    <x v="2"/>
    <x v="0"/>
    <x v="3"/>
    <x v="4"/>
    <x v="0"/>
    <x v="1"/>
  </r>
  <r>
    <x v="38"/>
    <x v="10"/>
    <x v="0"/>
    <n v="26.5"/>
    <x v="38"/>
    <x v="1"/>
    <x v="1"/>
    <x v="1"/>
    <x v="2"/>
    <x v="0"/>
    <x v="0"/>
    <x v="3"/>
    <x v="3"/>
    <x v="0"/>
    <x v="1"/>
  </r>
  <r>
    <x v="39"/>
    <x v="5"/>
    <x v="0"/>
    <n v="43.1"/>
    <x v="39"/>
    <x v="1"/>
    <x v="1"/>
    <x v="2"/>
    <x v="2"/>
    <x v="1"/>
    <x v="0"/>
    <x v="3"/>
    <x v="3"/>
    <x v="0"/>
    <x v="2"/>
  </r>
  <r>
    <x v="40"/>
    <x v="1"/>
    <x v="2"/>
    <n v="139"/>
    <x v="40"/>
    <x v="1"/>
    <x v="1"/>
    <x v="2"/>
    <x v="4"/>
    <x v="2"/>
    <x v="0"/>
    <x v="3"/>
    <x v="3"/>
    <x v="0"/>
    <x v="2"/>
  </r>
  <r>
    <x v="41"/>
    <x v="12"/>
    <x v="0"/>
    <n v="80.7"/>
    <x v="41"/>
    <x v="1"/>
    <x v="1"/>
    <x v="1"/>
    <x v="0"/>
    <x v="2"/>
    <x v="0"/>
    <x v="16"/>
    <x v="3"/>
    <x v="0"/>
    <x v="1"/>
  </r>
  <r>
    <x v="42"/>
    <x v="4"/>
    <x v="1"/>
    <n v="54.5"/>
    <x v="42"/>
    <x v="1"/>
    <x v="2"/>
    <x v="1"/>
    <x v="1"/>
    <x v="1"/>
    <x v="0"/>
    <x v="6"/>
    <x v="1"/>
    <x v="0"/>
    <x v="1"/>
  </r>
  <r>
    <x v="43"/>
    <x v="6"/>
    <x v="2"/>
    <n v="68.599999999999994"/>
    <x v="43"/>
    <x v="1"/>
    <x v="3"/>
    <x v="2"/>
    <x v="0"/>
    <x v="1"/>
    <x v="0"/>
    <x v="8"/>
    <x v="7"/>
    <x v="0"/>
    <x v="2"/>
  </r>
  <r>
    <x v="44"/>
    <x v="2"/>
    <x v="12"/>
    <n v="135.9"/>
    <x v="44"/>
    <x v="1"/>
    <x v="1"/>
    <x v="2"/>
    <x v="2"/>
    <x v="2"/>
    <x v="0"/>
    <x v="8"/>
    <x v="3"/>
    <x v="0"/>
    <x v="2"/>
  </r>
  <r>
    <x v="45"/>
    <x v="2"/>
    <x v="12"/>
    <n v="70.900000000000006"/>
    <x v="45"/>
    <x v="1"/>
    <x v="1"/>
    <x v="2"/>
    <x v="0"/>
    <x v="0"/>
    <x v="0"/>
    <x v="17"/>
    <x v="3"/>
    <x v="0"/>
    <x v="2"/>
  </r>
  <r>
    <x v="46"/>
    <x v="1"/>
    <x v="9"/>
    <n v="63.7"/>
    <x v="46"/>
    <x v="1"/>
    <x v="1"/>
    <x v="1"/>
    <x v="1"/>
    <x v="1"/>
    <x v="0"/>
    <x v="9"/>
    <x v="3"/>
    <x v="0"/>
    <x v="1"/>
  </r>
  <r>
    <x v="47"/>
    <x v="13"/>
    <x v="0"/>
    <n v="29.7"/>
    <x v="47"/>
    <x v="1"/>
    <x v="2"/>
    <x v="2"/>
    <x v="1"/>
    <x v="0"/>
    <x v="0"/>
    <x v="11"/>
    <x v="1"/>
    <x v="0"/>
    <x v="2"/>
  </r>
  <r>
    <x v="48"/>
    <x v="4"/>
    <x v="2"/>
    <n v="26.8"/>
    <x v="48"/>
    <x v="1"/>
    <x v="7"/>
    <x v="2"/>
    <x v="1"/>
    <x v="2"/>
    <x v="0"/>
    <x v="11"/>
    <x v="8"/>
    <x v="0"/>
    <x v="2"/>
  </r>
  <r>
    <x v="49"/>
    <x v="14"/>
    <x v="0"/>
    <n v="27"/>
    <x v="49"/>
    <x v="1"/>
    <x v="2"/>
    <x v="2"/>
    <x v="0"/>
    <x v="0"/>
    <x v="0"/>
    <x v="18"/>
    <x v="1"/>
    <x v="0"/>
    <x v="2"/>
  </r>
  <r>
    <x v="50"/>
    <x v="8"/>
    <x v="0"/>
    <n v="41.4"/>
    <x v="50"/>
    <x v="1"/>
    <x v="1"/>
    <x v="1"/>
    <x v="1"/>
    <x v="2"/>
    <x v="0"/>
    <x v="19"/>
    <x v="3"/>
    <x v="0"/>
    <x v="1"/>
  </r>
  <r>
    <x v="51"/>
    <x v="8"/>
    <x v="1"/>
    <n v="24.3"/>
    <x v="51"/>
    <x v="1"/>
    <x v="5"/>
    <x v="2"/>
    <x v="1"/>
    <x v="0"/>
    <x v="0"/>
    <x v="19"/>
    <x v="2"/>
    <x v="0"/>
    <x v="2"/>
  </r>
  <r>
    <x v="52"/>
    <x v="8"/>
    <x v="2"/>
    <n v="41.7"/>
    <x v="52"/>
    <x v="1"/>
    <x v="2"/>
    <x v="1"/>
    <x v="0"/>
    <x v="2"/>
    <x v="0"/>
    <x v="20"/>
    <x v="1"/>
    <x v="0"/>
    <x v="1"/>
  </r>
  <r>
    <x v="53"/>
    <x v="0"/>
    <x v="1"/>
    <n v="18"/>
    <x v="53"/>
    <x v="1"/>
    <x v="1"/>
    <x v="2"/>
    <x v="0"/>
    <x v="2"/>
    <x v="0"/>
    <x v="21"/>
    <x v="3"/>
    <x v="0"/>
    <x v="2"/>
  </r>
  <r>
    <x v="54"/>
    <x v="7"/>
    <x v="2"/>
    <n v="91.3"/>
    <x v="54"/>
    <x v="1"/>
    <x v="5"/>
    <x v="1"/>
    <x v="2"/>
    <x v="2"/>
    <x v="0"/>
    <x v="3"/>
    <x v="2"/>
    <x v="0"/>
    <x v="1"/>
  </r>
  <r>
    <x v="55"/>
    <x v="8"/>
    <x v="8"/>
    <n v="19.3"/>
    <x v="55"/>
    <x v="1"/>
    <x v="1"/>
    <x v="1"/>
    <x v="0"/>
    <x v="0"/>
    <x v="0"/>
    <x v="3"/>
    <x v="3"/>
    <x v="0"/>
    <x v="1"/>
  </r>
  <r>
    <x v="56"/>
    <x v="12"/>
    <x v="15"/>
    <n v="63.2"/>
    <x v="56"/>
    <x v="1"/>
    <x v="1"/>
    <x v="2"/>
    <x v="0"/>
    <x v="0"/>
    <x v="0"/>
    <x v="3"/>
    <x v="3"/>
    <x v="0"/>
    <x v="2"/>
  </r>
  <r>
    <x v="57"/>
    <x v="10"/>
    <x v="11"/>
    <n v="33.299999999999997"/>
    <x v="57"/>
    <x v="2"/>
    <x v="7"/>
    <x v="2"/>
    <x v="0"/>
    <x v="2"/>
    <x v="0"/>
    <x v="3"/>
    <x v="9"/>
    <x v="0"/>
    <x v="2"/>
  </r>
  <r>
    <x v="58"/>
    <x v="7"/>
    <x v="1"/>
    <n v="64.2"/>
    <x v="58"/>
    <x v="2"/>
    <x v="2"/>
    <x v="1"/>
    <x v="0"/>
    <x v="2"/>
    <x v="0"/>
    <x v="3"/>
    <x v="3"/>
    <x v="0"/>
    <x v="1"/>
  </r>
  <r>
    <x v="59"/>
    <x v="9"/>
    <x v="2"/>
    <n v="23.1"/>
    <x v="59"/>
    <x v="2"/>
    <x v="0"/>
    <x v="2"/>
    <x v="1"/>
    <x v="2"/>
    <x v="0"/>
    <x v="3"/>
    <x v="2"/>
    <x v="0"/>
    <x v="2"/>
  </r>
  <r>
    <x v="60"/>
    <x v="15"/>
    <x v="1"/>
    <n v="71.099999999999994"/>
    <x v="60"/>
    <x v="2"/>
    <x v="5"/>
    <x v="2"/>
    <x v="3"/>
    <x v="1"/>
    <x v="0"/>
    <x v="3"/>
    <x v="1"/>
    <x v="0"/>
    <x v="2"/>
  </r>
  <r>
    <x v="61"/>
    <x v="0"/>
    <x v="1"/>
    <n v="11.5"/>
    <x v="61"/>
    <x v="2"/>
    <x v="2"/>
    <x v="2"/>
    <x v="0"/>
    <x v="0"/>
    <x v="0"/>
    <x v="3"/>
    <x v="3"/>
    <x v="0"/>
    <x v="2"/>
  </r>
  <r>
    <x v="62"/>
    <x v="15"/>
    <x v="10"/>
    <n v="69.2"/>
    <x v="62"/>
    <x v="2"/>
    <x v="6"/>
    <x v="2"/>
    <x v="0"/>
    <x v="0"/>
    <x v="0"/>
    <x v="3"/>
    <x v="0"/>
    <x v="0"/>
    <x v="2"/>
  </r>
  <r>
    <x v="63"/>
    <x v="0"/>
    <x v="0"/>
    <n v="26.8"/>
    <x v="63"/>
    <x v="2"/>
    <x v="2"/>
    <x v="1"/>
    <x v="2"/>
    <x v="4"/>
    <x v="0"/>
    <x v="3"/>
    <x v="3"/>
    <x v="0"/>
    <x v="1"/>
  </r>
  <r>
    <x v="64"/>
    <x v="16"/>
    <x v="2"/>
    <n v="31.2"/>
    <x v="64"/>
    <x v="2"/>
    <x v="0"/>
    <x v="2"/>
    <x v="0"/>
    <x v="0"/>
    <x v="0"/>
    <x v="3"/>
    <x v="2"/>
    <x v="0"/>
    <x v="2"/>
  </r>
  <r>
    <x v="65"/>
    <x v="12"/>
    <x v="1"/>
    <n v="113.2"/>
    <x v="65"/>
    <x v="2"/>
    <x v="2"/>
    <x v="2"/>
    <x v="4"/>
    <x v="0"/>
    <x v="0"/>
    <x v="3"/>
    <x v="3"/>
    <x v="0"/>
    <x v="2"/>
  </r>
  <r>
    <x v="66"/>
    <x v="10"/>
    <x v="8"/>
    <n v="21"/>
    <x v="66"/>
    <x v="2"/>
    <x v="2"/>
    <x v="1"/>
    <x v="0"/>
    <x v="0"/>
    <x v="0"/>
    <x v="6"/>
    <x v="3"/>
    <x v="0"/>
    <x v="1"/>
  </r>
  <r>
    <x v="67"/>
    <x v="1"/>
    <x v="1"/>
    <n v="89.1"/>
    <x v="67"/>
    <x v="2"/>
    <x v="2"/>
    <x v="2"/>
    <x v="2"/>
    <x v="2"/>
    <x v="0"/>
    <x v="6"/>
    <x v="3"/>
    <x v="0"/>
    <x v="2"/>
  </r>
  <r>
    <x v="68"/>
    <x v="1"/>
    <x v="0"/>
    <n v="97.7"/>
    <x v="68"/>
    <x v="2"/>
    <x v="5"/>
    <x v="2"/>
    <x v="0"/>
    <x v="1"/>
    <x v="0"/>
    <x v="6"/>
    <x v="1"/>
    <x v="0"/>
    <x v="2"/>
  </r>
  <r>
    <x v="69"/>
    <x v="15"/>
    <x v="12"/>
    <n v="97.7"/>
    <x v="69"/>
    <x v="2"/>
    <x v="5"/>
    <x v="1"/>
    <x v="3"/>
    <x v="0"/>
    <x v="0"/>
    <x v="6"/>
    <x v="1"/>
    <x v="0"/>
    <x v="1"/>
  </r>
  <r>
    <x v="70"/>
    <x v="17"/>
    <x v="2"/>
    <n v="47.4"/>
    <x v="60"/>
    <x v="2"/>
    <x v="0"/>
    <x v="1"/>
    <x v="3"/>
    <x v="2"/>
    <x v="0"/>
    <x v="8"/>
    <x v="2"/>
    <x v="0"/>
    <x v="1"/>
  </r>
  <r>
    <x v="71"/>
    <x v="7"/>
    <x v="0"/>
    <n v="89.6"/>
    <x v="70"/>
    <x v="2"/>
    <x v="0"/>
    <x v="2"/>
    <x v="0"/>
    <x v="2"/>
    <x v="0"/>
    <x v="8"/>
    <x v="2"/>
    <x v="0"/>
    <x v="2"/>
  </r>
  <r>
    <x v="72"/>
    <x v="10"/>
    <x v="16"/>
    <n v="28.4"/>
    <x v="71"/>
    <x v="2"/>
    <x v="0"/>
    <x v="2"/>
    <x v="3"/>
    <x v="2"/>
    <x v="0"/>
    <x v="17"/>
    <x v="2"/>
    <x v="0"/>
    <x v="2"/>
  </r>
  <r>
    <x v="73"/>
    <x v="0"/>
    <x v="1"/>
    <n v="17.899999999999999"/>
    <x v="72"/>
    <x v="2"/>
    <x v="2"/>
    <x v="2"/>
    <x v="0"/>
    <x v="2"/>
    <x v="0"/>
    <x v="9"/>
    <x v="3"/>
    <x v="0"/>
    <x v="2"/>
  </r>
  <r>
    <x v="74"/>
    <x v="9"/>
    <x v="1"/>
    <n v="48.4"/>
    <x v="73"/>
    <x v="2"/>
    <x v="0"/>
    <x v="1"/>
    <x v="1"/>
    <x v="0"/>
    <x v="0"/>
    <x v="9"/>
    <x v="2"/>
    <x v="0"/>
    <x v="1"/>
  </r>
  <r>
    <x v="75"/>
    <x v="12"/>
    <x v="12"/>
    <n v="44.4"/>
    <x v="74"/>
    <x v="2"/>
    <x v="2"/>
    <x v="3"/>
    <x v="1"/>
    <x v="1"/>
    <x v="0"/>
    <x v="11"/>
    <x v="3"/>
    <x v="0"/>
    <x v="3"/>
  </r>
  <r>
    <x v="76"/>
    <x v="2"/>
    <x v="8"/>
    <n v="103.7"/>
    <x v="75"/>
    <x v="2"/>
    <x v="2"/>
    <x v="2"/>
    <x v="0"/>
    <x v="1"/>
    <x v="0"/>
    <x v="19"/>
    <x v="3"/>
    <x v="0"/>
    <x v="2"/>
  </r>
  <r>
    <x v="77"/>
    <x v="5"/>
    <x v="12"/>
    <n v="58.6"/>
    <x v="76"/>
    <x v="2"/>
    <x v="5"/>
    <x v="1"/>
    <x v="3"/>
    <x v="0"/>
    <x v="0"/>
    <x v="19"/>
    <x v="1"/>
    <x v="0"/>
    <x v="1"/>
  </r>
  <r>
    <x v="78"/>
    <x v="9"/>
    <x v="12"/>
    <n v="54.8"/>
    <x v="77"/>
    <x v="2"/>
    <x v="4"/>
    <x v="2"/>
    <x v="2"/>
    <x v="1"/>
    <x v="0"/>
    <x v="13"/>
    <x v="5"/>
    <x v="0"/>
    <x v="2"/>
  </r>
  <r>
    <x v="79"/>
    <x v="12"/>
    <x v="2"/>
    <n v="78.8"/>
    <x v="78"/>
    <x v="2"/>
    <x v="8"/>
    <x v="2"/>
    <x v="4"/>
    <x v="1"/>
    <x v="0"/>
    <x v="21"/>
    <x v="4"/>
    <x v="0"/>
    <x v="2"/>
  </r>
  <r>
    <x v="80"/>
    <x v="18"/>
    <x v="9"/>
    <n v="36.799999999999997"/>
    <x v="79"/>
    <x v="2"/>
    <x v="0"/>
    <x v="1"/>
    <x v="4"/>
    <x v="1"/>
    <x v="0"/>
    <x v="22"/>
    <x v="2"/>
    <x v="0"/>
    <x v="1"/>
  </r>
  <r>
    <x v="81"/>
    <x v="6"/>
    <x v="13"/>
    <n v="50.6"/>
    <x v="80"/>
    <x v="2"/>
    <x v="5"/>
    <x v="2"/>
    <x v="3"/>
    <x v="0"/>
    <x v="0"/>
    <x v="3"/>
    <x v="1"/>
    <x v="0"/>
    <x v="2"/>
  </r>
  <r>
    <x v="82"/>
    <x v="15"/>
    <x v="2"/>
    <n v="36.799999999999997"/>
    <x v="81"/>
    <x v="2"/>
    <x v="1"/>
    <x v="1"/>
    <x v="2"/>
    <x v="1"/>
    <x v="0"/>
    <x v="3"/>
    <x v="7"/>
    <x v="0"/>
    <x v="1"/>
  </r>
  <r>
    <x v="83"/>
    <x v="8"/>
    <x v="11"/>
    <n v="41.8"/>
    <x v="82"/>
    <x v="3"/>
    <x v="9"/>
    <x v="2"/>
    <x v="3"/>
    <x v="0"/>
    <x v="0"/>
    <x v="3"/>
    <x v="4"/>
    <x v="0"/>
    <x v="2"/>
  </r>
  <r>
    <x v="84"/>
    <x v="18"/>
    <x v="0"/>
    <n v="77.3"/>
    <x v="83"/>
    <x v="3"/>
    <x v="5"/>
    <x v="1"/>
    <x v="4"/>
    <x v="4"/>
    <x v="0"/>
    <x v="3"/>
    <x v="3"/>
    <x v="0"/>
    <x v="1"/>
  </r>
  <r>
    <x v="85"/>
    <x v="8"/>
    <x v="12"/>
    <n v="19.8"/>
    <x v="84"/>
    <x v="3"/>
    <x v="9"/>
    <x v="1"/>
    <x v="1"/>
    <x v="2"/>
    <x v="0"/>
    <x v="3"/>
    <x v="4"/>
    <x v="0"/>
    <x v="1"/>
  </r>
  <r>
    <x v="86"/>
    <x v="13"/>
    <x v="12"/>
    <n v="15.5"/>
    <x v="85"/>
    <x v="3"/>
    <x v="5"/>
    <x v="2"/>
    <x v="1"/>
    <x v="2"/>
    <x v="0"/>
    <x v="3"/>
    <x v="3"/>
    <x v="0"/>
    <x v="2"/>
  </r>
  <r>
    <x v="87"/>
    <x v="12"/>
    <x v="0"/>
    <n v="46.8"/>
    <x v="86"/>
    <x v="3"/>
    <x v="6"/>
    <x v="1"/>
    <x v="0"/>
    <x v="2"/>
    <x v="0"/>
    <x v="3"/>
    <x v="5"/>
    <x v="0"/>
    <x v="1"/>
  </r>
  <r>
    <x v="88"/>
    <x v="9"/>
    <x v="11"/>
    <n v="28.6"/>
    <x v="87"/>
    <x v="3"/>
    <x v="6"/>
    <x v="1"/>
    <x v="0"/>
    <x v="2"/>
    <x v="0"/>
    <x v="3"/>
    <x v="5"/>
    <x v="0"/>
    <x v="1"/>
  </r>
  <r>
    <x v="89"/>
    <x v="2"/>
    <x v="0"/>
    <n v="97.7"/>
    <x v="68"/>
    <x v="3"/>
    <x v="4"/>
    <x v="2"/>
    <x v="1"/>
    <x v="0"/>
    <x v="0"/>
    <x v="3"/>
    <x v="2"/>
    <x v="0"/>
    <x v="2"/>
  </r>
  <r>
    <x v="90"/>
    <x v="9"/>
    <x v="9"/>
    <n v="54.7"/>
    <x v="88"/>
    <x v="3"/>
    <x v="4"/>
    <x v="0"/>
    <x v="0"/>
    <x v="2"/>
    <x v="0"/>
    <x v="23"/>
    <x v="2"/>
    <x v="0"/>
    <x v="0"/>
  </r>
  <r>
    <x v="91"/>
    <x v="2"/>
    <x v="13"/>
    <n v="130.5"/>
    <x v="89"/>
    <x v="3"/>
    <x v="0"/>
    <x v="2"/>
    <x v="0"/>
    <x v="1"/>
    <x v="0"/>
    <x v="23"/>
    <x v="1"/>
    <x v="0"/>
    <x v="2"/>
  </r>
  <r>
    <x v="92"/>
    <x v="11"/>
    <x v="1"/>
    <n v="50.4"/>
    <x v="90"/>
    <x v="3"/>
    <x v="0"/>
    <x v="1"/>
    <x v="2"/>
    <x v="2"/>
    <x v="0"/>
    <x v="6"/>
    <x v="1"/>
    <x v="0"/>
    <x v="1"/>
  </r>
  <r>
    <x v="93"/>
    <x v="6"/>
    <x v="15"/>
    <n v="61.5"/>
    <x v="91"/>
    <x v="3"/>
    <x v="5"/>
    <x v="0"/>
    <x v="3"/>
    <x v="1"/>
    <x v="0"/>
    <x v="11"/>
    <x v="3"/>
    <x v="0"/>
    <x v="0"/>
  </r>
  <r>
    <x v="94"/>
    <x v="9"/>
    <x v="12"/>
    <n v="30.1"/>
    <x v="92"/>
    <x v="3"/>
    <x v="5"/>
    <x v="2"/>
    <x v="0"/>
    <x v="2"/>
    <x v="0"/>
    <x v="21"/>
    <x v="3"/>
    <x v="0"/>
    <x v="2"/>
  </r>
  <r>
    <x v="95"/>
    <x v="2"/>
    <x v="9"/>
    <n v="74.8"/>
    <x v="93"/>
    <x v="3"/>
    <x v="5"/>
    <x v="2"/>
    <x v="1"/>
    <x v="0"/>
    <x v="0"/>
    <x v="1"/>
    <x v="3"/>
    <x v="0"/>
    <x v="2"/>
  </r>
  <r>
    <x v="96"/>
    <x v="16"/>
    <x v="2"/>
    <n v="64.900000000000006"/>
    <x v="94"/>
    <x v="3"/>
    <x v="7"/>
    <x v="1"/>
    <x v="0"/>
    <x v="0"/>
    <x v="0"/>
    <x v="2"/>
    <x v="6"/>
    <x v="0"/>
    <x v="1"/>
  </r>
  <r>
    <x v="97"/>
    <x v="9"/>
    <x v="1"/>
    <n v="50.5"/>
    <x v="95"/>
    <x v="3"/>
    <x v="0"/>
    <x v="1"/>
    <x v="1"/>
    <x v="0"/>
    <x v="0"/>
    <x v="22"/>
    <x v="1"/>
    <x v="0"/>
    <x v="1"/>
  </r>
  <r>
    <x v="98"/>
    <x v="11"/>
    <x v="3"/>
    <n v="63"/>
    <x v="96"/>
    <x v="3"/>
    <x v="4"/>
    <x v="1"/>
    <x v="3"/>
    <x v="2"/>
    <x v="0"/>
    <x v="3"/>
    <x v="2"/>
    <x v="0"/>
    <x v="1"/>
  </r>
  <r>
    <x v="99"/>
    <x v="2"/>
    <x v="2"/>
    <n v="93.6"/>
    <x v="97"/>
    <x v="3"/>
    <x v="10"/>
    <x v="2"/>
    <x v="0"/>
    <x v="2"/>
    <x v="0"/>
    <x v="3"/>
    <x v="10"/>
    <x v="0"/>
    <x v="2"/>
  </r>
  <r>
    <x v="100"/>
    <x v="5"/>
    <x v="17"/>
    <n v="41.4"/>
    <x v="98"/>
    <x v="3"/>
    <x v="6"/>
    <x v="1"/>
    <x v="2"/>
    <x v="2"/>
    <x v="0"/>
    <x v="3"/>
    <x v="5"/>
    <x v="0"/>
    <x v="1"/>
  </r>
  <r>
    <x v="101"/>
    <x v="2"/>
    <x v="1"/>
    <n v="160"/>
    <x v="99"/>
    <x v="4"/>
    <x v="0"/>
    <x v="1"/>
    <x v="2"/>
    <x v="2"/>
    <x v="0"/>
    <x v="5"/>
    <x v="3"/>
    <x v="1"/>
    <x v="1"/>
  </r>
  <r>
    <x v="102"/>
    <x v="19"/>
    <x v="5"/>
    <n v="10.5"/>
    <x v="100"/>
    <x v="4"/>
    <x v="6"/>
    <x v="2"/>
    <x v="4"/>
    <x v="0"/>
    <x v="0"/>
    <x v="8"/>
    <x v="2"/>
    <x v="1"/>
    <x v="2"/>
  </r>
  <r>
    <x v="103"/>
    <x v="10"/>
    <x v="1"/>
    <n v="53"/>
    <x v="101"/>
    <x v="4"/>
    <x v="5"/>
    <x v="1"/>
    <x v="2"/>
    <x v="4"/>
    <x v="0"/>
    <x v="17"/>
    <x v="7"/>
    <x v="1"/>
    <x v="1"/>
  </r>
  <r>
    <x v="104"/>
    <x v="8"/>
    <x v="2"/>
    <n v="18.5"/>
    <x v="102"/>
    <x v="4"/>
    <x v="9"/>
    <x v="2"/>
    <x v="1"/>
    <x v="2"/>
    <x v="0"/>
    <x v="11"/>
    <x v="0"/>
    <x v="1"/>
    <x v="2"/>
  </r>
  <r>
    <x v="105"/>
    <x v="16"/>
    <x v="2"/>
    <n v="84.5"/>
    <x v="103"/>
    <x v="4"/>
    <x v="4"/>
    <x v="2"/>
    <x v="4"/>
    <x v="1"/>
    <x v="0"/>
    <x v="13"/>
    <x v="1"/>
    <x v="1"/>
    <x v="2"/>
  </r>
  <r>
    <x v="106"/>
    <x v="15"/>
    <x v="3"/>
    <n v="31.2"/>
    <x v="104"/>
    <x v="4"/>
    <x v="5"/>
    <x v="2"/>
    <x v="2"/>
    <x v="2"/>
    <x v="0"/>
    <x v="3"/>
    <x v="7"/>
    <x v="1"/>
    <x v="2"/>
  </r>
  <r>
    <x v="107"/>
    <x v="8"/>
    <x v="16"/>
    <n v="32.6"/>
    <x v="105"/>
    <x v="4"/>
    <x v="0"/>
    <x v="1"/>
    <x v="1"/>
    <x v="1"/>
    <x v="0"/>
    <x v="3"/>
    <x v="3"/>
    <x v="1"/>
    <x v="1"/>
  </r>
  <r>
    <x v="108"/>
    <x v="10"/>
    <x v="12"/>
    <n v="45.4"/>
    <x v="106"/>
    <x v="4"/>
    <x v="4"/>
    <x v="1"/>
    <x v="1"/>
    <x v="0"/>
    <x v="0"/>
    <x v="3"/>
    <x v="1"/>
    <x v="1"/>
    <x v="1"/>
  </r>
  <r>
    <x v="109"/>
    <x v="2"/>
    <x v="4"/>
    <n v="120"/>
    <x v="107"/>
    <x v="4"/>
    <x v="0"/>
    <x v="2"/>
    <x v="2"/>
    <x v="4"/>
    <x v="0"/>
    <x v="3"/>
    <x v="3"/>
    <x v="1"/>
    <x v="2"/>
  </r>
  <r>
    <x v="110"/>
    <x v="0"/>
    <x v="12"/>
    <n v="18.899999999999999"/>
    <x v="108"/>
    <x v="4"/>
    <x v="4"/>
    <x v="1"/>
    <x v="0"/>
    <x v="2"/>
    <x v="0"/>
    <x v="3"/>
    <x v="1"/>
    <x v="1"/>
    <x v="1"/>
  </r>
  <r>
    <x v="111"/>
    <x v="4"/>
    <x v="0"/>
    <n v="32"/>
    <x v="109"/>
    <x v="4"/>
    <x v="4"/>
    <x v="2"/>
    <x v="4"/>
    <x v="0"/>
    <x v="0"/>
    <x v="3"/>
    <x v="1"/>
    <x v="1"/>
    <x v="2"/>
  </r>
  <r>
    <x v="112"/>
    <x v="7"/>
    <x v="1"/>
    <n v="37.299999999999997"/>
    <x v="110"/>
    <x v="4"/>
    <x v="0"/>
    <x v="1"/>
    <x v="2"/>
    <x v="0"/>
    <x v="0"/>
    <x v="3"/>
    <x v="3"/>
    <x v="1"/>
    <x v="1"/>
  </r>
  <r>
    <x v="113"/>
    <x v="18"/>
    <x v="0"/>
    <n v="119.8"/>
    <x v="111"/>
    <x v="4"/>
    <x v="0"/>
    <x v="1"/>
    <x v="1"/>
    <x v="1"/>
    <x v="0"/>
    <x v="3"/>
    <x v="3"/>
    <x v="1"/>
    <x v="1"/>
  </r>
  <r>
    <x v="114"/>
    <x v="10"/>
    <x v="1"/>
    <n v="26.4"/>
    <x v="112"/>
    <x v="4"/>
    <x v="6"/>
    <x v="1"/>
    <x v="2"/>
    <x v="0"/>
    <x v="0"/>
    <x v="3"/>
    <x v="2"/>
    <x v="1"/>
    <x v="1"/>
  </r>
  <r>
    <x v="115"/>
    <x v="6"/>
    <x v="13"/>
    <n v="76.5"/>
    <x v="113"/>
    <x v="4"/>
    <x v="0"/>
    <x v="2"/>
    <x v="1"/>
    <x v="1"/>
    <x v="0"/>
    <x v="3"/>
    <x v="3"/>
    <x v="1"/>
    <x v="2"/>
  </r>
  <r>
    <x v="116"/>
    <x v="4"/>
    <x v="7"/>
    <n v="45.7"/>
    <x v="114"/>
    <x v="4"/>
    <x v="0"/>
    <x v="2"/>
    <x v="2"/>
    <x v="0"/>
    <x v="0"/>
    <x v="24"/>
    <x v="3"/>
    <x v="1"/>
    <x v="2"/>
  </r>
  <r>
    <x v="117"/>
    <x v="1"/>
    <x v="4"/>
    <n v="92.6"/>
    <x v="115"/>
    <x v="4"/>
    <x v="4"/>
    <x v="2"/>
    <x v="2"/>
    <x v="0"/>
    <x v="0"/>
    <x v="25"/>
    <x v="1"/>
    <x v="1"/>
    <x v="2"/>
  </r>
  <r>
    <x v="118"/>
    <x v="6"/>
    <x v="13"/>
    <n v="60.1"/>
    <x v="116"/>
    <x v="4"/>
    <x v="0"/>
    <x v="1"/>
    <x v="1"/>
    <x v="0"/>
    <x v="0"/>
    <x v="23"/>
    <x v="3"/>
    <x v="1"/>
    <x v="1"/>
  </r>
  <r>
    <x v="119"/>
    <x v="1"/>
    <x v="2"/>
    <n v="73"/>
    <x v="20"/>
    <x v="4"/>
    <x v="0"/>
    <x v="2"/>
    <x v="3"/>
    <x v="1"/>
    <x v="0"/>
    <x v="6"/>
    <x v="3"/>
    <x v="1"/>
    <x v="2"/>
  </r>
  <r>
    <x v="120"/>
    <x v="6"/>
    <x v="2"/>
    <n v="44.3"/>
    <x v="117"/>
    <x v="4"/>
    <x v="8"/>
    <x v="0"/>
    <x v="2"/>
    <x v="2"/>
    <x v="0"/>
    <x v="6"/>
    <x v="5"/>
    <x v="1"/>
    <x v="0"/>
  </r>
  <r>
    <x v="121"/>
    <x v="6"/>
    <x v="2"/>
    <n v="63.3"/>
    <x v="118"/>
    <x v="4"/>
    <x v="0"/>
    <x v="1"/>
    <x v="2"/>
    <x v="0"/>
    <x v="0"/>
    <x v="6"/>
    <x v="3"/>
    <x v="1"/>
    <x v="1"/>
  </r>
  <r>
    <x v="122"/>
    <x v="12"/>
    <x v="0"/>
    <n v="66.8"/>
    <x v="119"/>
    <x v="4"/>
    <x v="0"/>
    <x v="2"/>
    <x v="1"/>
    <x v="0"/>
    <x v="0"/>
    <x v="6"/>
    <x v="3"/>
    <x v="1"/>
    <x v="2"/>
  </r>
  <r>
    <x v="123"/>
    <x v="2"/>
    <x v="1"/>
    <n v="59.7"/>
    <x v="120"/>
    <x v="4"/>
    <x v="0"/>
    <x v="2"/>
    <x v="0"/>
    <x v="0"/>
    <x v="0"/>
    <x v="7"/>
    <x v="3"/>
    <x v="1"/>
    <x v="2"/>
  </r>
  <r>
    <x v="124"/>
    <x v="1"/>
    <x v="13"/>
    <n v="92"/>
    <x v="121"/>
    <x v="4"/>
    <x v="4"/>
    <x v="1"/>
    <x v="0"/>
    <x v="4"/>
    <x v="0"/>
    <x v="7"/>
    <x v="1"/>
    <x v="1"/>
    <x v="1"/>
  </r>
  <r>
    <x v="125"/>
    <x v="7"/>
    <x v="1"/>
    <n v="87.6"/>
    <x v="122"/>
    <x v="4"/>
    <x v="4"/>
    <x v="1"/>
    <x v="1"/>
    <x v="1"/>
    <x v="0"/>
    <x v="8"/>
    <x v="1"/>
    <x v="1"/>
    <x v="1"/>
  </r>
  <r>
    <x v="126"/>
    <x v="6"/>
    <x v="2"/>
    <n v="84.5"/>
    <x v="103"/>
    <x v="4"/>
    <x v="0"/>
    <x v="2"/>
    <x v="1"/>
    <x v="1"/>
    <x v="0"/>
    <x v="8"/>
    <x v="3"/>
    <x v="1"/>
    <x v="2"/>
  </r>
  <r>
    <x v="127"/>
    <x v="1"/>
    <x v="1"/>
    <n v="116.3"/>
    <x v="123"/>
    <x v="5"/>
    <x v="6"/>
    <x v="1"/>
    <x v="2"/>
    <x v="2"/>
    <x v="0"/>
    <x v="8"/>
    <x v="1"/>
    <x v="1"/>
    <x v="1"/>
  </r>
  <r>
    <x v="128"/>
    <x v="6"/>
    <x v="9"/>
    <n v="52.7"/>
    <x v="124"/>
    <x v="5"/>
    <x v="9"/>
    <x v="1"/>
    <x v="0"/>
    <x v="0"/>
    <x v="0"/>
    <x v="8"/>
    <x v="5"/>
    <x v="1"/>
    <x v="1"/>
  </r>
  <r>
    <x v="129"/>
    <x v="16"/>
    <x v="2"/>
    <n v="34.200000000000003"/>
    <x v="125"/>
    <x v="5"/>
    <x v="4"/>
    <x v="1"/>
    <x v="0"/>
    <x v="2"/>
    <x v="0"/>
    <x v="26"/>
    <x v="3"/>
    <x v="1"/>
    <x v="1"/>
  </r>
  <r>
    <x v="130"/>
    <x v="9"/>
    <x v="0"/>
    <n v="23.3"/>
    <x v="126"/>
    <x v="5"/>
    <x v="11"/>
    <x v="3"/>
    <x v="2"/>
    <x v="2"/>
    <x v="0"/>
    <x v="9"/>
    <x v="8"/>
    <x v="1"/>
    <x v="3"/>
  </r>
  <r>
    <x v="131"/>
    <x v="0"/>
    <x v="18"/>
    <n v="25.9"/>
    <x v="127"/>
    <x v="5"/>
    <x v="8"/>
    <x v="2"/>
    <x v="4"/>
    <x v="1"/>
    <x v="0"/>
    <x v="9"/>
    <x v="2"/>
    <x v="1"/>
    <x v="2"/>
  </r>
  <r>
    <x v="132"/>
    <x v="6"/>
    <x v="19"/>
    <n v="54.9"/>
    <x v="128"/>
    <x v="5"/>
    <x v="4"/>
    <x v="1"/>
    <x v="1"/>
    <x v="2"/>
    <x v="0"/>
    <x v="9"/>
    <x v="3"/>
    <x v="1"/>
    <x v="1"/>
  </r>
  <r>
    <x v="133"/>
    <x v="5"/>
    <x v="2"/>
    <n v="75.8"/>
    <x v="129"/>
    <x v="5"/>
    <x v="7"/>
    <x v="3"/>
    <x v="1"/>
    <x v="0"/>
    <x v="0"/>
    <x v="18"/>
    <x v="0"/>
    <x v="1"/>
    <x v="3"/>
  </r>
  <r>
    <x v="134"/>
    <x v="1"/>
    <x v="11"/>
    <n v="44.9"/>
    <x v="130"/>
    <x v="5"/>
    <x v="8"/>
    <x v="2"/>
    <x v="2"/>
    <x v="2"/>
    <x v="0"/>
    <x v="2"/>
    <x v="2"/>
    <x v="1"/>
    <x v="2"/>
  </r>
  <r>
    <x v="135"/>
    <x v="11"/>
    <x v="1"/>
    <n v="48.8"/>
    <x v="131"/>
    <x v="5"/>
    <x v="6"/>
    <x v="2"/>
    <x v="3"/>
    <x v="0"/>
    <x v="0"/>
    <x v="27"/>
    <x v="1"/>
    <x v="1"/>
    <x v="2"/>
  </r>
  <r>
    <x v="136"/>
    <x v="15"/>
    <x v="0"/>
    <n v="20.3"/>
    <x v="132"/>
    <x v="5"/>
    <x v="4"/>
    <x v="2"/>
    <x v="0"/>
    <x v="2"/>
    <x v="0"/>
    <x v="22"/>
    <x v="3"/>
    <x v="1"/>
    <x v="2"/>
  </r>
  <r>
    <x v="137"/>
    <x v="5"/>
    <x v="3"/>
    <n v="36.4"/>
    <x v="133"/>
    <x v="5"/>
    <x v="8"/>
    <x v="2"/>
    <x v="0"/>
    <x v="1"/>
    <x v="0"/>
    <x v="3"/>
    <x v="2"/>
    <x v="1"/>
    <x v="2"/>
  </r>
  <r>
    <x v="138"/>
    <x v="0"/>
    <x v="0"/>
    <n v="19"/>
    <x v="134"/>
    <x v="5"/>
    <x v="7"/>
    <x v="2"/>
    <x v="1"/>
    <x v="2"/>
    <x v="0"/>
    <x v="3"/>
    <x v="0"/>
    <x v="1"/>
    <x v="2"/>
  </r>
  <r>
    <x v="139"/>
    <x v="8"/>
    <x v="0"/>
    <n v="17.8"/>
    <x v="135"/>
    <x v="5"/>
    <x v="0"/>
    <x v="1"/>
    <x v="0"/>
    <x v="0"/>
    <x v="0"/>
    <x v="3"/>
    <x v="7"/>
    <x v="1"/>
    <x v="1"/>
  </r>
  <r>
    <x v="140"/>
    <x v="2"/>
    <x v="13"/>
    <n v="139.6"/>
    <x v="136"/>
    <x v="5"/>
    <x v="8"/>
    <x v="1"/>
    <x v="0"/>
    <x v="0"/>
    <x v="0"/>
    <x v="3"/>
    <x v="2"/>
    <x v="1"/>
    <x v="1"/>
  </r>
  <r>
    <x v="141"/>
    <x v="9"/>
    <x v="0"/>
    <n v="31.7"/>
    <x v="137"/>
    <x v="5"/>
    <x v="0"/>
    <x v="0"/>
    <x v="0"/>
    <x v="0"/>
    <x v="0"/>
    <x v="3"/>
    <x v="7"/>
    <x v="1"/>
    <x v="0"/>
  </r>
  <r>
    <x v="142"/>
    <x v="8"/>
    <x v="8"/>
    <n v="26.3"/>
    <x v="138"/>
    <x v="5"/>
    <x v="8"/>
    <x v="2"/>
    <x v="4"/>
    <x v="4"/>
    <x v="0"/>
    <x v="3"/>
    <x v="2"/>
    <x v="1"/>
    <x v="2"/>
  </r>
  <r>
    <x v="143"/>
    <x v="4"/>
    <x v="1"/>
    <n v="47.8"/>
    <x v="139"/>
    <x v="5"/>
    <x v="4"/>
    <x v="0"/>
    <x v="0"/>
    <x v="0"/>
    <x v="0"/>
    <x v="3"/>
    <x v="3"/>
    <x v="1"/>
    <x v="0"/>
  </r>
  <r>
    <x v="144"/>
    <x v="9"/>
    <x v="2"/>
    <n v="69.400000000000006"/>
    <x v="140"/>
    <x v="5"/>
    <x v="9"/>
    <x v="2"/>
    <x v="0"/>
    <x v="0"/>
    <x v="0"/>
    <x v="3"/>
    <x v="5"/>
    <x v="1"/>
    <x v="2"/>
  </r>
  <r>
    <x v="145"/>
    <x v="18"/>
    <x v="4"/>
    <n v="25.8"/>
    <x v="141"/>
    <x v="5"/>
    <x v="4"/>
    <x v="1"/>
    <x v="4"/>
    <x v="4"/>
    <x v="0"/>
    <x v="3"/>
    <x v="3"/>
    <x v="1"/>
    <x v="1"/>
  </r>
  <r>
    <x v="146"/>
    <x v="0"/>
    <x v="12"/>
    <n v="26.4"/>
    <x v="142"/>
    <x v="5"/>
    <x v="4"/>
    <x v="1"/>
    <x v="1"/>
    <x v="2"/>
    <x v="0"/>
    <x v="3"/>
    <x v="3"/>
    <x v="1"/>
    <x v="1"/>
  </r>
  <r>
    <x v="147"/>
    <x v="8"/>
    <x v="12"/>
    <n v="15.7"/>
    <x v="143"/>
    <x v="5"/>
    <x v="4"/>
    <x v="1"/>
    <x v="2"/>
    <x v="0"/>
    <x v="0"/>
    <x v="3"/>
    <x v="3"/>
    <x v="1"/>
    <x v="1"/>
  </r>
  <r>
    <x v="148"/>
    <x v="8"/>
    <x v="0"/>
    <n v="39.700000000000003"/>
    <x v="144"/>
    <x v="5"/>
    <x v="9"/>
    <x v="1"/>
    <x v="0"/>
    <x v="0"/>
    <x v="0"/>
    <x v="3"/>
    <x v="5"/>
    <x v="1"/>
    <x v="1"/>
  </r>
  <r>
    <x v="149"/>
    <x v="10"/>
    <x v="12"/>
    <n v="31.1"/>
    <x v="145"/>
    <x v="5"/>
    <x v="6"/>
    <x v="2"/>
    <x v="2"/>
    <x v="1"/>
    <x v="0"/>
    <x v="3"/>
    <x v="1"/>
    <x v="1"/>
    <x v="2"/>
  </r>
  <r>
    <x v="150"/>
    <x v="13"/>
    <x v="20"/>
    <n v="23.4"/>
    <x v="146"/>
    <x v="5"/>
    <x v="11"/>
    <x v="1"/>
    <x v="0"/>
    <x v="0"/>
    <x v="0"/>
    <x v="3"/>
    <x v="8"/>
    <x v="1"/>
    <x v="1"/>
  </r>
  <r>
    <x v="151"/>
    <x v="1"/>
    <x v="12"/>
    <n v="57.1"/>
    <x v="147"/>
    <x v="6"/>
    <x v="6"/>
    <x v="1"/>
    <x v="2"/>
    <x v="0"/>
    <x v="0"/>
    <x v="25"/>
    <x v="3"/>
    <x v="1"/>
    <x v="1"/>
  </r>
  <r>
    <x v="152"/>
    <x v="2"/>
    <x v="9"/>
    <n v="89.9"/>
    <x v="148"/>
    <x v="6"/>
    <x v="4"/>
    <x v="2"/>
    <x v="0"/>
    <x v="3"/>
    <x v="0"/>
    <x v="23"/>
    <x v="7"/>
    <x v="1"/>
    <x v="2"/>
  </r>
  <r>
    <x v="153"/>
    <x v="10"/>
    <x v="3"/>
    <n v="48.1"/>
    <x v="149"/>
    <x v="6"/>
    <x v="8"/>
    <x v="2"/>
    <x v="1"/>
    <x v="2"/>
    <x v="0"/>
    <x v="6"/>
    <x v="1"/>
    <x v="1"/>
    <x v="2"/>
  </r>
  <r>
    <x v="154"/>
    <x v="8"/>
    <x v="1"/>
    <n v="29.3"/>
    <x v="150"/>
    <x v="6"/>
    <x v="4"/>
    <x v="2"/>
    <x v="1"/>
    <x v="1"/>
    <x v="0"/>
    <x v="6"/>
    <x v="7"/>
    <x v="1"/>
    <x v="2"/>
  </r>
  <r>
    <x v="155"/>
    <x v="8"/>
    <x v="12"/>
    <n v="28.8"/>
    <x v="151"/>
    <x v="6"/>
    <x v="6"/>
    <x v="2"/>
    <x v="0"/>
    <x v="4"/>
    <x v="0"/>
    <x v="6"/>
    <x v="3"/>
    <x v="1"/>
    <x v="2"/>
  </r>
  <r>
    <x v="156"/>
    <x v="10"/>
    <x v="9"/>
    <n v="40.5"/>
    <x v="152"/>
    <x v="6"/>
    <x v="7"/>
    <x v="2"/>
    <x v="3"/>
    <x v="0"/>
    <x v="0"/>
    <x v="6"/>
    <x v="5"/>
    <x v="1"/>
    <x v="2"/>
  </r>
  <r>
    <x v="157"/>
    <x v="18"/>
    <x v="21"/>
    <n v="65.099999999999994"/>
    <x v="153"/>
    <x v="6"/>
    <x v="6"/>
    <x v="2"/>
    <x v="4"/>
    <x v="0"/>
    <x v="0"/>
    <x v="7"/>
    <x v="3"/>
    <x v="1"/>
    <x v="2"/>
  </r>
  <r>
    <x v="158"/>
    <x v="8"/>
    <x v="12"/>
    <n v="40.299999999999997"/>
    <x v="154"/>
    <x v="6"/>
    <x v="12"/>
    <x v="2"/>
    <x v="2"/>
    <x v="0"/>
    <x v="0"/>
    <x v="7"/>
    <x v="0"/>
    <x v="1"/>
    <x v="2"/>
  </r>
  <r>
    <x v="159"/>
    <x v="6"/>
    <x v="9"/>
    <n v="51.8"/>
    <x v="155"/>
    <x v="6"/>
    <x v="6"/>
    <x v="1"/>
    <x v="2"/>
    <x v="2"/>
    <x v="0"/>
    <x v="8"/>
    <x v="3"/>
    <x v="1"/>
    <x v="1"/>
  </r>
  <r>
    <x v="160"/>
    <x v="6"/>
    <x v="2"/>
    <n v="61.3"/>
    <x v="156"/>
    <x v="6"/>
    <x v="6"/>
    <x v="2"/>
    <x v="3"/>
    <x v="0"/>
    <x v="0"/>
    <x v="8"/>
    <x v="3"/>
    <x v="1"/>
    <x v="2"/>
  </r>
  <r>
    <x v="161"/>
    <x v="2"/>
    <x v="12"/>
    <n v="122.5"/>
    <x v="157"/>
    <x v="6"/>
    <x v="6"/>
    <x v="1"/>
    <x v="0"/>
    <x v="0"/>
    <x v="0"/>
    <x v="8"/>
    <x v="3"/>
    <x v="1"/>
    <x v="1"/>
  </r>
  <r>
    <x v="162"/>
    <x v="0"/>
    <x v="11"/>
    <n v="12.5"/>
    <x v="158"/>
    <x v="6"/>
    <x v="6"/>
    <x v="0"/>
    <x v="1"/>
    <x v="2"/>
    <x v="0"/>
    <x v="8"/>
    <x v="3"/>
    <x v="1"/>
    <x v="0"/>
  </r>
  <r>
    <x v="163"/>
    <x v="15"/>
    <x v="8"/>
    <n v="37.5"/>
    <x v="159"/>
    <x v="6"/>
    <x v="6"/>
    <x v="2"/>
    <x v="0"/>
    <x v="0"/>
    <x v="0"/>
    <x v="9"/>
    <x v="3"/>
    <x v="1"/>
    <x v="2"/>
  </r>
  <r>
    <x v="164"/>
    <x v="6"/>
    <x v="2"/>
    <n v="40"/>
    <x v="160"/>
    <x v="6"/>
    <x v="9"/>
    <x v="1"/>
    <x v="0"/>
    <x v="4"/>
    <x v="0"/>
    <x v="11"/>
    <x v="2"/>
    <x v="1"/>
    <x v="1"/>
  </r>
  <r>
    <x v="165"/>
    <x v="17"/>
    <x v="8"/>
    <n v="38.5"/>
    <x v="161"/>
    <x v="6"/>
    <x v="12"/>
    <x v="2"/>
    <x v="2"/>
    <x v="1"/>
    <x v="0"/>
    <x v="11"/>
    <x v="0"/>
    <x v="1"/>
    <x v="2"/>
  </r>
  <r>
    <x v="166"/>
    <x v="2"/>
    <x v="1"/>
    <n v="86.4"/>
    <x v="162"/>
    <x v="6"/>
    <x v="8"/>
    <x v="2"/>
    <x v="0"/>
    <x v="0"/>
    <x v="0"/>
    <x v="18"/>
    <x v="1"/>
    <x v="1"/>
    <x v="2"/>
  </r>
  <r>
    <x v="167"/>
    <x v="10"/>
    <x v="0"/>
    <n v="50.7"/>
    <x v="163"/>
    <x v="6"/>
    <x v="7"/>
    <x v="2"/>
    <x v="1"/>
    <x v="0"/>
    <x v="0"/>
    <x v="18"/>
    <x v="5"/>
    <x v="1"/>
    <x v="2"/>
  </r>
  <r>
    <x v="168"/>
    <x v="10"/>
    <x v="1"/>
    <n v="61"/>
    <x v="164"/>
    <x v="6"/>
    <x v="13"/>
    <x v="2"/>
    <x v="4"/>
    <x v="1"/>
    <x v="0"/>
    <x v="18"/>
    <x v="11"/>
    <x v="1"/>
    <x v="2"/>
  </r>
  <r>
    <x v="169"/>
    <x v="4"/>
    <x v="1"/>
    <n v="19.899999999999999"/>
    <x v="165"/>
    <x v="6"/>
    <x v="9"/>
    <x v="2"/>
    <x v="1"/>
    <x v="0"/>
    <x v="0"/>
    <x v="28"/>
    <x v="2"/>
    <x v="1"/>
    <x v="2"/>
  </r>
  <r>
    <x v="170"/>
    <x v="5"/>
    <x v="0"/>
    <n v="78.3"/>
    <x v="166"/>
    <x v="6"/>
    <x v="4"/>
    <x v="2"/>
    <x v="0"/>
    <x v="2"/>
    <x v="0"/>
    <x v="1"/>
    <x v="7"/>
    <x v="1"/>
    <x v="2"/>
  </r>
  <r>
    <x v="171"/>
    <x v="0"/>
    <x v="10"/>
    <n v="10.4"/>
    <x v="167"/>
    <x v="6"/>
    <x v="8"/>
    <x v="1"/>
    <x v="0"/>
    <x v="2"/>
    <x v="0"/>
    <x v="2"/>
    <x v="1"/>
    <x v="1"/>
    <x v="1"/>
  </r>
  <r>
    <x v="172"/>
    <x v="10"/>
    <x v="0"/>
    <n v="36.1"/>
    <x v="168"/>
    <x v="6"/>
    <x v="9"/>
    <x v="1"/>
    <x v="3"/>
    <x v="2"/>
    <x v="0"/>
    <x v="3"/>
    <x v="2"/>
    <x v="1"/>
    <x v="1"/>
  </r>
  <r>
    <x v="173"/>
    <x v="14"/>
    <x v="1"/>
    <n v="17.3"/>
    <x v="169"/>
    <x v="6"/>
    <x v="8"/>
    <x v="2"/>
    <x v="1"/>
    <x v="2"/>
    <x v="0"/>
    <x v="3"/>
    <x v="1"/>
    <x v="1"/>
    <x v="2"/>
  </r>
  <r>
    <x v="174"/>
    <x v="10"/>
    <x v="1"/>
    <n v="30.5"/>
    <x v="170"/>
    <x v="6"/>
    <x v="6"/>
    <x v="2"/>
    <x v="1"/>
    <x v="2"/>
    <x v="0"/>
    <x v="3"/>
    <x v="3"/>
    <x v="1"/>
    <x v="2"/>
  </r>
  <r>
    <x v="175"/>
    <x v="18"/>
    <x v="22"/>
    <n v="70.099999999999994"/>
    <x v="171"/>
    <x v="6"/>
    <x v="4"/>
    <x v="2"/>
    <x v="2"/>
    <x v="0"/>
    <x v="0"/>
    <x v="3"/>
    <x v="7"/>
    <x v="1"/>
    <x v="2"/>
  </r>
  <r>
    <x v="176"/>
    <x v="3"/>
    <x v="0"/>
    <n v="76.099999999999994"/>
    <x v="172"/>
    <x v="6"/>
    <x v="4"/>
    <x v="2"/>
    <x v="2"/>
    <x v="1"/>
    <x v="0"/>
    <x v="3"/>
    <x v="7"/>
    <x v="1"/>
    <x v="2"/>
  </r>
  <r>
    <x v="177"/>
    <x v="15"/>
    <x v="15"/>
    <n v="34.200000000000003"/>
    <x v="173"/>
    <x v="6"/>
    <x v="6"/>
    <x v="1"/>
    <x v="0"/>
    <x v="0"/>
    <x v="0"/>
    <x v="3"/>
    <x v="3"/>
    <x v="1"/>
    <x v="1"/>
  </r>
  <r>
    <x v="178"/>
    <x v="8"/>
    <x v="9"/>
    <n v="30.3"/>
    <x v="174"/>
    <x v="6"/>
    <x v="12"/>
    <x v="2"/>
    <x v="4"/>
    <x v="0"/>
    <x v="0"/>
    <x v="3"/>
    <x v="0"/>
    <x v="1"/>
    <x v="2"/>
  </r>
  <r>
    <x v="179"/>
    <x v="6"/>
    <x v="9"/>
    <n v="52.5"/>
    <x v="175"/>
    <x v="6"/>
    <x v="7"/>
    <x v="0"/>
    <x v="3"/>
    <x v="0"/>
    <x v="0"/>
    <x v="3"/>
    <x v="5"/>
    <x v="1"/>
    <x v="0"/>
  </r>
  <r>
    <x v="180"/>
    <x v="9"/>
    <x v="5"/>
    <n v="28.7"/>
    <x v="176"/>
    <x v="6"/>
    <x v="6"/>
    <x v="2"/>
    <x v="2"/>
    <x v="0"/>
    <x v="0"/>
    <x v="3"/>
    <x v="3"/>
    <x v="1"/>
    <x v="2"/>
  </r>
  <r>
    <x v="181"/>
    <x v="7"/>
    <x v="3"/>
    <n v="52"/>
    <x v="177"/>
    <x v="6"/>
    <x v="6"/>
    <x v="1"/>
    <x v="1"/>
    <x v="4"/>
    <x v="0"/>
    <x v="3"/>
    <x v="3"/>
    <x v="1"/>
    <x v="1"/>
  </r>
  <r>
    <x v="182"/>
    <x v="0"/>
    <x v="0"/>
    <n v="13.3"/>
    <x v="178"/>
    <x v="7"/>
    <x v="12"/>
    <x v="2"/>
    <x v="2"/>
    <x v="1"/>
    <x v="0"/>
    <x v="3"/>
    <x v="5"/>
    <x v="1"/>
    <x v="2"/>
  </r>
  <r>
    <x v="183"/>
    <x v="0"/>
    <x v="2"/>
    <n v="15.7"/>
    <x v="179"/>
    <x v="7"/>
    <x v="8"/>
    <x v="2"/>
    <x v="1"/>
    <x v="0"/>
    <x v="0"/>
    <x v="29"/>
    <x v="3"/>
    <x v="1"/>
    <x v="2"/>
  </r>
  <r>
    <x v="184"/>
    <x v="8"/>
    <x v="1"/>
    <n v="25.6"/>
    <x v="180"/>
    <x v="7"/>
    <x v="8"/>
    <x v="1"/>
    <x v="0"/>
    <x v="2"/>
    <x v="0"/>
    <x v="23"/>
    <x v="3"/>
    <x v="1"/>
    <x v="1"/>
  </r>
  <r>
    <x v="185"/>
    <x v="8"/>
    <x v="0"/>
    <n v="43.4"/>
    <x v="181"/>
    <x v="7"/>
    <x v="14"/>
    <x v="1"/>
    <x v="0"/>
    <x v="0"/>
    <x v="0"/>
    <x v="6"/>
    <x v="0"/>
    <x v="1"/>
    <x v="1"/>
  </r>
  <r>
    <x v="186"/>
    <x v="11"/>
    <x v="11"/>
    <n v="33.4"/>
    <x v="182"/>
    <x v="7"/>
    <x v="6"/>
    <x v="2"/>
    <x v="0"/>
    <x v="0"/>
    <x v="0"/>
    <x v="8"/>
    <x v="7"/>
    <x v="1"/>
    <x v="2"/>
  </r>
  <r>
    <x v="187"/>
    <x v="8"/>
    <x v="10"/>
    <n v="55"/>
    <x v="183"/>
    <x v="7"/>
    <x v="8"/>
    <x v="2"/>
    <x v="1"/>
    <x v="2"/>
    <x v="0"/>
    <x v="8"/>
    <x v="3"/>
    <x v="1"/>
    <x v="2"/>
  </r>
  <r>
    <x v="188"/>
    <x v="8"/>
    <x v="2"/>
    <n v="23.6"/>
    <x v="184"/>
    <x v="7"/>
    <x v="8"/>
    <x v="1"/>
    <x v="0"/>
    <x v="2"/>
    <x v="0"/>
    <x v="8"/>
    <x v="3"/>
    <x v="1"/>
    <x v="1"/>
  </r>
  <r>
    <x v="189"/>
    <x v="12"/>
    <x v="11"/>
    <n v="104"/>
    <x v="185"/>
    <x v="7"/>
    <x v="9"/>
    <x v="2"/>
    <x v="2"/>
    <x v="2"/>
    <x v="0"/>
    <x v="17"/>
    <x v="1"/>
    <x v="1"/>
    <x v="2"/>
  </r>
  <r>
    <x v="190"/>
    <x v="6"/>
    <x v="1"/>
    <n v="51.8"/>
    <x v="186"/>
    <x v="7"/>
    <x v="12"/>
    <x v="0"/>
    <x v="0"/>
    <x v="2"/>
    <x v="0"/>
    <x v="10"/>
    <x v="5"/>
    <x v="1"/>
    <x v="0"/>
  </r>
  <r>
    <x v="191"/>
    <x v="10"/>
    <x v="9"/>
    <n v="34.5"/>
    <x v="187"/>
    <x v="7"/>
    <x v="9"/>
    <x v="0"/>
    <x v="2"/>
    <x v="2"/>
    <x v="0"/>
    <x v="11"/>
    <x v="1"/>
    <x v="1"/>
    <x v="0"/>
  </r>
  <r>
    <x v="192"/>
    <x v="6"/>
    <x v="1"/>
    <n v="51.8"/>
    <x v="186"/>
    <x v="7"/>
    <x v="9"/>
    <x v="1"/>
    <x v="1"/>
    <x v="2"/>
    <x v="0"/>
    <x v="30"/>
    <x v="1"/>
    <x v="1"/>
    <x v="1"/>
  </r>
  <r>
    <x v="193"/>
    <x v="18"/>
    <x v="23"/>
    <n v="131.5"/>
    <x v="188"/>
    <x v="7"/>
    <x v="8"/>
    <x v="2"/>
    <x v="0"/>
    <x v="2"/>
    <x v="0"/>
    <x v="18"/>
    <x v="3"/>
    <x v="1"/>
    <x v="2"/>
  </r>
  <r>
    <x v="194"/>
    <x v="8"/>
    <x v="3"/>
    <n v="47.8"/>
    <x v="189"/>
    <x v="7"/>
    <x v="6"/>
    <x v="2"/>
    <x v="0"/>
    <x v="0"/>
    <x v="0"/>
    <x v="19"/>
    <x v="7"/>
    <x v="1"/>
    <x v="2"/>
  </r>
  <r>
    <x v="195"/>
    <x v="0"/>
    <x v="1"/>
    <n v="10.199999999999999"/>
    <x v="190"/>
    <x v="7"/>
    <x v="9"/>
    <x v="2"/>
    <x v="0"/>
    <x v="0"/>
    <x v="0"/>
    <x v="19"/>
    <x v="1"/>
    <x v="1"/>
    <x v="2"/>
  </r>
  <r>
    <x v="196"/>
    <x v="8"/>
    <x v="8"/>
    <n v="41"/>
    <x v="191"/>
    <x v="7"/>
    <x v="6"/>
    <x v="2"/>
    <x v="1"/>
    <x v="2"/>
    <x v="0"/>
    <x v="19"/>
    <x v="7"/>
    <x v="1"/>
    <x v="2"/>
  </r>
  <r>
    <x v="197"/>
    <x v="10"/>
    <x v="3"/>
    <n v="50.8"/>
    <x v="192"/>
    <x v="7"/>
    <x v="7"/>
    <x v="2"/>
    <x v="1"/>
    <x v="0"/>
    <x v="0"/>
    <x v="21"/>
    <x v="2"/>
    <x v="1"/>
    <x v="2"/>
  </r>
  <r>
    <x v="198"/>
    <x v="18"/>
    <x v="2"/>
    <n v="39.6"/>
    <x v="193"/>
    <x v="7"/>
    <x v="8"/>
    <x v="1"/>
    <x v="2"/>
    <x v="2"/>
    <x v="0"/>
    <x v="1"/>
    <x v="3"/>
    <x v="1"/>
    <x v="1"/>
  </r>
  <r>
    <x v="199"/>
    <x v="5"/>
    <x v="1"/>
    <n v="69.5"/>
    <x v="194"/>
    <x v="7"/>
    <x v="9"/>
    <x v="1"/>
    <x v="0"/>
    <x v="2"/>
    <x v="0"/>
    <x v="2"/>
    <x v="1"/>
    <x v="1"/>
    <x v="1"/>
  </r>
  <r>
    <x v="200"/>
    <x v="8"/>
    <x v="8"/>
    <n v="32.6"/>
    <x v="195"/>
    <x v="7"/>
    <x v="7"/>
    <x v="1"/>
    <x v="1"/>
    <x v="0"/>
    <x v="0"/>
    <x v="3"/>
    <x v="2"/>
    <x v="1"/>
    <x v="1"/>
  </r>
  <r>
    <x v="201"/>
    <x v="7"/>
    <x v="1"/>
    <n v="49.1"/>
    <x v="196"/>
    <x v="7"/>
    <x v="15"/>
    <x v="1"/>
    <x v="3"/>
    <x v="2"/>
    <x v="0"/>
    <x v="3"/>
    <x v="9"/>
    <x v="1"/>
    <x v="1"/>
  </r>
  <r>
    <x v="202"/>
    <x v="6"/>
    <x v="1"/>
    <n v="49.4"/>
    <x v="197"/>
    <x v="8"/>
    <x v="9"/>
    <x v="2"/>
    <x v="2"/>
    <x v="0"/>
    <x v="0"/>
    <x v="3"/>
    <x v="3"/>
    <x v="1"/>
    <x v="2"/>
  </r>
  <r>
    <x v="203"/>
    <x v="7"/>
    <x v="3"/>
    <n v="65.099999999999994"/>
    <x v="198"/>
    <x v="8"/>
    <x v="12"/>
    <x v="2"/>
    <x v="2"/>
    <x v="2"/>
    <x v="0"/>
    <x v="3"/>
    <x v="2"/>
    <x v="1"/>
    <x v="2"/>
  </r>
  <r>
    <x v="204"/>
    <x v="3"/>
    <x v="1"/>
    <n v="52.1"/>
    <x v="199"/>
    <x v="8"/>
    <x v="14"/>
    <x v="2"/>
    <x v="2"/>
    <x v="0"/>
    <x v="0"/>
    <x v="3"/>
    <x v="5"/>
    <x v="1"/>
    <x v="2"/>
  </r>
  <r>
    <x v="205"/>
    <x v="2"/>
    <x v="12"/>
    <n v="129.19999999999999"/>
    <x v="200"/>
    <x v="8"/>
    <x v="9"/>
    <x v="2"/>
    <x v="1"/>
    <x v="0"/>
    <x v="0"/>
    <x v="3"/>
    <x v="3"/>
    <x v="1"/>
    <x v="2"/>
  </r>
  <r>
    <x v="206"/>
    <x v="1"/>
    <x v="10"/>
    <n v="81.8"/>
    <x v="201"/>
    <x v="8"/>
    <x v="8"/>
    <x v="2"/>
    <x v="1"/>
    <x v="1"/>
    <x v="0"/>
    <x v="3"/>
    <x v="7"/>
    <x v="1"/>
    <x v="2"/>
  </r>
  <r>
    <x v="207"/>
    <x v="17"/>
    <x v="0"/>
    <n v="24.9"/>
    <x v="202"/>
    <x v="8"/>
    <x v="14"/>
    <x v="2"/>
    <x v="1"/>
    <x v="0"/>
    <x v="0"/>
    <x v="3"/>
    <x v="5"/>
    <x v="1"/>
    <x v="2"/>
  </r>
  <r>
    <x v="208"/>
    <x v="0"/>
    <x v="2"/>
    <n v="49.4"/>
    <x v="203"/>
    <x v="8"/>
    <x v="12"/>
    <x v="2"/>
    <x v="4"/>
    <x v="4"/>
    <x v="0"/>
    <x v="3"/>
    <x v="2"/>
    <x v="1"/>
    <x v="2"/>
  </r>
  <r>
    <x v="209"/>
    <x v="8"/>
    <x v="1"/>
    <n v="22.7"/>
    <x v="204"/>
    <x v="8"/>
    <x v="9"/>
    <x v="1"/>
    <x v="3"/>
    <x v="2"/>
    <x v="0"/>
    <x v="3"/>
    <x v="3"/>
    <x v="1"/>
    <x v="1"/>
  </r>
  <r>
    <x v="210"/>
    <x v="1"/>
    <x v="0"/>
    <n v="77.3"/>
    <x v="83"/>
    <x v="8"/>
    <x v="8"/>
    <x v="2"/>
    <x v="0"/>
    <x v="2"/>
    <x v="0"/>
    <x v="6"/>
    <x v="7"/>
    <x v="1"/>
    <x v="2"/>
  </r>
  <r>
    <x v="211"/>
    <x v="1"/>
    <x v="9"/>
    <n v="109.1"/>
    <x v="205"/>
    <x v="8"/>
    <x v="12"/>
    <x v="2"/>
    <x v="0"/>
    <x v="0"/>
    <x v="0"/>
    <x v="6"/>
    <x v="2"/>
    <x v="1"/>
    <x v="2"/>
  </r>
  <r>
    <x v="212"/>
    <x v="2"/>
    <x v="12"/>
    <n v="53.9"/>
    <x v="206"/>
    <x v="8"/>
    <x v="9"/>
    <x v="1"/>
    <x v="0"/>
    <x v="1"/>
    <x v="0"/>
    <x v="8"/>
    <x v="3"/>
    <x v="1"/>
    <x v="1"/>
  </r>
  <r>
    <x v="213"/>
    <x v="9"/>
    <x v="18"/>
    <n v="21.2"/>
    <x v="207"/>
    <x v="8"/>
    <x v="8"/>
    <x v="2"/>
    <x v="0"/>
    <x v="0"/>
    <x v="0"/>
    <x v="9"/>
    <x v="7"/>
    <x v="1"/>
    <x v="2"/>
  </r>
  <r>
    <x v="214"/>
    <x v="16"/>
    <x v="12"/>
    <n v="69"/>
    <x v="208"/>
    <x v="8"/>
    <x v="7"/>
    <x v="2"/>
    <x v="1"/>
    <x v="1"/>
    <x v="0"/>
    <x v="18"/>
    <x v="1"/>
    <x v="1"/>
    <x v="2"/>
  </r>
  <r>
    <x v="215"/>
    <x v="6"/>
    <x v="2"/>
    <n v="46.2"/>
    <x v="209"/>
    <x v="8"/>
    <x v="7"/>
    <x v="2"/>
    <x v="0"/>
    <x v="2"/>
    <x v="0"/>
    <x v="31"/>
    <x v="1"/>
    <x v="1"/>
    <x v="2"/>
  </r>
  <r>
    <x v="216"/>
    <x v="1"/>
    <x v="9"/>
    <n v="97.4"/>
    <x v="210"/>
    <x v="8"/>
    <x v="14"/>
    <x v="2"/>
    <x v="4"/>
    <x v="2"/>
    <x v="0"/>
    <x v="21"/>
    <x v="5"/>
    <x v="1"/>
    <x v="2"/>
  </r>
  <r>
    <x v="217"/>
    <x v="8"/>
    <x v="9"/>
    <n v="21"/>
    <x v="211"/>
    <x v="8"/>
    <x v="9"/>
    <x v="1"/>
    <x v="0"/>
    <x v="1"/>
    <x v="0"/>
    <x v="21"/>
    <x v="3"/>
    <x v="1"/>
    <x v="1"/>
  </r>
  <r>
    <x v="218"/>
    <x v="5"/>
    <x v="1"/>
    <n v="32.700000000000003"/>
    <x v="212"/>
    <x v="9"/>
    <x v="14"/>
    <x v="2"/>
    <x v="1"/>
    <x v="0"/>
    <x v="0"/>
    <x v="2"/>
    <x v="2"/>
    <x v="1"/>
    <x v="2"/>
  </r>
  <r>
    <x v="219"/>
    <x v="6"/>
    <x v="12"/>
    <n v="48"/>
    <x v="213"/>
    <x v="9"/>
    <x v="7"/>
    <x v="1"/>
    <x v="3"/>
    <x v="0"/>
    <x v="0"/>
    <x v="3"/>
    <x v="3"/>
    <x v="1"/>
    <x v="1"/>
  </r>
  <r>
    <x v="220"/>
    <x v="6"/>
    <x v="2"/>
    <n v="68.2"/>
    <x v="214"/>
    <x v="9"/>
    <x v="16"/>
    <x v="0"/>
    <x v="0"/>
    <x v="2"/>
    <x v="0"/>
    <x v="3"/>
    <x v="5"/>
    <x v="1"/>
    <x v="0"/>
  </r>
  <r>
    <x v="221"/>
    <x v="5"/>
    <x v="0"/>
    <n v="45.4"/>
    <x v="204"/>
    <x v="9"/>
    <x v="12"/>
    <x v="1"/>
    <x v="1"/>
    <x v="0"/>
    <x v="0"/>
    <x v="3"/>
    <x v="1"/>
    <x v="1"/>
    <x v="1"/>
  </r>
  <r>
    <x v="222"/>
    <x v="12"/>
    <x v="1"/>
    <n v="53.9"/>
    <x v="215"/>
    <x v="9"/>
    <x v="7"/>
    <x v="2"/>
    <x v="2"/>
    <x v="0"/>
    <x v="0"/>
    <x v="3"/>
    <x v="3"/>
    <x v="1"/>
    <x v="2"/>
  </r>
  <r>
    <x v="223"/>
    <x v="2"/>
    <x v="12"/>
    <n v="62.1"/>
    <x v="216"/>
    <x v="9"/>
    <x v="16"/>
    <x v="2"/>
    <x v="0"/>
    <x v="0"/>
    <x v="0"/>
    <x v="4"/>
    <x v="5"/>
    <x v="1"/>
    <x v="2"/>
  </r>
  <r>
    <x v="224"/>
    <x v="13"/>
    <x v="3"/>
    <n v="33.1"/>
    <x v="217"/>
    <x v="9"/>
    <x v="11"/>
    <x v="1"/>
    <x v="1"/>
    <x v="0"/>
    <x v="0"/>
    <x v="6"/>
    <x v="0"/>
    <x v="1"/>
    <x v="1"/>
  </r>
  <r>
    <x v="225"/>
    <x v="18"/>
    <x v="9"/>
    <n v="35.200000000000003"/>
    <x v="218"/>
    <x v="9"/>
    <x v="9"/>
    <x v="2"/>
    <x v="1"/>
    <x v="0"/>
    <x v="0"/>
    <x v="6"/>
    <x v="7"/>
    <x v="1"/>
    <x v="2"/>
  </r>
  <r>
    <x v="226"/>
    <x v="9"/>
    <x v="2"/>
    <n v="32.1"/>
    <x v="219"/>
    <x v="9"/>
    <x v="11"/>
    <x v="1"/>
    <x v="3"/>
    <x v="0"/>
    <x v="0"/>
    <x v="8"/>
    <x v="0"/>
    <x v="1"/>
    <x v="1"/>
  </r>
  <r>
    <x v="227"/>
    <x v="11"/>
    <x v="0"/>
    <n v="38.1"/>
    <x v="220"/>
    <x v="9"/>
    <x v="11"/>
    <x v="2"/>
    <x v="0"/>
    <x v="2"/>
    <x v="0"/>
    <x v="8"/>
    <x v="0"/>
    <x v="1"/>
    <x v="2"/>
  </r>
  <r>
    <x v="228"/>
    <x v="8"/>
    <x v="0"/>
    <n v="65.2"/>
    <x v="221"/>
    <x v="9"/>
    <x v="11"/>
    <x v="2"/>
    <x v="3"/>
    <x v="1"/>
    <x v="0"/>
    <x v="8"/>
    <x v="0"/>
    <x v="1"/>
    <x v="2"/>
  </r>
  <r>
    <x v="229"/>
    <x v="10"/>
    <x v="3"/>
    <n v="55.2"/>
    <x v="222"/>
    <x v="9"/>
    <x v="7"/>
    <x v="1"/>
    <x v="2"/>
    <x v="0"/>
    <x v="0"/>
    <x v="11"/>
    <x v="3"/>
    <x v="1"/>
    <x v="1"/>
  </r>
  <r>
    <x v="230"/>
    <x v="6"/>
    <x v="0"/>
    <n v="62"/>
    <x v="85"/>
    <x v="9"/>
    <x v="16"/>
    <x v="2"/>
    <x v="0"/>
    <x v="0"/>
    <x v="0"/>
    <x v="11"/>
    <x v="5"/>
    <x v="1"/>
    <x v="2"/>
  </r>
  <r>
    <x v="231"/>
    <x v="7"/>
    <x v="2"/>
    <n v="45.9"/>
    <x v="223"/>
    <x v="9"/>
    <x v="7"/>
    <x v="2"/>
    <x v="2"/>
    <x v="0"/>
    <x v="0"/>
    <x v="32"/>
    <x v="3"/>
    <x v="1"/>
    <x v="2"/>
  </r>
  <r>
    <x v="232"/>
    <x v="18"/>
    <x v="2"/>
    <n v="58.3"/>
    <x v="224"/>
    <x v="9"/>
    <x v="9"/>
    <x v="1"/>
    <x v="1"/>
    <x v="1"/>
    <x v="0"/>
    <x v="18"/>
    <x v="7"/>
    <x v="1"/>
    <x v="1"/>
  </r>
  <r>
    <x v="233"/>
    <x v="8"/>
    <x v="1"/>
    <n v="22.3"/>
    <x v="225"/>
    <x v="9"/>
    <x v="14"/>
    <x v="2"/>
    <x v="0"/>
    <x v="2"/>
    <x v="0"/>
    <x v="20"/>
    <x v="2"/>
    <x v="1"/>
    <x v="2"/>
  </r>
  <r>
    <x v="234"/>
    <x v="19"/>
    <x v="9"/>
    <n v="24"/>
    <x v="160"/>
    <x v="9"/>
    <x v="7"/>
    <x v="1"/>
    <x v="4"/>
    <x v="0"/>
    <x v="0"/>
    <x v="1"/>
    <x v="3"/>
    <x v="1"/>
    <x v="1"/>
  </r>
  <r>
    <x v="235"/>
    <x v="0"/>
    <x v="7"/>
    <n v="21.3"/>
    <x v="226"/>
    <x v="9"/>
    <x v="9"/>
    <x v="2"/>
    <x v="1"/>
    <x v="2"/>
    <x v="0"/>
    <x v="22"/>
    <x v="7"/>
    <x v="1"/>
    <x v="2"/>
  </r>
  <r>
    <x v="236"/>
    <x v="6"/>
    <x v="24"/>
    <n v="57.8"/>
    <x v="227"/>
    <x v="9"/>
    <x v="12"/>
    <x v="2"/>
    <x v="0"/>
    <x v="2"/>
    <x v="0"/>
    <x v="3"/>
    <x v="1"/>
    <x v="1"/>
    <x v="2"/>
  </r>
  <r>
    <x v="237"/>
    <x v="10"/>
    <x v="2"/>
    <n v="67.599999999999994"/>
    <x v="228"/>
    <x v="9"/>
    <x v="7"/>
    <x v="2"/>
    <x v="0"/>
    <x v="0"/>
    <x v="0"/>
    <x v="3"/>
    <x v="3"/>
    <x v="1"/>
    <x v="2"/>
  </r>
  <r>
    <x v="238"/>
    <x v="6"/>
    <x v="13"/>
    <n v="66.7"/>
    <x v="229"/>
    <x v="9"/>
    <x v="16"/>
    <x v="1"/>
    <x v="4"/>
    <x v="1"/>
    <x v="0"/>
    <x v="3"/>
    <x v="5"/>
    <x v="1"/>
    <x v="1"/>
  </r>
  <r>
    <x v="239"/>
    <x v="1"/>
    <x v="12"/>
    <n v="53.1"/>
    <x v="230"/>
    <x v="9"/>
    <x v="12"/>
    <x v="2"/>
    <x v="1"/>
    <x v="0"/>
    <x v="0"/>
    <x v="3"/>
    <x v="1"/>
    <x v="1"/>
    <x v="2"/>
  </r>
  <r>
    <x v="240"/>
    <x v="12"/>
    <x v="2"/>
    <n v="57.4"/>
    <x v="231"/>
    <x v="9"/>
    <x v="14"/>
    <x v="2"/>
    <x v="0"/>
    <x v="2"/>
    <x v="0"/>
    <x v="29"/>
    <x v="2"/>
    <x v="1"/>
    <x v="2"/>
  </r>
  <r>
    <x v="241"/>
    <x v="2"/>
    <x v="9"/>
    <n v="58.1"/>
    <x v="232"/>
    <x v="9"/>
    <x v="9"/>
    <x v="1"/>
    <x v="2"/>
    <x v="2"/>
    <x v="0"/>
    <x v="6"/>
    <x v="7"/>
    <x v="1"/>
    <x v="1"/>
  </r>
  <r>
    <x v="242"/>
    <x v="5"/>
    <x v="2"/>
    <n v="31.8"/>
    <x v="233"/>
    <x v="10"/>
    <x v="14"/>
    <x v="1"/>
    <x v="3"/>
    <x v="0"/>
    <x v="0"/>
    <x v="6"/>
    <x v="1"/>
    <x v="1"/>
    <x v="1"/>
  </r>
  <r>
    <x v="243"/>
    <x v="4"/>
    <x v="2"/>
    <n v="31.5"/>
    <x v="234"/>
    <x v="10"/>
    <x v="16"/>
    <x v="1"/>
    <x v="0"/>
    <x v="1"/>
    <x v="0"/>
    <x v="8"/>
    <x v="2"/>
    <x v="1"/>
    <x v="1"/>
  </r>
  <r>
    <x v="244"/>
    <x v="6"/>
    <x v="3"/>
    <n v="55.9"/>
    <x v="235"/>
    <x v="10"/>
    <x v="11"/>
    <x v="2"/>
    <x v="1"/>
    <x v="2"/>
    <x v="0"/>
    <x v="8"/>
    <x v="5"/>
    <x v="1"/>
    <x v="2"/>
  </r>
  <r>
    <x v="245"/>
    <x v="8"/>
    <x v="1"/>
    <n v="36.4"/>
    <x v="236"/>
    <x v="10"/>
    <x v="12"/>
    <x v="1"/>
    <x v="1"/>
    <x v="1"/>
    <x v="0"/>
    <x v="9"/>
    <x v="3"/>
    <x v="1"/>
    <x v="1"/>
  </r>
  <r>
    <x v="246"/>
    <x v="1"/>
    <x v="9"/>
    <n v="47.3"/>
    <x v="237"/>
    <x v="10"/>
    <x v="16"/>
    <x v="1"/>
    <x v="2"/>
    <x v="0"/>
    <x v="0"/>
    <x v="10"/>
    <x v="2"/>
    <x v="1"/>
    <x v="1"/>
  </r>
  <r>
    <x v="247"/>
    <x v="6"/>
    <x v="2"/>
    <n v="82.5"/>
    <x v="238"/>
    <x v="10"/>
    <x v="12"/>
    <x v="1"/>
    <x v="0"/>
    <x v="0"/>
    <x v="0"/>
    <x v="11"/>
    <x v="3"/>
    <x v="1"/>
    <x v="1"/>
  </r>
  <r>
    <x v="248"/>
    <x v="0"/>
    <x v="0"/>
    <n v="14.3"/>
    <x v="239"/>
    <x v="10"/>
    <x v="12"/>
    <x v="2"/>
    <x v="0"/>
    <x v="0"/>
    <x v="0"/>
    <x v="21"/>
    <x v="3"/>
    <x v="1"/>
    <x v="2"/>
  </r>
  <r>
    <x v="249"/>
    <x v="2"/>
    <x v="13"/>
    <n v="57.6"/>
    <x v="240"/>
    <x v="10"/>
    <x v="17"/>
    <x v="2"/>
    <x v="0"/>
    <x v="0"/>
    <x v="0"/>
    <x v="21"/>
    <x v="12"/>
    <x v="1"/>
    <x v="2"/>
  </r>
  <r>
    <x v="250"/>
    <x v="2"/>
    <x v="2"/>
    <n v="142.4"/>
    <x v="241"/>
    <x v="10"/>
    <x v="14"/>
    <x v="1"/>
    <x v="4"/>
    <x v="1"/>
    <x v="0"/>
    <x v="21"/>
    <x v="1"/>
    <x v="1"/>
    <x v="1"/>
  </r>
  <r>
    <x v="251"/>
    <x v="12"/>
    <x v="0"/>
    <n v="30.2"/>
    <x v="242"/>
    <x v="10"/>
    <x v="11"/>
    <x v="1"/>
    <x v="1"/>
    <x v="2"/>
    <x v="0"/>
    <x v="2"/>
    <x v="5"/>
    <x v="1"/>
    <x v="1"/>
  </r>
  <r>
    <x v="252"/>
    <x v="18"/>
    <x v="2"/>
    <n v="65.3"/>
    <x v="243"/>
    <x v="10"/>
    <x v="12"/>
    <x v="3"/>
    <x v="1"/>
    <x v="0"/>
    <x v="0"/>
    <x v="33"/>
    <x v="3"/>
    <x v="1"/>
    <x v="3"/>
  </r>
  <r>
    <x v="253"/>
    <x v="0"/>
    <x v="1"/>
    <n v="33.4"/>
    <x v="119"/>
    <x v="10"/>
    <x v="12"/>
    <x v="1"/>
    <x v="1"/>
    <x v="1"/>
    <x v="0"/>
    <x v="22"/>
    <x v="3"/>
    <x v="1"/>
    <x v="1"/>
  </r>
  <r>
    <x v="254"/>
    <x v="7"/>
    <x v="1"/>
    <n v="45.1"/>
    <x v="244"/>
    <x v="10"/>
    <x v="18"/>
    <x v="1"/>
    <x v="0"/>
    <x v="0"/>
    <x v="0"/>
    <x v="34"/>
    <x v="9"/>
    <x v="1"/>
    <x v="1"/>
  </r>
  <r>
    <x v="255"/>
    <x v="2"/>
    <x v="3"/>
    <n v="61.7"/>
    <x v="245"/>
    <x v="10"/>
    <x v="14"/>
    <x v="2"/>
    <x v="4"/>
    <x v="0"/>
    <x v="0"/>
    <x v="3"/>
    <x v="1"/>
    <x v="1"/>
    <x v="2"/>
  </r>
  <r>
    <x v="256"/>
    <x v="9"/>
    <x v="2"/>
    <n v="45.1"/>
    <x v="246"/>
    <x v="11"/>
    <x v="14"/>
    <x v="1"/>
    <x v="4"/>
    <x v="1"/>
    <x v="0"/>
    <x v="3"/>
    <x v="3"/>
    <x v="2"/>
    <x v="1"/>
  </r>
  <r>
    <x v="257"/>
    <x v="15"/>
    <x v="9"/>
    <n v="22.7"/>
    <x v="247"/>
    <x v="11"/>
    <x v="10"/>
    <x v="1"/>
    <x v="0"/>
    <x v="2"/>
    <x v="0"/>
    <x v="35"/>
    <x v="0"/>
    <x v="2"/>
    <x v="1"/>
  </r>
  <r>
    <x v="258"/>
    <x v="8"/>
    <x v="0"/>
    <n v="17.600000000000001"/>
    <x v="248"/>
    <x v="11"/>
    <x v="14"/>
    <x v="2"/>
    <x v="0"/>
    <x v="2"/>
    <x v="0"/>
    <x v="23"/>
    <x v="3"/>
    <x v="2"/>
    <x v="2"/>
  </r>
  <r>
    <x v="259"/>
    <x v="14"/>
    <x v="1"/>
    <n v="11.3"/>
    <x v="249"/>
    <x v="11"/>
    <x v="11"/>
    <x v="2"/>
    <x v="3"/>
    <x v="2"/>
    <x v="0"/>
    <x v="23"/>
    <x v="2"/>
    <x v="2"/>
    <x v="2"/>
  </r>
  <r>
    <x v="260"/>
    <x v="6"/>
    <x v="2"/>
    <n v="53.4"/>
    <x v="250"/>
    <x v="11"/>
    <x v="11"/>
    <x v="1"/>
    <x v="3"/>
    <x v="2"/>
    <x v="0"/>
    <x v="36"/>
    <x v="2"/>
    <x v="2"/>
    <x v="1"/>
  </r>
  <r>
    <x v="261"/>
    <x v="6"/>
    <x v="5"/>
    <n v="51.1"/>
    <x v="251"/>
    <x v="11"/>
    <x v="16"/>
    <x v="2"/>
    <x v="2"/>
    <x v="2"/>
    <x v="0"/>
    <x v="8"/>
    <x v="1"/>
    <x v="2"/>
    <x v="2"/>
  </r>
  <r>
    <x v="262"/>
    <x v="8"/>
    <x v="1"/>
    <n v="27.5"/>
    <x v="252"/>
    <x v="11"/>
    <x v="14"/>
    <x v="1"/>
    <x v="4"/>
    <x v="1"/>
    <x v="0"/>
    <x v="8"/>
    <x v="3"/>
    <x v="2"/>
    <x v="1"/>
  </r>
  <r>
    <x v="263"/>
    <x v="9"/>
    <x v="0"/>
    <n v="33.5"/>
    <x v="253"/>
    <x v="11"/>
    <x v="16"/>
    <x v="2"/>
    <x v="0"/>
    <x v="4"/>
    <x v="0"/>
    <x v="8"/>
    <x v="1"/>
    <x v="2"/>
    <x v="2"/>
  </r>
  <r>
    <x v="264"/>
    <x v="4"/>
    <x v="0"/>
    <n v="59.5"/>
    <x v="254"/>
    <x v="11"/>
    <x v="12"/>
    <x v="1"/>
    <x v="0"/>
    <x v="2"/>
    <x v="0"/>
    <x v="18"/>
    <x v="7"/>
    <x v="2"/>
    <x v="1"/>
  </r>
  <r>
    <x v="265"/>
    <x v="17"/>
    <x v="12"/>
    <n v="23.5"/>
    <x v="255"/>
    <x v="11"/>
    <x v="14"/>
    <x v="2"/>
    <x v="3"/>
    <x v="3"/>
    <x v="0"/>
    <x v="19"/>
    <x v="3"/>
    <x v="2"/>
    <x v="2"/>
  </r>
  <r>
    <x v="266"/>
    <x v="6"/>
    <x v="0"/>
    <n v="49.7"/>
    <x v="256"/>
    <x v="11"/>
    <x v="14"/>
    <x v="0"/>
    <x v="1"/>
    <x v="2"/>
    <x v="0"/>
    <x v="20"/>
    <x v="3"/>
    <x v="2"/>
    <x v="0"/>
  </r>
  <r>
    <x v="267"/>
    <x v="6"/>
    <x v="12"/>
    <n v="44.2"/>
    <x v="257"/>
    <x v="11"/>
    <x v="11"/>
    <x v="2"/>
    <x v="0"/>
    <x v="2"/>
    <x v="0"/>
    <x v="21"/>
    <x v="2"/>
    <x v="2"/>
    <x v="2"/>
  </r>
  <r>
    <x v="268"/>
    <x v="8"/>
    <x v="0"/>
    <n v="22.1"/>
    <x v="258"/>
    <x v="11"/>
    <x v="15"/>
    <x v="2"/>
    <x v="1"/>
    <x v="1"/>
    <x v="0"/>
    <x v="33"/>
    <x v="5"/>
    <x v="2"/>
    <x v="2"/>
  </r>
  <r>
    <x v="269"/>
    <x v="6"/>
    <x v="2"/>
    <n v="90.9"/>
    <x v="259"/>
    <x v="11"/>
    <x v="14"/>
    <x v="2"/>
    <x v="2"/>
    <x v="4"/>
    <x v="0"/>
    <x v="3"/>
    <x v="3"/>
    <x v="2"/>
    <x v="2"/>
  </r>
  <r>
    <x v="270"/>
    <x v="8"/>
    <x v="2"/>
    <n v="44.5"/>
    <x v="260"/>
    <x v="11"/>
    <x v="14"/>
    <x v="2"/>
    <x v="1"/>
    <x v="0"/>
    <x v="0"/>
    <x v="3"/>
    <x v="3"/>
    <x v="2"/>
    <x v="2"/>
  </r>
  <r>
    <x v="271"/>
    <x v="9"/>
    <x v="13"/>
    <n v="32.299999999999997"/>
    <x v="261"/>
    <x v="11"/>
    <x v="15"/>
    <x v="2"/>
    <x v="0"/>
    <x v="0"/>
    <x v="0"/>
    <x v="3"/>
    <x v="5"/>
    <x v="2"/>
    <x v="2"/>
  </r>
  <r>
    <x v="272"/>
    <x v="17"/>
    <x v="2"/>
    <n v="87.5"/>
    <x v="175"/>
    <x v="11"/>
    <x v="14"/>
    <x v="2"/>
    <x v="1"/>
    <x v="1"/>
    <x v="0"/>
    <x v="3"/>
    <x v="3"/>
    <x v="2"/>
    <x v="2"/>
  </r>
  <r>
    <x v="273"/>
    <x v="16"/>
    <x v="9"/>
    <n v="48.7"/>
    <x v="262"/>
    <x v="11"/>
    <x v="14"/>
    <x v="1"/>
    <x v="2"/>
    <x v="0"/>
    <x v="0"/>
    <x v="3"/>
    <x v="3"/>
    <x v="2"/>
    <x v="1"/>
  </r>
  <r>
    <x v="274"/>
    <x v="0"/>
    <x v="9"/>
    <n v="22.5"/>
    <x v="158"/>
    <x v="11"/>
    <x v="14"/>
    <x v="1"/>
    <x v="0"/>
    <x v="0"/>
    <x v="0"/>
    <x v="3"/>
    <x v="3"/>
    <x v="2"/>
    <x v="1"/>
  </r>
  <r>
    <x v="275"/>
    <x v="1"/>
    <x v="8"/>
    <n v="65.900000000000006"/>
    <x v="263"/>
    <x v="11"/>
    <x v="11"/>
    <x v="2"/>
    <x v="1"/>
    <x v="2"/>
    <x v="0"/>
    <x v="3"/>
    <x v="2"/>
    <x v="2"/>
    <x v="2"/>
  </r>
  <r>
    <x v="276"/>
    <x v="6"/>
    <x v="9"/>
    <n v="41.9"/>
    <x v="264"/>
    <x v="11"/>
    <x v="18"/>
    <x v="0"/>
    <x v="0"/>
    <x v="0"/>
    <x v="0"/>
    <x v="3"/>
    <x v="6"/>
    <x v="2"/>
    <x v="0"/>
  </r>
  <r>
    <x v="277"/>
    <x v="1"/>
    <x v="9"/>
    <n v="67.5"/>
    <x v="265"/>
    <x v="11"/>
    <x v="14"/>
    <x v="2"/>
    <x v="0"/>
    <x v="2"/>
    <x v="0"/>
    <x v="3"/>
    <x v="3"/>
    <x v="2"/>
    <x v="2"/>
  </r>
  <r>
    <x v="278"/>
    <x v="9"/>
    <x v="0"/>
    <n v="60.4"/>
    <x v="266"/>
    <x v="12"/>
    <x v="11"/>
    <x v="2"/>
    <x v="1"/>
    <x v="1"/>
    <x v="0"/>
    <x v="3"/>
    <x v="1"/>
    <x v="2"/>
    <x v="2"/>
  </r>
  <r>
    <x v="279"/>
    <x v="1"/>
    <x v="3"/>
    <n v="30.4"/>
    <x v="267"/>
    <x v="12"/>
    <x v="15"/>
    <x v="2"/>
    <x v="4"/>
    <x v="0"/>
    <x v="0"/>
    <x v="3"/>
    <x v="2"/>
    <x v="2"/>
    <x v="2"/>
  </r>
  <r>
    <x v="280"/>
    <x v="14"/>
    <x v="1"/>
    <n v="24.5"/>
    <x v="268"/>
    <x v="12"/>
    <x v="16"/>
    <x v="1"/>
    <x v="3"/>
    <x v="2"/>
    <x v="0"/>
    <x v="3"/>
    <x v="3"/>
    <x v="2"/>
    <x v="1"/>
  </r>
  <r>
    <x v="281"/>
    <x v="2"/>
    <x v="2"/>
    <n v="105.9"/>
    <x v="269"/>
    <x v="12"/>
    <x v="13"/>
    <x v="1"/>
    <x v="0"/>
    <x v="0"/>
    <x v="0"/>
    <x v="37"/>
    <x v="0"/>
    <x v="2"/>
    <x v="1"/>
  </r>
  <r>
    <x v="282"/>
    <x v="10"/>
    <x v="25"/>
    <n v="25.9"/>
    <x v="270"/>
    <x v="12"/>
    <x v="16"/>
    <x v="2"/>
    <x v="4"/>
    <x v="0"/>
    <x v="0"/>
    <x v="23"/>
    <x v="3"/>
    <x v="2"/>
    <x v="2"/>
  </r>
  <r>
    <x v="283"/>
    <x v="6"/>
    <x v="2"/>
    <n v="66.8"/>
    <x v="271"/>
    <x v="12"/>
    <x v="14"/>
    <x v="1"/>
    <x v="0"/>
    <x v="0"/>
    <x v="0"/>
    <x v="23"/>
    <x v="7"/>
    <x v="2"/>
    <x v="1"/>
  </r>
  <r>
    <x v="284"/>
    <x v="6"/>
    <x v="2"/>
    <n v="112.3"/>
    <x v="272"/>
    <x v="12"/>
    <x v="16"/>
    <x v="1"/>
    <x v="2"/>
    <x v="4"/>
    <x v="0"/>
    <x v="6"/>
    <x v="3"/>
    <x v="2"/>
    <x v="1"/>
  </r>
  <r>
    <x v="285"/>
    <x v="1"/>
    <x v="13"/>
    <n v="94.1"/>
    <x v="273"/>
    <x v="12"/>
    <x v="16"/>
    <x v="2"/>
    <x v="0"/>
    <x v="4"/>
    <x v="0"/>
    <x v="6"/>
    <x v="3"/>
    <x v="2"/>
    <x v="2"/>
  </r>
  <r>
    <x v="286"/>
    <x v="5"/>
    <x v="0"/>
    <n v="40.700000000000003"/>
    <x v="274"/>
    <x v="12"/>
    <x v="15"/>
    <x v="2"/>
    <x v="2"/>
    <x v="0"/>
    <x v="0"/>
    <x v="6"/>
    <x v="2"/>
    <x v="2"/>
    <x v="2"/>
  </r>
  <r>
    <x v="287"/>
    <x v="3"/>
    <x v="1"/>
    <n v="71.400000000000006"/>
    <x v="275"/>
    <x v="12"/>
    <x v="16"/>
    <x v="1"/>
    <x v="0"/>
    <x v="0"/>
    <x v="0"/>
    <x v="7"/>
    <x v="3"/>
    <x v="2"/>
    <x v="1"/>
  </r>
  <r>
    <x v="288"/>
    <x v="0"/>
    <x v="16"/>
    <n v="15.6"/>
    <x v="276"/>
    <x v="12"/>
    <x v="16"/>
    <x v="1"/>
    <x v="1"/>
    <x v="3"/>
    <x v="0"/>
    <x v="8"/>
    <x v="3"/>
    <x v="2"/>
    <x v="1"/>
  </r>
  <r>
    <x v="289"/>
    <x v="10"/>
    <x v="12"/>
    <n v="37.799999999999997"/>
    <x v="277"/>
    <x v="12"/>
    <x v="16"/>
    <x v="1"/>
    <x v="2"/>
    <x v="2"/>
    <x v="0"/>
    <x v="8"/>
    <x v="3"/>
    <x v="2"/>
    <x v="1"/>
  </r>
  <r>
    <x v="290"/>
    <x v="4"/>
    <x v="2"/>
    <n v="28.1"/>
    <x v="278"/>
    <x v="12"/>
    <x v="10"/>
    <x v="1"/>
    <x v="0"/>
    <x v="0"/>
    <x v="0"/>
    <x v="8"/>
    <x v="5"/>
    <x v="2"/>
    <x v="1"/>
  </r>
  <r>
    <x v="291"/>
    <x v="7"/>
    <x v="13"/>
    <n v="51.4"/>
    <x v="279"/>
    <x v="12"/>
    <x v="10"/>
    <x v="1"/>
    <x v="0"/>
    <x v="0"/>
    <x v="0"/>
    <x v="8"/>
    <x v="5"/>
    <x v="2"/>
    <x v="1"/>
  </r>
  <r>
    <x v="292"/>
    <x v="7"/>
    <x v="1"/>
    <n v="97.7"/>
    <x v="280"/>
    <x v="12"/>
    <x v="11"/>
    <x v="2"/>
    <x v="4"/>
    <x v="2"/>
    <x v="0"/>
    <x v="17"/>
    <x v="1"/>
    <x v="2"/>
    <x v="2"/>
  </r>
  <r>
    <x v="293"/>
    <x v="1"/>
    <x v="12"/>
    <n v="63.8"/>
    <x v="281"/>
    <x v="12"/>
    <x v="16"/>
    <x v="1"/>
    <x v="2"/>
    <x v="0"/>
    <x v="0"/>
    <x v="38"/>
    <x v="3"/>
    <x v="2"/>
    <x v="1"/>
  </r>
  <r>
    <x v="294"/>
    <x v="13"/>
    <x v="1"/>
    <n v="20.100000000000001"/>
    <x v="282"/>
    <x v="12"/>
    <x v="11"/>
    <x v="1"/>
    <x v="0"/>
    <x v="2"/>
    <x v="0"/>
    <x v="20"/>
    <x v="1"/>
    <x v="2"/>
    <x v="1"/>
  </r>
  <r>
    <x v="295"/>
    <x v="11"/>
    <x v="2"/>
    <n v="50.4"/>
    <x v="277"/>
    <x v="12"/>
    <x v="15"/>
    <x v="2"/>
    <x v="3"/>
    <x v="0"/>
    <x v="0"/>
    <x v="13"/>
    <x v="2"/>
    <x v="2"/>
    <x v="2"/>
  </r>
  <r>
    <x v="296"/>
    <x v="0"/>
    <x v="0"/>
    <n v="16.2"/>
    <x v="283"/>
    <x v="12"/>
    <x v="19"/>
    <x v="2"/>
    <x v="1"/>
    <x v="0"/>
    <x v="0"/>
    <x v="1"/>
    <x v="10"/>
    <x v="2"/>
    <x v="2"/>
  </r>
  <r>
    <x v="297"/>
    <x v="6"/>
    <x v="3"/>
    <n v="80.900000000000006"/>
    <x v="284"/>
    <x v="12"/>
    <x v="11"/>
    <x v="1"/>
    <x v="4"/>
    <x v="4"/>
    <x v="0"/>
    <x v="2"/>
    <x v="1"/>
    <x v="2"/>
    <x v="1"/>
  </r>
  <r>
    <x v="298"/>
    <x v="9"/>
    <x v="13"/>
    <n v="95.2"/>
    <x v="285"/>
    <x v="12"/>
    <x v="11"/>
    <x v="2"/>
    <x v="0"/>
    <x v="2"/>
    <x v="0"/>
    <x v="2"/>
    <x v="1"/>
    <x v="2"/>
    <x v="2"/>
  </r>
  <r>
    <x v="299"/>
    <x v="5"/>
    <x v="8"/>
    <n v="70.400000000000006"/>
    <x v="286"/>
    <x v="12"/>
    <x v="16"/>
    <x v="1"/>
    <x v="1"/>
    <x v="1"/>
    <x v="0"/>
    <x v="3"/>
    <x v="3"/>
    <x v="2"/>
    <x v="1"/>
  </r>
  <r>
    <x v="300"/>
    <x v="0"/>
    <x v="9"/>
    <n v="10.7"/>
    <x v="287"/>
    <x v="12"/>
    <x v="10"/>
    <x v="2"/>
    <x v="2"/>
    <x v="0"/>
    <x v="0"/>
    <x v="3"/>
    <x v="5"/>
    <x v="2"/>
    <x v="2"/>
  </r>
  <r>
    <x v="301"/>
    <x v="8"/>
    <x v="9"/>
    <n v="19.600000000000001"/>
    <x v="11"/>
    <x v="12"/>
    <x v="11"/>
    <x v="2"/>
    <x v="0"/>
    <x v="3"/>
    <x v="0"/>
    <x v="3"/>
    <x v="1"/>
    <x v="2"/>
    <x v="2"/>
  </r>
  <r>
    <x v="302"/>
    <x v="8"/>
    <x v="5"/>
    <n v="34.700000000000003"/>
    <x v="288"/>
    <x v="12"/>
    <x v="11"/>
    <x v="2"/>
    <x v="0"/>
    <x v="2"/>
    <x v="0"/>
    <x v="3"/>
    <x v="1"/>
    <x v="2"/>
    <x v="2"/>
  </r>
  <r>
    <x v="303"/>
    <x v="10"/>
    <x v="11"/>
    <n v="34.1"/>
    <x v="289"/>
    <x v="12"/>
    <x v="16"/>
    <x v="2"/>
    <x v="4"/>
    <x v="1"/>
    <x v="0"/>
    <x v="3"/>
    <x v="3"/>
    <x v="2"/>
    <x v="2"/>
  </r>
  <r>
    <x v="304"/>
    <x v="0"/>
    <x v="26"/>
    <n v="29.3"/>
    <x v="290"/>
    <x v="12"/>
    <x v="14"/>
    <x v="1"/>
    <x v="0"/>
    <x v="1"/>
    <x v="0"/>
    <x v="3"/>
    <x v="7"/>
    <x v="2"/>
    <x v="1"/>
  </r>
  <r>
    <x v="305"/>
    <x v="1"/>
    <x v="0"/>
    <n v="55.2"/>
    <x v="291"/>
    <x v="12"/>
    <x v="16"/>
    <x v="2"/>
    <x v="0"/>
    <x v="1"/>
    <x v="0"/>
    <x v="3"/>
    <x v="3"/>
    <x v="2"/>
    <x v="2"/>
  </r>
  <r>
    <x v="306"/>
    <x v="18"/>
    <x v="2"/>
    <n v="26"/>
    <x v="292"/>
    <x v="12"/>
    <x v="15"/>
    <x v="2"/>
    <x v="0"/>
    <x v="2"/>
    <x v="0"/>
    <x v="3"/>
    <x v="2"/>
    <x v="2"/>
    <x v="2"/>
  </r>
  <r>
    <x v="307"/>
    <x v="14"/>
    <x v="1"/>
    <n v="14.2"/>
    <x v="293"/>
    <x v="12"/>
    <x v="13"/>
    <x v="2"/>
    <x v="3"/>
    <x v="0"/>
    <x v="0"/>
    <x v="39"/>
    <x v="0"/>
    <x v="2"/>
    <x v="2"/>
  </r>
  <r>
    <x v="308"/>
    <x v="8"/>
    <x v="11"/>
    <n v="22.7"/>
    <x v="294"/>
    <x v="13"/>
    <x v="11"/>
    <x v="1"/>
    <x v="1"/>
    <x v="0"/>
    <x v="0"/>
    <x v="6"/>
    <x v="3"/>
    <x v="2"/>
    <x v="1"/>
  </r>
  <r>
    <x v="309"/>
    <x v="0"/>
    <x v="20"/>
    <n v="19.8"/>
    <x v="295"/>
    <x v="13"/>
    <x v="16"/>
    <x v="2"/>
    <x v="0"/>
    <x v="2"/>
    <x v="0"/>
    <x v="6"/>
    <x v="7"/>
    <x v="2"/>
    <x v="2"/>
  </r>
  <r>
    <x v="310"/>
    <x v="0"/>
    <x v="2"/>
    <n v="31.7"/>
    <x v="296"/>
    <x v="13"/>
    <x v="11"/>
    <x v="1"/>
    <x v="2"/>
    <x v="0"/>
    <x v="0"/>
    <x v="6"/>
    <x v="3"/>
    <x v="2"/>
    <x v="1"/>
  </r>
  <r>
    <x v="311"/>
    <x v="8"/>
    <x v="12"/>
    <n v="30.4"/>
    <x v="297"/>
    <x v="13"/>
    <x v="13"/>
    <x v="1"/>
    <x v="0"/>
    <x v="0"/>
    <x v="0"/>
    <x v="6"/>
    <x v="5"/>
    <x v="2"/>
    <x v="1"/>
  </r>
  <r>
    <x v="312"/>
    <x v="0"/>
    <x v="12"/>
    <n v="25.6"/>
    <x v="298"/>
    <x v="13"/>
    <x v="11"/>
    <x v="1"/>
    <x v="3"/>
    <x v="0"/>
    <x v="0"/>
    <x v="8"/>
    <x v="3"/>
    <x v="2"/>
    <x v="1"/>
  </r>
  <r>
    <x v="313"/>
    <x v="5"/>
    <x v="1"/>
    <n v="34.9"/>
    <x v="299"/>
    <x v="13"/>
    <x v="11"/>
    <x v="2"/>
    <x v="2"/>
    <x v="0"/>
    <x v="0"/>
    <x v="9"/>
    <x v="3"/>
    <x v="2"/>
    <x v="2"/>
  </r>
  <r>
    <x v="314"/>
    <x v="7"/>
    <x v="13"/>
    <n v="42.7"/>
    <x v="300"/>
    <x v="13"/>
    <x v="10"/>
    <x v="1"/>
    <x v="2"/>
    <x v="1"/>
    <x v="0"/>
    <x v="11"/>
    <x v="2"/>
    <x v="2"/>
    <x v="1"/>
  </r>
  <r>
    <x v="315"/>
    <x v="8"/>
    <x v="0"/>
    <n v="23.9"/>
    <x v="301"/>
    <x v="13"/>
    <x v="15"/>
    <x v="2"/>
    <x v="3"/>
    <x v="0"/>
    <x v="0"/>
    <x v="11"/>
    <x v="1"/>
    <x v="2"/>
    <x v="2"/>
  </r>
  <r>
    <x v="316"/>
    <x v="6"/>
    <x v="0"/>
    <n v="124.3"/>
    <x v="302"/>
    <x v="13"/>
    <x v="11"/>
    <x v="0"/>
    <x v="2"/>
    <x v="1"/>
    <x v="0"/>
    <x v="21"/>
    <x v="3"/>
    <x v="2"/>
    <x v="0"/>
  </r>
  <r>
    <x v="317"/>
    <x v="8"/>
    <x v="13"/>
    <n v="35.9"/>
    <x v="303"/>
    <x v="13"/>
    <x v="11"/>
    <x v="2"/>
    <x v="0"/>
    <x v="1"/>
    <x v="0"/>
    <x v="1"/>
    <x v="3"/>
    <x v="2"/>
    <x v="2"/>
  </r>
  <r>
    <x v="318"/>
    <x v="2"/>
    <x v="1"/>
    <n v="69.099999999999994"/>
    <x v="304"/>
    <x v="13"/>
    <x v="10"/>
    <x v="2"/>
    <x v="0"/>
    <x v="2"/>
    <x v="0"/>
    <x v="22"/>
    <x v="2"/>
    <x v="2"/>
    <x v="2"/>
  </r>
  <r>
    <x v="319"/>
    <x v="7"/>
    <x v="0"/>
    <n v="58.4"/>
    <x v="305"/>
    <x v="13"/>
    <x v="13"/>
    <x v="1"/>
    <x v="0"/>
    <x v="0"/>
    <x v="0"/>
    <x v="22"/>
    <x v="5"/>
    <x v="2"/>
    <x v="1"/>
  </r>
  <r>
    <x v="320"/>
    <x v="5"/>
    <x v="0"/>
    <n v="65.2"/>
    <x v="221"/>
    <x v="13"/>
    <x v="15"/>
    <x v="3"/>
    <x v="4"/>
    <x v="4"/>
    <x v="0"/>
    <x v="3"/>
    <x v="1"/>
    <x v="2"/>
    <x v="3"/>
  </r>
  <r>
    <x v="321"/>
    <x v="8"/>
    <x v="14"/>
    <n v="32.700000000000003"/>
    <x v="306"/>
    <x v="13"/>
    <x v="20"/>
    <x v="0"/>
    <x v="4"/>
    <x v="0"/>
    <x v="0"/>
    <x v="3"/>
    <x v="6"/>
    <x v="2"/>
    <x v="0"/>
  </r>
  <r>
    <x v="322"/>
    <x v="10"/>
    <x v="3"/>
    <n v="24.4"/>
    <x v="307"/>
    <x v="13"/>
    <x v="11"/>
    <x v="2"/>
    <x v="0"/>
    <x v="0"/>
    <x v="0"/>
    <x v="3"/>
    <x v="3"/>
    <x v="2"/>
    <x v="2"/>
  </r>
  <r>
    <x v="323"/>
    <x v="14"/>
    <x v="1"/>
    <n v="50.4"/>
    <x v="90"/>
    <x v="13"/>
    <x v="21"/>
    <x v="1"/>
    <x v="0"/>
    <x v="1"/>
    <x v="0"/>
    <x v="3"/>
    <x v="4"/>
    <x v="2"/>
    <x v="1"/>
  </r>
  <r>
    <x v="324"/>
    <x v="1"/>
    <x v="1"/>
    <n v="100"/>
    <x v="308"/>
    <x v="13"/>
    <x v="11"/>
    <x v="2"/>
    <x v="0"/>
    <x v="0"/>
    <x v="0"/>
    <x v="3"/>
    <x v="3"/>
    <x v="2"/>
    <x v="2"/>
  </r>
  <r>
    <x v="325"/>
    <x v="10"/>
    <x v="2"/>
    <n v="43"/>
    <x v="309"/>
    <x v="14"/>
    <x v="11"/>
    <x v="2"/>
    <x v="2"/>
    <x v="1"/>
    <x v="0"/>
    <x v="3"/>
    <x v="7"/>
    <x v="2"/>
    <x v="2"/>
  </r>
  <r>
    <x v="326"/>
    <x v="1"/>
    <x v="9"/>
    <n v="64.400000000000006"/>
    <x v="310"/>
    <x v="14"/>
    <x v="10"/>
    <x v="1"/>
    <x v="2"/>
    <x v="1"/>
    <x v="0"/>
    <x v="3"/>
    <x v="1"/>
    <x v="2"/>
    <x v="1"/>
  </r>
  <r>
    <x v="327"/>
    <x v="18"/>
    <x v="1"/>
    <n v="57.4"/>
    <x v="311"/>
    <x v="14"/>
    <x v="15"/>
    <x v="1"/>
    <x v="2"/>
    <x v="1"/>
    <x v="0"/>
    <x v="3"/>
    <x v="3"/>
    <x v="2"/>
    <x v="1"/>
  </r>
  <r>
    <x v="328"/>
    <x v="2"/>
    <x v="2"/>
    <n v="55.1"/>
    <x v="312"/>
    <x v="14"/>
    <x v="13"/>
    <x v="2"/>
    <x v="1"/>
    <x v="0"/>
    <x v="0"/>
    <x v="3"/>
    <x v="2"/>
    <x v="2"/>
    <x v="2"/>
  </r>
  <r>
    <x v="329"/>
    <x v="7"/>
    <x v="12"/>
    <n v="45.4"/>
    <x v="106"/>
    <x v="14"/>
    <x v="15"/>
    <x v="2"/>
    <x v="1"/>
    <x v="0"/>
    <x v="0"/>
    <x v="3"/>
    <x v="3"/>
    <x v="2"/>
    <x v="2"/>
  </r>
  <r>
    <x v="330"/>
    <x v="3"/>
    <x v="2"/>
    <n v="93.3"/>
    <x v="313"/>
    <x v="14"/>
    <x v="15"/>
    <x v="2"/>
    <x v="0"/>
    <x v="0"/>
    <x v="0"/>
    <x v="40"/>
    <x v="3"/>
    <x v="2"/>
    <x v="2"/>
  </r>
  <r>
    <x v="331"/>
    <x v="2"/>
    <x v="10"/>
    <n v="158.19999999999999"/>
    <x v="314"/>
    <x v="14"/>
    <x v="15"/>
    <x v="2"/>
    <x v="1"/>
    <x v="2"/>
    <x v="0"/>
    <x v="16"/>
    <x v="3"/>
    <x v="2"/>
    <x v="2"/>
  </r>
  <r>
    <x v="332"/>
    <x v="2"/>
    <x v="1"/>
    <n v="74.900000000000006"/>
    <x v="315"/>
    <x v="14"/>
    <x v="10"/>
    <x v="1"/>
    <x v="3"/>
    <x v="0"/>
    <x v="0"/>
    <x v="6"/>
    <x v="1"/>
    <x v="2"/>
    <x v="1"/>
  </r>
  <r>
    <x v="333"/>
    <x v="8"/>
    <x v="3"/>
    <n v="26"/>
    <x v="316"/>
    <x v="14"/>
    <x v="13"/>
    <x v="2"/>
    <x v="1"/>
    <x v="0"/>
    <x v="0"/>
    <x v="8"/>
    <x v="2"/>
    <x v="2"/>
    <x v="2"/>
  </r>
  <r>
    <x v="334"/>
    <x v="9"/>
    <x v="13"/>
    <n v="37.5"/>
    <x v="317"/>
    <x v="14"/>
    <x v="15"/>
    <x v="2"/>
    <x v="0"/>
    <x v="1"/>
    <x v="0"/>
    <x v="8"/>
    <x v="3"/>
    <x v="2"/>
    <x v="2"/>
  </r>
  <r>
    <x v="335"/>
    <x v="6"/>
    <x v="1"/>
    <n v="75.8"/>
    <x v="318"/>
    <x v="14"/>
    <x v="20"/>
    <x v="1"/>
    <x v="0"/>
    <x v="0"/>
    <x v="0"/>
    <x v="8"/>
    <x v="4"/>
    <x v="2"/>
    <x v="1"/>
  </r>
  <r>
    <x v="336"/>
    <x v="7"/>
    <x v="0"/>
    <n v="48.5"/>
    <x v="319"/>
    <x v="14"/>
    <x v="22"/>
    <x v="0"/>
    <x v="4"/>
    <x v="2"/>
    <x v="0"/>
    <x v="8"/>
    <x v="13"/>
    <x v="2"/>
    <x v="0"/>
  </r>
  <r>
    <x v="337"/>
    <x v="6"/>
    <x v="2"/>
    <n v="98.9"/>
    <x v="320"/>
    <x v="14"/>
    <x v="10"/>
    <x v="2"/>
    <x v="4"/>
    <x v="1"/>
    <x v="0"/>
    <x v="8"/>
    <x v="1"/>
    <x v="2"/>
    <x v="2"/>
  </r>
  <r>
    <x v="338"/>
    <x v="1"/>
    <x v="4"/>
    <n v="50.9"/>
    <x v="321"/>
    <x v="14"/>
    <x v="11"/>
    <x v="1"/>
    <x v="4"/>
    <x v="0"/>
    <x v="0"/>
    <x v="8"/>
    <x v="7"/>
    <x v="2"/>
    <x v="1"/>
  </r>
  <r>
    <x v="339"/>
    <x v="12"/>
    <x v="13"/>
    <n v="84.7"/>
    <x v="322"/>
    <x v="14"/>
    <x v="11"/>
    <x v="2"/>
    <x v="2"/>
    <x v="0"/>
    <x v="0"/>
    <x v="8"/>
    <x v="7"/>
    <x v="2"/>
    <x v="2"/>
  </r>
  <r>
    <x v="340"/>
    <x v="8"/>
    <x v="0"/>
    <n v="20.7"/>
    <x v="323"/>
    <x v="14"/>
    <x v="10"/>
    <x v="2"/>
    <x v="3"/>
    <x v="2"/>
    <x v="0"/>
    <x v="8"/>
    <x v="1"/>
    <x v="2"/>
    <x v="2"/>
  </r>
  <r>
    <x v="341"/>
    <x v="12"/>
    <x v="11"/>
    <n v="57.8"/>
    <x v="324"/>
    <x v="14"/>
    <x v="19"/>
    <x v="1"/>
    <x v="0"/>
    <x v="4"/>
    <x v="0"/>
    <x v="17"/>
    <x v="11"/>
    <x v="2"/>
    <x v="1"/>
  </r>
  <r>
    <x v="342"/>
    <x v="2"/>
    <x v="1"/>
    <n v="106.9"/>
    <x v="325"/>
    <x v="14"/>
    <x v="10"/>
    <x v="2"/>
    <x v="0"/>
    <x v="2"/>
    <x v="0"/>
    <x v="41"/>
    <x v="1"/>
    <x v="2"/>
    <x v="2"/>
  </r>
  <r>
    <x v="343"/>
    <x v="3"/>
    <x v="9"/>
    <n v="45.2"/>
    <x v="326"/>
    <x v="14"/>
    <x v="18"/>
    <x v="2"/>
    <x v="1"/>
    <x v="0"/>
    <x v="0"/>
    <x v="21"/>
    <x v="5"/>
    <x v="2"/>
    <x v="2"/>
  </r>
  <r>
    <x v="344"/>
    <x v="8"/>
    <x v="15"/>
    <n v="34.6"/>
    <x v="327"/>
    <x v="14"/>
    <x v="11"/>
    <x v="2"/>
    <x v="1"/>
    <x v="1"/>
    <x v="0"/>
    <x v="21"/>
    <x v="7"/>
    <x v="2"/>
    <x v="2"/>
  </r>
  <r>
    <x v="345"/>
    <x v="15"/>
    <x v="0"/>
    <n v="43.8"/>
    <x v="328"/>
    <x v="14"/>
    <x v="10"/>
    <x v="0"/>
    <x v="0"/>
    <x v="2"/>
    <x v="0"/>
    <x v="21"/>
    <x v="1"/>
    <x v="2"/>
    <x v="0"/>
  </r>
  <r>
    <x v="346"/>
    <x v="15"/>
    <x v="0"/>
    <n v="20.399999999999999"/>
    <x v="190"/>
    <x v="14"/>
    <x v="10"/>
    <x v="1"/>
    <x v="4"/>
    <x v="1"/>
    <x v="0"/>
    <x v="21"/>
    <x v="1"/>
    <x v="2"/>
    <x v="1"/>
  </r>
  <r>
    <x v="347"/>
    <x v="1"/>
    <x v="0"/>
    <n v="36.700000000000003"/>
    <x v="329"/>
    <x v="14"/>
    <x v="15"/>
    <x v="1"/>
    <x v="0"/>
    <x v="1"/>
    <x v="0"/>
    <x v="1"/>
    <x v="3"/>
    <x v="2"/>
    <x v="1"/>
  </r>
  <r>
    <x v="348"/>
    <x v="8"/>
    <x v="2"/>
    <n v="27.2"/>
    <x v="330"/>
    <x v="14"/>
    <x v="18"/>
    <x v="1"/>
    <x v="0"/>
    <x v="2"/>
    <x v="0"/>
    <x v="1"/>
    <x v="5"/>
    <x v="2"/>
    <x v="1"/>
  </r>
  <r>
    <x v="349"/>
    <x v="6"/>
    <x v="0"/>
    <n v="58.2"/>
    <x v="331"/>
    <x v="14"/>
    <x v="15"/>
    <x v="2"/>
    <x v="0"/>
    <x v="2"/>
    <x v="0"/>
    <x v="42"/>
    <x v="3"/>
    <x v="2"/>
    <x v="2"/>
  </r>
  <r>
    <x v="350"/>
    <x v="8"/>
    <x v="2"/>
    <n v="25.6"/>
    <x v="332"/>
    <x v="14"/>
    <x v="15"/>
    <x v="1"/>
    <x v="4"/>
    <x v="4"/>
    <x v="0"/>
    <x v="2"/>
    <x v="3"/>
    <x v="2"/>
    <x v="1"/>
  </r>
  <r>
    <x v="351"/>
    <x v="10"/>
    <x v="0"/>
    <n v="21.2"/>
    <x v="333"/>
    <x v="14"/>
    <x v="11"/>
    <x v="2"/>
    <x v="1"/>
    <x v="2"/>
    <x v="0"/>
    <x v="3"/>
    <x v="7"/>
    <x v="2"/>
    <x v="2"/>
  </r>
  <r>
    <x v="352"/>
    <x v="6"/>
    <x v="1"/>
    <n v="48.2"/>
    <x v="334"/>
    <x v="14"/>
    <x v="23"/>
    <x v="2"/>
    <x v="0"/>
    <x v="2"/>
    <x v="0"/>
    <x v="3"/>
    <x v="9"/>
    <x v="2"/>
    <x v="2"/>
  </r>
  <r>
    <x v="353"/>
    <x v="1"/>
    <x v="12"/>
    <n v="83.4"/>
    <x v="335"/>
    <x v="15"/>
    <x v="10"/>
    <x v="1"/>
    <x v="0"/>
    <x v="0"/>
    <x v="0"/>
    <x v="3"/>
    <x v="3"/>
    <x v="2"/>
    <x v="1"/>
  </r>
  <r>
    <x v="354"/>
    <x v="9"/>
    <x v="2"/>
    <n v="45.3"/>
    <x v="336"/>
    <x v="15"/>
    <x v="24"/>
    <x v="1"/>
    <x v="2"/>
    <x v="1"/>
    <x v="0"/>
    <x v="3"/>
    <x v="4"/>
    <x v="2"/>
    <x v="1"/>
  </r>
  <r>
    <x v="355"/>
    <x v="17"/>
    <x v="0"/>
    <n v="42"/>
    <x v="337"/>
    <x v="15"/>
    <x v="10"/>
    <x v="0"/>
    <x v="0"/>
    <x v="0"/>
    <x v="0"/>
    <x v="3"/>
    <x v="3"/>
    <x v="2"/>
    <x v="0"/>
  </r>
  <r>
    <x v="356"/>
    <x v="0"/>
    <x v="11"/>
    <n v="21.8"/>
    <x v="338"/>
    <x v="15"/>
    <x v="13"/>
    <x v="2"/>
    <x v="1"/>
    <x v="0"/>
    <x v="0"/>
    <x v="3"/>
    <x v="1"/>
    <x v="2"/>
    <x v="2"/>
  </r>
  <r>
    <x v="357"/>
    <x v="8"/>
    <x v="16"/>
    <n v="21.4"/>
    <x v="339"/>
    <x v="15"/>
    <x v="18"/>
    <x v="2"/>
    <x v="1"/>
    <x v="2"/>
    <x v="0"/>
    <x v="3"/>
    <x v="2"/>
    <x v="2"/>
    <x v="2"/>
  </r>
  <r>
    <x v="358"/>
    <x v="10"/>
    <x v="2"/>
    <n v="45"/>
    <x v="340"/>
    <x v="15"/>
    <x v="15"/>
    <x v="2"/>
    <x v="1"/>
    <x v="2"/>
    <x v="0"/>
    <x v="3"/>
    <x v="7"/>
    <x v="2"/>
    <x v="2"/>
  </r>
  <r>
    <x v="359"/>
    <x v="14"/>
    <x v="0"/>
    <n v="39.6"/>
    <x v="341"/>
    <x v="15"/>
    <x v="10"/>
    <x v="1"/>
    <x v="0"/>
    <x v="2"/>
    <x v="0"/>
    <x v="3"/>
    <x v="3"/>
    <x v="2"/>
    <x v="1"/>
  </r>
  <r>
    <x v="360"/>
    <x v="12"/>
    <x v="2"/>
    <n v="79.8"/>
    <x v="342"/>
    <x v="15"/>
    <x v="24"/>
    <x v="2"/>
    <x v="1"/>
    <x v="4"/>
    <x v="0"/>
    <x v="3"/>
    <x v="4"/>
    <x v="2"/>
    <x v="2"/>
  </r>
  <r>
    <x v="361"/>
    <x v="1"/>
    <x v="12"/>
    <n v="63.6"/>
    <x v="343"/>
    <x v="15"/>
    <x v="10"/>
    <x v="3"/>
    <x v="0"/>
    <x v="2"/>
    <x v="0"/>
    <x v="24"/>
    <x v="3"/>
    <x v="2"/>
    <x v="3"/>
  </r>
  <r>
    <x v="362"/>
    <x v="7"/>
    <x v="7"/>
    <n v="92.7"/>
    <x v="344"/>
    <x v="15"/>
    <x v="21"/>
    <x v="1"/>
    <x v="1"/>
    <x v="2"/>
    <x v="0"/>
    <x v="6"/>
    <x v="5"/>
    <x v="2"/>
    <x v="1"/>
  </r>
  <r>
    <x v="363"/>
    <x v="1"/>
    <x v="12"/>
    <n v="48.4"/>
    <x v="345"/>
    <x v="15"/>
    <x v="13"/>
    <x v="2"/>
    <x v="1"/>
    <x v="2"/>
    <x v="0"/>
    <x v="6"/>
    <x v="1"/>
    <x v="2"/>
    <x v="2"/>
  </r>
  <r>
    <x v="364"/>
    <x v="9"/>
    <x v="8"/>
    <n v="36"/>
    <x v="346"/>
    <x v="15"/>
    <x v="18"/>
    <x v="1"/>
    <x v="2"/>
    <x v="2"/>
    <x v="0"/>
    <x v="8"/>
    <x v="2"/>
    <x v="2"/>
    <x v="1"/>
  </r>
  <r>
    <x v="365"/>
    <x v="8"/>
    <x v="4"/>
    <n v="27"/>
    <x v="347"/>
    <x v="15"/>
    <x v="13"/>
    <x v="2"/>
    <x v="2"/>
    <x v="1"/>
    <x v="0"/>
    <x v="8"/>
    <x v="1"/>
    <x v="2"/>
    <x v="2"/>
  </r>
  <r>
    <x v="366"/>
    <x v="2"/>
    <x v="8"/>
    <n v="53.9"/>
    <x v="348"/>
    <x v="15"/>
    <x v="10"/>
    <x v="0"/>
    <x v="0"/>
    <x v="0"/>
    <x v="0"/>
    <x v="8"/>
    <x v="3"/>
    <x v="2"/>
    <x v="0"/>
  </r>
  <r>
    <x v="367"/>
    <x v="3"/>
    <x v="11"/>
    <n v="48.4"/>
    <x v="349"/>
    <x v="15"/>
    <x v="10"/>
    <x v="2"/>
    <x v="1"/>
    <x v="0"/>
    <x v="0"/>
    <x v="9"/>
    <x v="3"/>
    <x v="2"/>
    <x v="2"/>
  </r>
  <r>
    <x v="368"/>
    <x v="17"/>
    <x v="1"/>
    <n v="49.9"/>
    <x v="350"/>
    <x v="15"/>
    <x v="20"/>
    <x v="1"/>
    <x v="4"/>
    <x v="4"/>
    <x v="0"/>
    <x v="10"/>
    <x v="0"/>
    <x v="2"/>
    <x v="1"/>
  </r>
  <r>
    <x v="369"/>
    <x v="1"/>
    <x v="2"/>
    <n v="51.7"/>
    <x v="351"/>
    <x v="15"/>
    <x v="10"/>
    <x v="2"/>
    <x v="0"/>
    <x v="2"/>
    <x v="0"/>
    <x v="11"/>
    <x v="3"/>
    <x v="2"/>
    <x v="2"/>
  </r>
  <r>
    <x v="370"/>
    <x v="8"/>
    <x v="2"/>
    <n v="41.8"/>
    <x v="352"/>
    <x v="15"/>
    <x v="13"/>
    <x v="2"/>
    <x v="2"/>
    <x v="0"/>
    <x v="0"/>
    <x v="18"/>
    <x v="1"/>
    <x v="2"/>
    <x v="2"/>
  </r>
  <r>
    <x v="371"/>
    <x v="4"/>
    <x v="12"/>
    <n v="36.200000000000003"/>
    <x v="353"/>
    <x v="16"/>
    <x v="13"/>
    <x v="1"/>
    <x v="2"/>
    <x v="2"/>
    <x v="0"/>
    <x v="21"/>
    <x v="3"/>
    <x v="2"/>
    <x v="1"/>
  </r>
  <r>
    <x v="372"/>
    <x v="2"/>
    <x v="0"/>
    <n v="150.9"/>
    <x v="354"/>
    <x v="16"/>
    <x v="22"/>
    <x v="1"/>
    <x v="0"/>
    <x v="0"/>
    <x v="0"/>
    <x v="1"/>
    <x v="14"/>
    <x v="2"/>
    <x v="1"/>
  </r>
  <r>
    <x v="373"/>
    <x v="18"/>
    <x v="12"/>
    <n v="77.599999999999994"/>
    <x v="355"/>
    <x v="16"/>
    <x v="13"/>
    <x v="0"/>
    <x v="2"/>
    <x v="0"/>
    <x v="0"/>
    <x v="3"/>
    <x v="3"/>
    <x v="2"/>
    <x v="0"/>
  </r>
  <r>
    <x v="374"/>
    <x v="13"/>
    <x v="9"/>
    <n v="65.5"/>
    <x v="356"/>
    <x v="16"/>
    <x v="10"/>
    <x v="1"/>
    <x v="1"/>
    <x v="0"/>
    <x v="0"/>
    <x v="3"/>
    <x v="7"/>
    <x v="2"/>
    <x v="1"/>
  </r>
  <r>
    <x v="375"/>
    <x v="6"/>
    <x v="2"/>
    <n v="90.1"/>
    <x v="357"/>
    <x v="16"/>
    <x v="18"/>
    <x v="2"/>
    <x v="0"/>
    <x v="0"/>
    <x v="0"/>
    <x v="3"/>
    <x v="1"/>
    <x v="2"/>
    <x v="2"/>
  </r>
  <r>
    <x v="376"/>
    <x v="1"/>
    <x v="1"/>
    <n v="108.3"/>
    <x v="358"/>
    <x v="16"/>
    <x v="21"/>
    <x v="3"/>
    <x v="4"/>
    <x v="0"/>
    <x v="0"/>
    <x v="3"/>
    <x v="2"/>
    <x v="2"/>
    <x v="3"/>
  </r>
  <r>
    <x v="377"/>
    <x v="5"/>
    <x v="2"/>
    <n v="59.9"/>
    <x v="359"/>
    <x v="16"/>
    <x v="20"/>
    <x v="2"/>
    <x v="0"/>
    <x v="0"/>
    <x v="0"/>
    <x v="3"/>
    <x v="5"/>
    <x v="2"/>
    <x v="2"/>
  </r>
  <r>
    <x v="378"/>
    <x v="2"/>
    <x v="14"/>
    <n v="139"/>
    <x v="360"/>
    <x v="16"/>
    <x v="18"/>
    <x v="2"/>
    <x v="1"/>
    <x v="4"/>
    <x v="0"/>
    <x v="3"/>
    <x v="1"/>
    <x v="2"/>
    <x v="2"/>
  </r>
  <r>
    <x v="379"/>
    <x v="6"/>
    <x v="2"/>
    <n v="87.3"/>
    <x v="361"/>
    <x v="16"/>
    <x v="13"/>
    <x v="2"/>
    <x v="0"/>
    <x v="0"/>
    <x v="0"/>
    <x v="3"/>
    <x v="3"/>
    <x v="2"/>
    <x v="2"/>
  </r>
  <r>
    <x v="380"/>
    <x v="11"/>
    <x v="12"/>
    <n v="42.3"/>
    <x v="362"/>
    <x v="16"/>
    <x v="10"/>
    <x v="1"/>
    <x v="0"/>
    <x v="0"/>
    <x v="0"/>
    <x v="3"/>
    <x v="7"/>
    <x v="2"/>
    <x v="1"/>
  </r>
  <r>
    <x v="381"/>
    <x v="14"/>
    <x v="8"/>
    <n v="103.6"/>
    <x v="363"/>
    <x v="16"/>
    <x v="13"/>
    <x v="3"/>
    <x v="0"/>
    <x v="1"/>
    <x v="0"/>
    <x v="3"/>
    <x v="3"/>
    <x v="2"/>
    <x v="3"/>
  </r>
  <r>
    <x v="382"/>
    <x v="6"/>
    <x v="1"/>
    <n v="90.9"/>
    <x v="364"/>
    <x v="16"/>
    <x v="13"/>
    <x v="1"/>
    <x v="1"/>
    <x v="0"/>
    <x v="0"/>
    <x v="6"/>
    <x v="3"/>
    <x v="2"/>
    <x v="1"/>
  </r>
  <r>
    <x v="383"/>
    <x v="9"/>
    <x v="27"/>
    <n v="100.9"/>
    <x v="365"/>
    <x v="16"/>
    <x v="13"/>
    <x v="2"/>
    <x v="1"/>
    <x v="0"/>
    <x v="0"/>
    <x v="6"/>
    <x v="3"/>
    <x v="2"/>
    <x v="2"/>
  </r>
  <r>
    <x v="384"/>
    <x v="4"/>
    <x v="9"/>
    <n v="36"/>
    <x v="366"/>
    <x v="16"/>
    <x v="18"/>
    <x v="2"/>
    <x v="1"/>
    <x v="0"/>
    <x v="0"/>
    <x v="7"/>
    <x v="1"/>
    <x v="2"/>
    <x v="2"/>
  </r>
  <r>
    <x v="385"/>
    <x v="6"/>
    <x v="13"/>
    <n v="83.3"/>
    <x v="367"/>
    <x v="16"/>
    <x v="21"/>
    <x v="0"/>
    <x v="2"/>
    <x v="0"/>
    <x v="0"/>
    <x v="7"/>
    <x v="2"/>
    <x v="2"/>
    <x v="0"/>
  </r>
  <r>
    <x v="386"/>
    <x v="2"/>
    <x v="14"/>
    <n v="60.3"/>
    <x v="368"/>
    <x v="16"/>
    <x v="13"/>
    <x v="1"/>
    <x v="2"/>
    <x v="1"/>
    <x v="0"/>
    <x v="7"/>
    <x v="3"/>
    <x v="2"/>
    <x v="1"/>
  </r>
  <r>
    <x v="387"/>
    <x v="2"/>
    <x v="13"/>
    <n v="120.3"/>
    <x v="369"/>
    <x v="16"/>
    <x v="13"/>
    <x v="1"/>
    <x v="2"/>
    <x v="0"/>
    <x v="0"/>
    <x v="8"/>
    <x v="3"/>
    <x v="2"/>
    <x v="1"/>
  </r>
  <r>
    <x v="388"/>
    <x v="4"/>
    <x v="7"/>
    <n v="34"/>
    <x v="370"/>
    <x v="16"/>
    <x v="20"/>
    <x v="2"/>
    <x v="2"/>
    <x v="0"/>
    <x v="0"/>
    <x v="8"/>
    <x v="5"/>
    <x v="2"/>
    <x v="2"/>
  </r>
  <r>
    <x v="389"/>
    <x v="10"/>
    <x v="9"/>
    <n v="42.6"/>
    <x v="226"/>
    <x v="16"/>
    <x v="21"/>
    <x v="1"/>
    <x v="1"/>
    <x v="0"/>
    <x v="0"/>
    <x v="8"/>
    <x v="2"/>
    <x v="2"/>
    <x v="1"/>
  </r>
  <r>
    <x v="390"/>
    <x v="5"/>
    <x v="28"/>
    <n v="47.4"/>
    <x v="371"/>
    <x v="16"/>
    <x v="10"/>
    <x v="2"/>
    <x v="2"/>
    <x v="1"/>
    <x v="0"/>
    <x v="17"/>
    <x v="7"/>
    <x v="2"/>
    <x v="2"/>
  </r>
  <r>
    <x v="391"/>
    <x v="2"/>
    <x v="0"/>
    <n v="74"/>
    <x v="372"/>
    <x v="17"/>
    <x v="18"/>
    <x v="1"/>
    <x v="1"/>
    <x v="0"/>
    <x v="0"/>
    <x v="11"/>
    <x v="3"/>
    <x v="2"/>
    <x v="1"/>
  </r>
  <r>
    <x v="392"/>
    <x v="2"/>
    <x v="9"/>
    <n v="60.4"/>
    <x v="373"/>
    <x v="17"/>
    <x v="20"/>
    <x v="2"/>
    <x v="1"/>
    <x v="4"/>
    <x v="0"/>
    <x v="18"/>
    <x v="2"/>
    <x v="2"/>
    <x v="2"/>
  </r>
  <r>
    <x v="393"/>
    <x v="12"/>
    <x v="1"/>
    <n v="69.3"/>
    <x v="374"/>
    <x v="17"/>
    <x v="20"/>
    <x v="1"/>
    <x v="1"/>
    <x v="1"/>
    <x v="0"/>
    <x v="13"/>
    <x v="2"/>
    <x v="2"/>
    <x v="1"/>
  </r>
  <r>
    <x v="394"/>
    <x v="5"/>
    <x v="9"/>
    <n v="81"/>
    <x v="375"/>
    <x v="17"/>
    <x v="25"/>
    <x v="1"/>
    <x v="3"/>
    <x v="0"/>
    <x v="0"/>
    <x v="21"/>
    <x v="4"/>
    <x v="2"/>
    <x v="1"/>
  </r>
  <r>
    <x v="395"/>
    <x v="15"/>
    <x v="2"/>
    <n v="41.5"/>
    <x v="376"/>
    <x v="17"/>
    <x v="21"/>
    <x v="3"/>
    <x v="1"/>
    <x v="0"/>
    <x v="0"/>
    <x v="21"/>
    <x v="1"/>
    <x v="2"/>
    <x v="3"/>
  </r>
  <r>
    <x v="396"/>
    <x v="18"/>
    <x v="1"/>
    <n v="69.7"/>
    <x v="377"/>
    <x v="17"/>
    <x v="23"/>
    <x v="1"/>
    <x v="1"/>
    <x v="0"/>
    <x v="0"/>
    <x v="21"/>
    <x v="0"/>
    <x v="2"/>
    <x v="1"/>
  </r>
  <r>
    <x v="397"/>
    <x v="2"/>
    <x v="9"/>
    <n v="83.6"/>
    <x v="378"/>
    <x v="17"/>
    <x v="13"/>
    <x v="2"/>
    <x v="4"/>
    <x v="0"/>
    <x v="0"/>
    <x v="1"/>
    <x v="7"/>
    <x v="2"/>
    <x v="2"/>
  </r>
  <r>
    <x v="398"/>
    <x v="8"/>
    <x v="3"/>
    <n v="21.5"/>
    <x v="379"/>
    <x v="17"/>
    <x v="21"/>
    <x v="1"/>
    <x v="1"/>
    <x v="4"/>
    <x v="0"/>
    <x v="34"/>
    <x v="1"/>
    <x v="2"/>
    <x v="1"/>
  </r>
  <r>
    <x v="399"/>
    <x v="8"/>
    <x v="8"/>
    <n v="28.6"/>
    <x v="27"/>
    <x v="17"/>
    <x v="18"/>
    <x v="1"/>
    <x v="0"/>
    <x v="0"/>
    <x v="0"/>
    <x v="3"/>
    <x v="3"/>
    <x v="2"/>
    <x v="1"/>
  </r>
  <r>
    <x v="400"/>
    <x v="8"/>
    <x v="13"/>
    <n v="18.8"/>
    <x v="380"/>
    <x v="17"/>
    <x v="20"/>
    <x v="1"/>
    <x v="3"/>
    <x v="2"/>
    <x v="0"/>
    <x v="3"/>
    <x v="2"/>
    <x v="2"/>
    <x v="1"/>
  </r>
  <r>
    <x v="401"/>
    <x v="10"/>
    <x v="12"/>
    <n v="35.1"/>
    <x v="381"/>
    <x v="17"/>
    <x v="13"/>
    <x v="2"/>
    <x v="1"/>
    <x v="1"/>
    <x v="0"/>
    <x v="3"/>
    <x v="7"/>
    <x v="2"/>
    <x v="2"/>
  </r>
  <r>
    <x v="402"/>
    <x v="0"/>
    <x v="1"/>
    <n v="12.7"/>
    <x v="382"/>
    <x v="17"/>
    <x v="21"/>
    <x v="2"/>
    <x v="1"/>
    <x v="2"/>
    <x v="0"/>
    <x v="3"/>
    <x v="1"/>
    <x v="2"/>
    <x v="2"/>
  </r>
  <r>
    <x v="403"/>
    <x v="8"/>
    <x v="9"/>
    <n v="27.4"/>
    <x v="383"/>
    <x v="17"/>
    <x v="21"/>
    <x v="3"/>
    <x v="0"/>
    <x v="0"/>
    <x v="0"/>
    <x v="3"/>
    <x v="1"/>
    <x v="2"/>
    <x v="3"/>
  </r>
  <r>
    <x v="404"/>
    <x v="10"/>
    <x v="1"/>
    <n v="61.3"/>
    <x v="384"/>
    <x v="17"/>
    <x v="18"/>
    <x v="2"/>
    <x v="1"/>
    <x v="0"/>
    <x v="0"/>
    <x v="6"/>
    <x v="3"/>
    <x v="2"/>
    <x v="2"/>
  </r>
  <r>
    <x v="405"/>
    <x v="8"/>
    <x v="1"/>
    <n v="64.7"/>
    <x v="385"/>
    <x v="17"/>
    <x v="21"/>
    <x v="2"/>
    <x v="3"/>
    <x v="2"/>
    <x v="0"/>
    <x v="6"/>
    <x v="1"/>
    <x v="2"/>
    <x v="2"/>
  </r>
  <r>
    <x v="406"/>
    <x v="7"/>
    <x v="12"/>
    <n v="91.4"/>
    <x v="386"/>
    <x v="17"/>
    <x v="21"/>
    <x v="2"/>
    <x v="0"/>
    <x v="0"/>
    <x v="0"/>
    <x v="8"/>
    <x v="1"/>
    <x v="2"/>
    <x v="2"/>
  </r>
  <r>
    <x v="407"/>
    <x v="0"/>
    <x v="1"/>
    <n v="33.1"/>
    <x v="387"/>
    <x v="18"/>
    <x v="21"/>
    <x v="1"/>
    <x v="0"/>
    <x v="2"/>
    <x v="0"/>
    <x v="8"/>
    <x v="3"/>
    <x v="3"/>
    <x v="1"/>
  </r>
  <r>
    <x v="408"/>
    <x v="3"/>
    <x v="1"/>
    <n v="105.6"/>
    <x v="23"/>
    <x v="18"/>
    <x v="21"/>
    <x v="1"/>
    <x v="2"/>
    <x v="1"/>
    <x v="0"/>
    <x v="8"/>
    <x v="3"/>
    <x v="3"/>
    <x v="1"/>
  </r>
  <r>
    <x v="409"/>
    <x v="10"/>
    <x v="2"/>
    <n v="46.4"/>
    <x v="388"/>
    <x v="18"/>
    <x v="21"/>
    <x v="1"/>
    <x v="2"/>
    <x v="0"/>
    <x v="0"/>
    <x v="9"/>
    <x v="3"/>
    <x v="3"/>
    <x v="1"/>
  </r>
  <r>
    <x v="410"/>
    <x v="9"/>
    <x v="21"/>
    <n v="35.299999999999997"/>
    <x v="389"/>
    <x v="18"/>
    <x v="24"/>
    <x v="2"/>
    <x v="4"/>
    <x v="1"/>
    <x v="0"/>
    <x v="11"/>
    <x v="2"/>
    <x v="3"/>
    <x v="2"/>
  </r>
  <r>
    <x v="411"/>
    <x v="0"/>
    <x v="1"/>
    <n v="16.100000000000001"/>
    <x v="390"/>
    <x v="18"/>
    <x v="20"/>
    <x v="1"/>
    <x v="3"/>
    <x v="2"/>
    <x v="0"/>
    <x v="32"/>
    <x v="1"/>
    <x v="3"/>
    <x v="1"/>
  </r>
  <r>
    <x v="412"/>
    <x v="4"/>
    <x v="1"/>
    <n v="27.9"/>
    <x v="391"/>
    <x v="18"/>
    <x v="24"/>
    <x v="1"/>
    <x v="0"/>
    <x v="0"/>
    <x v="0"/>
    <x v="13"/>
    <x v="2"/>
    <x v="3"/>
    <x v="1"/>
  </r>
  <r>
    <x v="413"/>
    <x v="8"/>
    <x v="0"/>
    <n v="47.1"/>
    <x v="392"/>
    <x v="18"/>
    <x v="22"/>
    <x v="2"/>
    <x v="1"/>
    <x v="0"/>
    <x v="0"/>
    <x v="2"/>
    <x v="9"/>
    <x v="3"/>
    <x v="2"/>
  </r>
  <r>
    <x v="414"/>
    <x v="6"/>
    <x v="1"/>
    <n v="85"/>
    <x v="393"/>
    <x v="18"/>
    <x v="24"/>
    <x v="0"/>
    <x v="2"/>
    <x v="2"/>
    <x v="0"/>
    <x v="22"/>
    <x v="2"/>
    <x v="3"/>
    <x v="0"/>
  </r>
  <r>
    <x v="415"/>
    <x v="18"/>
    <x v="1"/>
    <n v="89"/>
    <x v="394"/>
    <x v="18"/>
    <x v="20"/>
    <x v="2"/>
    <x v="0"/>
    <x v="0"/>
    <x v="0"/>
    <x v="3"/>
    <x v="1"/>
    <x v="3"/>
    <x v="2"/>
  </r>
  <r>
    <x v="416"/>
    <x v="16"/>
    <x v="2"/>
    <n v="36.6"/>
    <x v="17"/>
    <x v="18"/>
    <x v="21"/>
    <x v="3"/>
    <x v="3"/>
    <x v="2"/>
    <x v="0"/>
    <x v="3"/>
    <x v="3"/>
    <x v="3"/>
    <x v="3"/>
  </r>
  <r>
    <x v="417"/>
    <x v="6"/>
    <x v="3"/>
    <n v="43.5"/>
    <x v="395"/>
    <x v="18"/>
    <x v="21"/>
    <x v="1"/>
    <x v="1"/>
    <x v="2"/>
    <x v="0"/>
    <x v="3"/>
    <x v="3"/>
    <x v="3"/>
    <x v="1"/>
  </r>
  <r>
    <x v="418"/>
    <x v="9"/>
    <x v="10"/>
    <n v="30.5"/>
    <x v="396"/>
    <x v="18"/>
    <x v="18"/>
    <x v="2"/>
    <x v="3"/>
    <x v="0"/>
    <x v="0"/>
    <x v="3"/>
    <x v="7"/>
    <x v="3"/>
    <x v="2"/>
  </r>
  <r>
    <x v="419"/>
    <x v="1"/>
    <x v="1"/>
    <n v="107.7"/>
    <x v="397"/>
    <x v="18"/>
    <x v="23"/>
    <x v="1"/>
    <x v="3"/>
    <x v="4"/>
    <x v="0"/>
    <x v="3"/>
    <x v="5"/>
    <x v="3"/>
    <x v="1"/>
  </r>
  <r>
    <x v="420"/>
    <x v="17"/>
    <x v="18"/>
    <n v="57.1"/>
    <x v="398"/>
    <x v="18"/>
    <x v="21"/>
    <x v="1"/>
    <x v="1"/>
    <x v="0"/>
    <x v="0"/>
    <x v="3"/>
    <x v="3"/>
    <x v="3"/>
    <x v="1"/>
  </r>
  <r>
    <x v="421"/>
    <x v="2"/>
    <x v="7"/>
    <n v="111.7"/>
    <x v="399"/>
    <x v="18"/>
    <x v="21"/>
    <x v="2"/>
    <x v="4"/>
    <x v="2"/>
    <x v="0"/>
    <x v="3"/>
    <x v="3"/>
    <x v="3"/>
    <x v="2"/>
  </r>
  <r>
    <x v="422"/>
    <x v="18"/>
    <x v="3"/>
    <n v="44.3"/>
    <x v="400"/>
    <x v="18"/>
    <x v="24"/>
    <x v="1"/>
    <x v="3"/>
    <x v="2"/>
    <x v="0"/>
    <x v="3"/>
    <x v="2"/>
    <x v="3"/>
    <x v="1"/>
  </r>
  <r>
    <x v="423"/>
    <x v="2"/>
    <x v="8"/>
    <n v="95.8"/>
    <x v="401"/>
    <x v="18"/>
    <x v="17"/>
    <x v="3"/>
    <x v="0"/>
    <x v="0"/>
    <x v="0"/>
    <x v="3"/>
    <x v="4"/>
    <x v="3"/>
    <x v="3"/>
  </r>
  <r>
    <x v="424"/>
    <x v="10"/>
    <x v="3"/>
    <n v="22.6"/>
    <x v="402"/>
    <x v="18"/>
    <x v="24"/>
    <x v="2"/>
    <x v="3"/>
    <x v="1"/>
    <x v="0"/>
    <x v="3"/>
    <x v="2"/>
    <x v="3"/>
    <x v="2"/>
  </r>
  <r>
    <x v="425"/>
    <x v="8"/>
    <x v="8"/>
    <n v="25.6"/>
    <x v="403"/>
    <x v="18"/>
    <x v="20"/>
    <x v="2"/>
    <x v="4"/>
    <x v="0"/>
    <x v="0"/>
    <x v="3"/>
    <x v="1"/>
    <x v="3"/>
    <x v="2"/>
  </r>
  <r>
    <x v="426"/>
    <x v="6"/>
    <x v="27"/>
    <n v="54.3"/>
    <x v="404"/>
    <x v="18"/>
    <x v="24"/>
    <x v="2"/>
    <x v="4"/>
    <x v="0"/>
    <x v="0"/>
    <x v="3"/>
    <x v="2"/>
    <x v="3"/>
    <x v="2"/>
  </r>
  <r>
    <x v="427"/>
    <x v="18"/>
    <x v="15"/>
    <n v="51.3"/>
    <x v="405"/>
    <x v="18"/>
    <x v="20"/>
    <x v="1"/>
    <x v="0"/>
    <x v="2"/>
    <x v="0"/>
    <x v="3"/>
    <x v="1"/>
    <x v="3"/>
    <x v="1"/>
  </r>
  <r>
    <x v="428"/>
    <x v="0"/>
    <x v="8"/>
    <n v="25.6"/>
    <x v="403"/>
    <x v="18"/>
    <x v="21"/>
    <x v="2"/>
    <x v="1"/>
    <x v="1"/>
    <x v="0"/>
    <x v="3"/>
    <x v="3"/>
    <x v="3"/>
    <x v="2"/>
  </r>
  <r>
    <x v="429"/>
    <x v="0"/>
    <x v="1"/>
    <n v="15.6"/>
    <x v="406"/>
    <x v="18"/>
    <x v="21"/>
    <x v="2"/>
    <x v="2"/>
    <x v="2"/>
    <x v="0"/>
    <x v="3"/>
    <x v="3"/>
    <x v="3"/>
    <x v="2"/>
  </r>
  <r>
    <x v="430"/>
    <x v="8"/>
    <x v="2"/>
    <n v="30.3"/>
    <x v="407"/>
    <x v="18"/>
    <x v="23"/>
    <x v="2"/>
    <x v="0"/>
    <x v="1"/>
    <x v="0"/>
    <x v="3"/>
    <x v="5"/>
    <x v="3"/>
    <x v="2"/>
  </r>
  <r>
    <x v="431"/>
    <x v="12"/>
    <x v="1"/>
    <n v="30.3"/>
    <x v="408"/>
    <x v="18"/>
    <x v="25"/>
    <x v="2"/>
    <x v="0"/>
    <x v="2"/>
    <x v="0"/>
    <x v="37"/>
    <x v="0"/>
    <x v="3"/>
    <x v="2"/>
  </r>
  <r>
    <x v="432"/>
    <x v="10"/>
    <x v="2"/>
    <n v="53"/>
    <x v="409"/>
    <x v="18"/>
    <x v="19"/>
    <x v="2"/>
    <x v="2"/>
    <x v="0"/>
    <x v="0"/>
    <x v="24"/>
    <x v="6"/>
    <x v="3"/>
    <x v="2"/>
  </r>
  <r>
    <x v="433"/>
    <x v="5"/>
    <x v="16"/>
    <n v="59.9"/>
    <x v="410"/>
    <x v="18"/>
    <x v="24"/>
    <x v="1"/>
    <x v="2"/>
    <x v="4"/>
    <x v="0"/>
    <x v="25"/>
    <x v="2"/>
    <x v="3"/>
    <x v="1"/>
  </r>
  <r>
    <x v="434"/>
    <x v="9"/>
    <x v="1"/>
    <n v="45.7"/>
    <x v="411"/>
    <x v="18"/>
    <x v="21"/>
    <x v="2"/>
    <x v="1"/>
    <x v="2"/>
    <x v="0"/>
    <x v="6"/>
    <x v="3"/>
    <x v="3"/>
    <x v="2"/>
  </r>
  <r>
    <x v="435"/>
    <x v="8"/>
    <x v="12"/>
    <n v="46.1"/>
    <x v="412"/>
    <x v="18"/>
    <x v="21"/>
    <x v="1"/>
    <x v="0"/>
    <x v="0"/>
    <x v="0"/>
    <x v="6"/>
    <x v="3"/>
    <x v="3"/>
    <x v="1"/>
  </r>
  <r>
    <x v="436"/>
    <x v="8"/>
    <x v="2"/>
    <n v="17.5"/>
    <x v="413"/>
    <x v="18"/>
    <x v="21"/>
    <x v="2"/>
    <x v="0"/>
    <x v="2"/>
    <x v="0"/>
    <x v="8"/>
    <x v="3"/>
    <x v="3"/>
    <x v="2"/>
  </r>
  <r>
    <x v="437"/>
    <x v="10"/>
    <x v="2"/>
    <n v="36.5"/>
    <x v="414"/>
    <x v="18"/>
    <x v="26"/>
    <x v="1"/>
    <x v="2"/>
    <x v="0"/>
    <x v="0"/>
    <x v="8"/>
    <x v="11"/>
    <x v="3"/>
    <x v="1"/>
  </r>
  <r>
    <x v="438"/>
    <x v="8"/>
    <x v="1"/>
    <n v="47.5"/>
    <x v="415"/>
    <x v="19"/>
    <x v="24"/>
    <x v="2"/>
    <x v="1"/>
    <x v="0"/>
    <x v="0"/>
    <x v="8"/>
    <x v="1"/>
    <x v="3"/>
    <x v="2"/>
  </r>
  <r>
    <x v="439"/>
    <x v="6"/>
    <x v="9"/>
    <n v="45.6"/>
    <x v="416"/>
    <x v="19"/>
    <x v="24"/>
    <x v="2"/>
    <x v="0"/>
    <x v="2"/>
    <x v="0"/>
    <x v="8"/>
    <x v="1"/>
    <x v="3"/>
    <x v="2"/>
  </r>
  <r>
    <x v="440"/>
    <x v="9"/>
    <x v="1"/>
    <n v="50.5"/>
    <x v="95"/>
    <x v="19"/>
    <x v="24"/>
    <x v="1"/>
    <x v="0"/>
    <x v="1"/>
    <x v="0"/>
    <x v="17"/>
    <x v="1"/>
    <x v="3"/>
    <x v="1"/>
  </r>
  <r>
    <x v="441"/>
    <x v="2"/>
    <x v="7"/>
    <n v="99.8"/>
    <x v="417"/>
    <x v="19"/>
    <x v="23"/>
    <x v="2"/>
    <x v="2"/>
    <x v="1"/>
    <x v="0"/>
    <x v="17"/>
    <x v="2"/>
    <x v="3"/>
    <x v="2"/>
  </r>
  <r>
    <x v="442"/>
    <x v="8"/>
    <x v="20"/>
    <n v="19.2"/>
    <x v="346"/>
    <x v="19"/>
    <x v="24"/>
    <x v="3"/>
    <x v="4"/>
    <x v="1"/>
    <x v="0"/>
    <x v="26"/>
    <x v="1"/>
    <x v="3"/>
    <x v="3"/>
  </r>
  <r>
    <x v="443"/>
    <x v="17"/>
    <x v="2"/>
    <n v="22.6"/>
    <x v="418"/>
    <x v="19"/>
    <x v="20"/>
    <x v="1"/>
    <x v="1"/>
    <x v="0"/>
    <x v="0"/>
    <x v="11"/>
    <x v="3"/>
    <x v="3"/>
    <x v="1"/>
  </r>
  <r>
    <x v="444"/>
    <x v="1"/>
    <x v="20"/>
    <n v="126.9"/>
    <x v="419"/>
    <x v="19"/>
    <x v="24"/>
    <x v="2"/>
    <x v="0"/>
    <x v="2"/>
    <x v="0"/>
    <x v="11"/>
    <x v="1"/>
    <x v="3"/>
    <x v="2"/>
  </r>
  <r>
    <x v="445"/>
    <x v="2"/>
    <x v="1"/>
    <n v="100.3"/>
    <x v="420"/>
    <x v="19"/>
    <x v="20"/>
    <x v="2"/>
    <x v="0"/>
    <x v="1"/>
    <x v="0"/>
    <x v="11"/>
    <x v="3"/>
    <x v="3"/>
    <x v="2"/>
  </r>
  <r>
    <x v="446"/>
    <x v="4"/>
    <x v="16"/>
    <n v="24.6"/>
    <x v="421"/>
    <x v="19"/>
    <x v="20"/>
    <x v="2"/>
    <x v="4"/>
    <x v="0"/>
    <x v="0"/>
    <x v="13"/>
    <x v="3"/>
    <x v="3"/>
    <x v="2"/>
  </r>
  <r>
    <x v="447"/>
    <x v="6"/>
    <x v="1"/>
    <n v="47.3"/>
    <x v="422"/>
    <x v="19"/>
    <x v="20"/>
    <x v="1"/>
    <x v="1"/>
    <x v="2"/>
    <x v="0"/>
    <x v="13"/>
    <x v="3"/>
    <x v="3"/>
    <x v="1"/>
  </r>
  <r>
    <x v="448"/>
    <x v="6"/>
    <x v="3"/>
    <n v="40.799999999999997"/>
    <x v="423"/>
    <x v="19"/>
    <x v="23"/>
    <x v="2"/>
    <x v="2"/>
    <x v="2"/>
    <x v="0"/>
    <x v="21"/>
    <x v="2"/>
    <x v="3"/>
    <x v="2"/>
  </r>
  <r>
    <x v="449"/>
    <x v="8"/>
    <x v="8"/>
    <n v="49.2"/>
    <x v="424"/>
    <x v="19"/>
    <x v="24"/>
    <x v="2"/>
    <x v="0"/>
    <x v="0"/>
    <x v="0"/>
    <x v="1"/>
    <x v="1"/>
    <x v="3"/>
    <x v="2"/>
  </r>
  <r>
    <x v="450"/>
    <x v="8"/>
    <x v="0"/>
    <n v="28.5"/>
    <x v="425"/>
    <x v="19"/>
    <x v="24"/>
    <x v="0"/>
    <x v="2"/>
    <x v="1"/>
    <x v="0"/>
    <x v="3"/>
    <x v="1"/>
    <x v="3"/>
    <x v="0"/>
  </r>
  <r>
    <x v="451"/>
    <x v="18"/>
    <x v="1"/>
    <n v="36.799999999999997"/>
    <x v="426"/>
    <x v="19"/>
    <x v="19"/>
    <x v="2"/>
    <x v="0"/>
    <x v="2"/>
    <x v="0"/>
    <x v="3"/>
    <x v="4"/>
    <x v="3"/>
    <x v="2"/>
  </r>
  <r>
    <x v="452"/>
    <x v="7"/>
    <x v="2"/>
    <n v="33.5"/>
    <x v="427"/>
    <x v="19"/>
    <x v="20"/>
    <x v="2"/>
    <x v="0"/>
    <x v="1"/>
    <x v="0"/>
    <x v="3"/>
    <x v="3"/>
    <x v="3"/>
    <x v="2"/>
  </r>
  <r>
    <x v="453"/>
    <x v="6"/>
    <x v="13"/>
    <n v="62.5"/>
    <x v="428"/>
    <x v="19"/>
    <x v="24"/>
    <x v="2"/>
    <x v="0"/>
    <x v="0"/>
    <x v="0"/>
    <x v="3"/>
    <x v="1"/>
    <x v="3"/>
    <x v="2"/>
  </r>
  <r>
    <x v="454"/>
    <x v="8"/>
    <x v="29"/>
    <n v="47.9"/>
    <x v="429"/>
    <x v="19"/>
    <x v="20"/>
    <x v="2"/>
    <x v="3"/>
    <x v="0"/>
    <x v="0"/>
    <x v="3"/>
    <x v="3"/>
    <x v="3"/>
    <x v="2"/>
  </r>
  <r>
    <x v="455"/>
    <x v="6"/>
    <x v="13"/>
    <n v="92.9"/>
    <x v="430"/>
    <x v="19"/>
    <x v="27"/>
    <x v="2"/>
    <x v="0"/>
    <x v="4"/>
    <x v="0"/>
    <x v="3"/>
    <x v="11"/>
    <x v="3"/>
    <x v="2"/>
  </r>
  <r>
    <x v="456"/>
    <x v="12"/>
    <x v="2"/>
    <n v="44.1"/>
    <x v="431"/>
    <x v="19"/>
    <x v="21"/>
    <x v="2"/>
    <x v="1"/>
    <x v="1"/>
    <x v="0"/>
    <x v="43"/>
    <x v="7"/>
    <x v="3"/>
    <x v="2"/>
  </r>
  <r>
    <x v="457"/>
    <x v="0"/>
    <x v="0"/>
    <n v="11.4"/>
    <x v="432"/>
    <x v="20"/>
    <x v="23"/>
    <x v="2"/>
    <x v="2"/>
    <x v="0"/>
    <x v="0"/>
    <x v="5"/>
    <x v="1"/>
    <x v="3"/>
    <x v="2"/>
  </r>
  <r>
    <x v="458"/>
    <x v="6"/>
    <x v="0"/>
    <n v="83.7"/>
    <x v="433"/>
    <x v="20"/>
    <x v="23"/>
    <x v="2"/>
    <x v="0"/>
    <x v="2"/>
    <x v="0"/>
    <x v="6"/>
    <x v="1"/>
    <x v="3"/>
    <x v="2"/>
  </r>
  <r>
    <x v="459"/>
    <x v="10"/>
    <x v="1"/>
    <n v="23.2"/>
    <x v="434"/>
    <x v="20"/>
    <x v="24"/>
    <x v="1"/>
    <x v="2"/>
    <x v="0"/>
    <x v="0"/>
    <x v="8"/>
    <x v="3"/>
    <x v="3"/>
    <x v="1"/>
  </r>
  <r>
    <x v="460"/>
    <x v="2"/>
    <x v="0"/>
    <n v="162.1"/>
    <x v="435"/>
    <x v="20"/>
    <x v="25"/>
    <x v="2"/>
    <x v="0"/>
    <x v="2"/>
    <x v="0"/>
    <x v="9"/>
    <x v="2"/>
    <x v="3"/>
    <x v="2"/>
  </r>
  <r>
    <x v="461"/>
    <x v="6"/>
    <x v="12"/>
    <n v="49.2"/>
    <x v="436"/>
    <x v="20"/>
    <x v="17"/>
    <x v="1"/>
    <x v="1"/>
    <x v="0"/>
    <x v="0"/>
    <x v="9"/>
    <x v="5"/>
    <x v="3"/>
    <x v="1"/>
  </r>
  <r>
    <x v="462"/>
    <x v="1"/>
    <x v="1"/>
    <n v="61"/>
    <x v="164"/>
    <x v="20"/>
    <x v="24"/>
    <x v="1"/>
    <x v="3"/>
    <x v="0"/>
    <x v="0"/>
    <x v="10"/>
    <x v="3"/>
    <x v="3"/>
    <x v="1"/>
  </r>
  <r>
    <x v="463"/>
    <x v="2"/>
    <x v="7"/>
    <n v="53.1"/>
    <x v="437"/>
    <x v="20"/>
    <x v="23"/>
    <x v="1"/>
    <x v="0"/>
    <x v="0"/>
    <x v="0"/>
    <x v="11"/>
    <x v="1"/>
    <x v="3"/>
    <x v="1"/>
  </r>
  <r>
    <x v="464"/>
    <x v="4"/>
    <x v="1"/>
    <n v="22.4"/>
    <x v="438"/>
    <x v="20"/>
    <x v="23"/>
    <x v="0"/>
    <x v="1"/>
    <x v="2"/>
    <x v="0"/>
    <x v="13"/>
    <x v="1"/>
    <x v="3"/>
    <x v="0"/>
  </r>
  <r>
    <x v="465"/>
    <x v="1"/>
    <x v="9"/>
    <n v="75.3"/>
    <x v="439"/>
    <x v="20"/>
    <x v="24"/>
    <x v="1"/>
    <x v="0"/>
    <x v="0"/>
    <x v="0"/>
    <x v="21"/>
    <x v="3"/>
    <x v="3"/>
    <x v="1"/>
  </r>
  <r>
    <x v="466"/>
    <x v="6"/>
    <x v="0"/>
    <n v="48.5"/>
    <x v="319"/>
    <x v="20"/>
    <x v="24"/>
    <x v="2"/>
    <x v="0"/>
    <x v="1"/>
    <x v="0"/>
    <x v="21"/>
    <x v="3"/>
    <x v="3"/>
    <x v="2"/>
  </r>
  <r>
    <x v="467"/>
    <x v="6"/>
    <x v="0"/>
    <n v="42.6"/>
    <x v="440"/>
    <x v="20"/>
    <x v="17"/>
    <x v="2"/>
    <x v="3"/>
    <x v="0"/>
    <x v="0"/>
    <x v="1"/>
    <x v="5"/>
    <x v="3"/>
    <x v="2"/>
  </r>
  <r>
    <x v="468"/>
    <x v="5"/>
    <x v="9"/>
    <n v="49"/>
    <x v="441"/>
    <x v="20"/>
    <x v="24"/>
    <x v="1"/>
    <x v="0"/>
    <x v="0"/>
    <x v="0"/>
    <x v="22"/>
    <x v="3"/>
    <x v="3"/>
    <x v="1"/>
  </r>
  <r>
    <x v="469"/>
    <x v="8"/>
    <x v="2"/>
    <n v="31.3"/>
    <x v="442"/>
    <x v="20"/>
    <x v="24"/>
    <x v="1"/>
    <x v="2"/>
    <x v="1"/>
    <x v="0"/>
    <x v="3"/>
    <x v="3"/>
    <x v="3"/>
    <x v="1"/>
  </r>
  <r>
    <x v="470"/>
    <x v="2"/>
    <x v="1"/>
    <n v="85.4"/>
    <x v="443"/>
    <x v="20"/>
    <x v="24"/>
    <x v="2"/>
    <x v="2"/>
    <x v="0"/>
    <x v="0"/>
    <x v="3"/>
    <x v="3"/>
    <x v="3"/>
    <x v="2"/>
  </r>
  <r>
    <x v="471"/>
    <x v="8"/>
    <x v="12"/>
    <n v="40"/>
    <x v="444"/>
    <x v="20"/>
    <x v="24"/>
    <x v="3"/>
    <x v="0"/>
    <x v="2"/>
    <x v="0"/>
    <x v="3"/>
    <x v="3"/>
    <x v="3"/>
    <x v="3"/>
  </r>
  <r>
    <x v="472"/>
    <x v="5"/>
    <x v="1"/>
    <n v="38.5"/>
    <x v="445"/>
    <x v="20"/>
    <x v="25"/>
    <x v="1"/>
    <x v="1"/>
    <x v="2"/>
    <x v="0"/>
    <x v="3"/>
    <x v="2"/>
    <x v="3"/>
    <x v="1"/>
  </r>
  <r>
    <x v="473"/>
    <x v="2"/>
    <x v="1"/>
    <n v="57.8"/>
    <x v="446"/>
    <x v="20"/>
    <x v="24"/>
    <x v="0"/>
    <x v="0"/>
    <x v="0"/>
    <x v="0"/>
    <x v="3"/>
    <x v="3"/>
    <x v="3"/>
    <x v="0"/>
  </r>
  <r>
    <x v="474"/>
    <x v="8"/>
    <x v="0"/>
    <n v="19.2"/>
    <x v="447"/>
    <x v="20"/>
    <x v="24"/>
    <x v="2"/>
    <x v="0"/>
    <x v="4"/>
    <x v="0"/>
    <x v="3"/>
    <x v="3"/>
    <x v="3"/>
    <x v="2"/>
  </r>
  <r>
    <x v="475"/>
    <x v="6"/>
    <x v="13"/>
    <n v="114.8"/>
    <x v="448"/>
    <x v="20"/>
    <x v="25"/>
    <x v="1"/>
    <x v="1"/>
    <x v="1"/>
    <x v="0"/>
    <x v="3"/>
    <x v="2"/>
    <x v="3"/>
    <x v="1"/>
  </r>
  <r>
    <x v="476"/>
    <x v="10"/>
    <x v="3"/>
    <n v="48.4"/>
    <x v="449"/>
    <x v="20"/>
    <x v="25"/>
    <x v="2"/>
    <x v="3"/>
    <x v="1"/>
    <x v="0"/>
    <x v="3"/>
    <x v="2"/>
    <x v="3"/>
    <x v="2"/>
  </r>
  <r>
    <x v="477"/>
    <x v="9"/>
    <x v="9"/>
    <n v="73.2"/>
    <x v="450"/>
    <x v="20"/>
    <x v="24"/>
    <x v="2"/>
    <x v="1"/>
    <x v="4"/>
    <x v="0"/>
    <x v="3"/>
    <x v="3"/>
    <x v="3"/>
    <x v="2"/>
  </r>
  <r>
    <x v="478"/>
    <x v="15"/>
    <x v="1"/>
    <n v="48.6"/>
    <x v="451"/>
    <x v="20"/>
    <x v="17"/>
    <x v="2"/>
    <x v="3"/>
    <x v="0"/>
    <x v="0"/>
    <x v="3"/>
    <x v="5"/>
    <x v="3"/>
    <x v="2"/>
  </r>
  <r>
    <x v="479"/>
    <x v="0"/>
    <x v="13"/>
    <n v="48.7"/>
    <x v="452"/>
    <x v="20"/>
    <x v="24"/>
    <x v="1"/>
    <x v="0"/>
    <x v="0"/>
    <x v="0"/>
    <x v="3"/>
    <x v="3"/>
    <x v="3"/>
    <x v="1"/>
  </r>
  <r>
    <x v="480"/>
    <x v="4"/>
    <x v="1"/>
    <n v="32.200000000000003"/>
    <x v="453"/>
    <x v="20"/>
    <x v="25"/>
    <x v="1"/>
    <x v="2"/>
    <x v="2"/>
    <x v="0"/>
    <x v="3"/>
    <x v="2"/>
    <x v="3"/>
    <x v="1"/>
  </r>
  <r>
    <x v="481"/>
    <x v="15"/>
    <x v="8"/>
    <n v="25.8"/>
    <x v="454"/>
    <x v="20"/>
    <x v="24"/>
    <x v="1"/>
    <x v="0"/>
    <x v="0"/>
    <x v="0"/>
    <x v="37"/>
    <x v="3"/>
    <x v="3"/>
    <x v="1"/>
  </r>
  <r>
    <x v="482"/>
    <x v="6"/>
    <x v="1"/>
    <n v="94.8"/>
    <x v="455"/>
    <x v="21"/>
    <x v="17"/>
    <x v="2"/>
    <x v="1"/>
    <x v="1"/>
    <x v="0"/>
    <x v="25"/>
    <x v="2"/>
    <x v="3"/>
    <x v="2"/>
  </r>
  <r>
    <x v="483"/>
    <x v="15"/>
    <x v="30"/>
    <n v="56.8"/>
    <x v="456"/>
    <x v="21"/>
    <x v="17"/>
    <x v="1"/>
    <x v="0"/>
    <x v="0"/>
    <x v="0"/>
    <x v="25"/>
    <x v="2"/>
    <x v="3"/>
    <x v="1"/>
  </r>
  <r>
    <x v="484"/>
    <x v="8"/>
    <x v="27"/>
    <n v="18.3"/>
    <x v="457"/>
    <x v="21"/>
    <x v="28"/>
    <x v="2"/>
    <x v="2"/>
    <x v="2"/>
    <x v="0"/>
    <x v="23"/>
    <x v="6"/>
    <x v="3"/>
    <x v="2"/>
  </r>
  <r>
    <x v="485"/>
    <x v="0"/>
    <x v="2"/>
    <n v="16.8"/>
    <x v="458"/>
    <x v="21"/>
    <x v="22"/>
    <x v="2"/>
    <x v="2"/>
    <x v="2"/>
    <x v="0"/>
    <x v="8"/>
    <x v="0"/>
    <x v="3"/>
    <x v="2"/>
  </r>
  <r>
    <x v="486"/>
    <x v="5"/>
    <x v="5"/>
    <n v="35.799999999999997"/>
    <x v="459"/>
    <x v="21"/>
    <x v="23"/>
    <x v="1"/>
    <x v="1"/>
    <x v="0"/>
    <x v="0"/>
    <x v="17"/>
    <x v="3"/>
    <x v="3"/>
    <x v="1"/>
  </r>
  <r>
    <x v="487"/>
    <x v="18"/>
    <x v="0"/>
    <n v="64.900000000000006"/>
    <x v="460"/>
    <x v="21"/>
    <x v="23"/>
    <x v="1"/>
    <x v="0"/>
    <x v="1"/>
    <x v="0"/>
    <x v="17"/>
    <x v="3"/>
    <x v="3"/>
    <x v="1"/>
  </r>
  <r>
    <x v="488"/>
    <x v="18"/>
    <x v="0"/>
    <n v="28.5"/>
    <x v="425"/>
    <x v="21"/>
    <x v="25"/>
    <x v="0"/>
    <x v="1"/>
    <x v="0"/>
    <x v="0"/>
    <x v="9"/>
    <x v="1"/>
    <x v="3"/>
    <x v="0"/>
  </r>
  <r>
    <x v="489"/>
    <x v="18"/>
    <x v="1"/>
    <n v="103.5"/>
    <x v="461"/>
    <x v="21"/>
    <x v="25"/>
    <x v="2"/>
    <x v="1"/>
    <x v="0"/>
    <x v="0"/>
    <x v="10"/>
    <x v="1"/>
    <x v="3"/>
    <x v="2"/>
  </r>
  <r>
    <x v="490"/>
    <x v="4"/>
    <x v="1"/>
    <n v="41.2"/>
    <x v="462"/>
    <x v="21"/>
    <x v="23"/>
    <x v="2"/>
    <x v="1"/>
    <x v="0"/>
    <x v="0"/>
    <x v="10"/>
    <x v="3"/>
    <x v="3"/>
    <x v="2"/>
  </r>
  <r>
    <x v="491"/>
    <x v="9"/>
    <x v="0"/>
    <n v="37.799999999999997"/>
    <x v="463"/>
    <x v="21"/>
    <x v="25"/>
    <x v="2"/>
    <x v="3"/>
    <x v="3"/>
    <x v="0"/>
    <x v="11"/>
    <x v="1"/>
    <x v="3"/>
    <x v="2"/>
  </r>
  <r>
    <x v="492"/>
    <x v="8"/>
    <x v="1"/>
    <n v="42.6"/>
    <x v="464"/>
    <x v="21"/>
    <x v="25"/>
    <x v="2"/>
    <x v="4"/>
    <x v="0"/>
    <x v="0"/>
    <x v="11"/>
    <x v="1"/>
    <x v="3"/>
    <x v="2"/>
  </r>
  <r>
    <x v="493"/>
    <x v="8"/>
    <x v="7"/>
    <n v="15.2"/>
    <x v="465"/>
    <x v="21"/>
    <x v="25"/>
    <x v="2"/>
    <x v="2"/>
    <x v="0"/>
    <x v="0"/>
    <x v="11"/>
    <x v="1"/>
    <x v="3"/>
    <x v="2"/>
  </r>
  <r>
    <x v="494"/>
    <x v="7"/>
    <x v="12"/>
    <n v="83.4"/>
    <x v="335"/>
    <x v="21"/>
    <x v="23"/>
    <x v="2"/>
    <x v="2"/>
    <x v="1"/>
    <x v="0"/>
    <x v="18"/>
    <x v="3"/>
    <x v="3"/>
    <x v="2"/>
  </r>
  <r>
    <x v="495"/>
    <x v="19"/>
    <x v="1"/>
    <n v="27.7"/>
    <x v="466"/>
    <x v="21"/>
    <x v="23"/>
    <x v="2"/>
    <x v="0"/>
    <x v="1"/>
    <x v="0"/>
    <x v="13"/>
    <x v="3"/>
    <x v="3"/>
    <x v="2"/>
  </r>
  <r>
    <x v="496"/>
    <x v="10"/>
    <x v="4"/>
    <n v="20.8"/>
    <x v="467"/>
    <x v="21"/>
    <x v="23"/>
    <x v="1"/>
    <x v="3"/>
    <x v="0"/>
    <x v="0"/>
    <x v="13"/>
    <x v="3"/>
    <x v="3"/>
    <x v="1"/>
  </r>
  <r>
    <x v="497"/>
    <x v="11"/>
    <x v="1"/>
    <n v="72.7"/>
    <x v="468"/>
    <x v="21"/>
    <x v="19"/>
    <x v="2"/>
    <x v="4"/>
    <x v="2"/>
    <x v="0"/>
    <x v="44"/>
    <x v="5"/>
    <x v="3"/>
    <x v="2"/>
  </r>
  <r>
    <x v="498"/>
    <x v="10"/>
    <x v="12"/>
    <n v="38.6"/>
    <x v="55"/>
    <x v="21"/>
    <x v="23"/>
    <x v="1"/>
    <x v="0"/>
    <x v="2"/>
    <x v="0"/>
    <x v="22"/>
    <x v="3"/>
    <x v="3"/>
    <x v="1"/>
  </r>
  <r>
    <x v="499"/>
    <x v="8"/>
    <x v="3"/>
    <n v="33.1"/>
    <x v="217"/>
    <x v="21"/>
    <x v="23"/>
    <x v="3"/>
    <x v="4"/>
    <x v="3"/>
    <x v="0"/>
    <x v="3"/>
    <x v="3"/>
    <x v="3"/>
    <x v="3"/>
  </r>
  <r>
    <x v="500"/>
    <x v="10"/>
    <x v="1"/>
    <n v="30.5"/>
    <x v="170"/>
    <x v="21"/>
    <x v="24"/>
    <x v="0"/>
    <x v="1"/>
    <x v="1"/>
    <x v="0"/>
    <x v="3"/>
    <x v="7"/>
    <x v="3"/>
    <x v="0"/>
  </r>
  <r>
    <x v="501"/>
    <x v="9"/>
    <x v="1"/>
    <n v="69.599999999999994"/>
    <x v="388"/>
    <x v="21"/>
    <x v="23"/>
    <x v="1"/>
    <x v="0"/>
    <x v="1"/>
    <x v="0"/>
    <x v="3"/>
    <x v="3"/>
    <x v="3"/>
    <x v="1"/>
  </r>
  <r>
    <x v="502"/>
    <x v="11"/>
    <x v="0"/>
    <n v="42.4"/>
    <x v="469"/>
    <x v="21"/>
    <x v="19"/>
    <x v="2"/>
    <x v="1"/>
    <x v="0"/>
    <x v="0"/>
    <x v="3"/>
    <x v="5"/>
    <x v="3"/>
    <x v="2"/>
  </r>
  <r>
    <x v="503"/>
    <x v="17"/>
    <x v="0"/>
    <n v="32.200000000000003"/>
    <x v="390"/>
    <x v="21"/>
    <x v="17"/>
    <x v="2"/>
    <x v="2"/>
    <x v="1"/>
    <x v="0"/>
    <x v="3"/>
    <x v="2"/>
    <x v="3"/>
    <x v="2"/>
  </r>
  <r>
    <x v="504"/>
    <x v="6"/>
    <x v="1"/>
    <n v="41.5"/>
    <x v="470"/>
    <x v="21"/>
    <x v="17"/>
    <x v="2"/>
    <x v="0"/>
    <x v="2"/>
    <x v="0"/>
    <x v="3"/>
    <x v="2"/>
    <x v="3"/>
    <x v="2"/>
  </r>
  <r>
    <x v="505"/>
    <x v="16"/>
    <x v="11"/>
    <n v="58.9"/>
    <x v="471"/>
    <x v="21"/>
    <x v="19"/>
    <x v="2"/>
    <x v="3"/>
    <x v="0"/>
    <x v="0"/>
    <x v="3"/>
    <x v="5"/>
    <x v="3"/>
    <x v="2"/>
  </r>
  <r>
    <x v="506"/>
    <x v="2"/>
    <x v="0"/>
    <n v="57.1"/>
    <x v="472"/>
    <x v="21"/>
    <x v="17"/>
    <x v="2"/>
    <x v="1"/>
    <x v="0"/>
    <x v="0"/>
    <x v="3"/>
    <x v="2"/>
    <x v="3"/>
    <x v="2"/>
  </r>
  <r>
    <x v="507"/>
    <x v="6"/>
    <x v="0"/>
    <n v="57.2"/>
    <x v="473"/>
    <x v="21"/>
    <x v="25"/>
    <x v="1"/>
    <x v="1"/>
    <x v="0"/>
    <x v="0"/>
    <x v="3"/>
    <x v="1"/>
    <x v="3"/>
    <x v="1"/>
  </r>
  <r>
    <x v="508"/>
    <x v="8"/>
    <x v="1"/>
    <n v="35.1"/>
    <x v="474"/>
    <x v="21"/>
    <x v="23"/>
    <x v="1"/>
    <x v="1"/>
    <x v="0"/>
    <x v="0"/>
    <x v="6"/>
    <x v="3"/>
    <x v="3"/>
    <x v="1"/>
  </r>
  <r>
    <x v="509"/>
    <x v="1"/>
    <x v="0"/>
    <n v="52.1"/>
    <x v="475"/>
    <x v="21"/>
    <x v="25"/>
    <x v="2"/>
    <x v="4"/>
    <x v="1"/>
    <x v="0"/>
    <x v="8"/>
    <x v="1"/>
    <x v="3"/>
    <x v="2"/>
  </r>
  <r>
    <x v="510"/>
    <x v="13"/>
    <x v="2"/>
    <n v="59.8"/>
    <x v="476"/>
    <x v="21"/>
    <x v="25"/>
    <x v="2"/>
    <x v="4"/>
    <x v="1"/>
    <x v="0"/>
    <x v="8"/>
    <x v="1"/>
    <x v="3"/>
    <x v="2"/>
  </r>
  <r>
    <x v="511"/>
    <x v="3"/>
    <x v="12"/>
    <n v="83.3"/>
    <x v="477"/>
    <x v="21"/>
    <x v="24"/>
    <x v="0"/>
    <x v="2"/>
    <x v="0"/>
    <x v="0"/>
    <x v="8"/>
    <x v="7"/>
    <x v="3"/>
    <x v="0"/>
  </r>
  <r>
    <x v="512"/>
    <x v="15"/>
    <x v="4"/>
    <n v="41.3"/>
    <x v="478"/>
    <x v="21"/>
    <x v="23"/>
    <x v="2"/>
    <x v="1"/>
    <x v="0"/>
    <x v="0"/>
    <x v="8"/>
    <x v="3"/>
    <x v="3"/>
    <x v="2"/>
  </r>
  <r>
    <x v="513"/>
    <x v="8"/>
    <x v="9"/>
    <n v="16"/>
    <x v="479"/>
    <x v="21"/>
    <x v="25"/>
    <x v="1"/>
    <x v="4"/>
    <x v="1"/>
    <x v="0"/>
    <x v="9"/>
    <x v="1"/>
    <x v="3"/>
    <x v="1"/>
  </r>
  <r>
    <x v="514"/>
    <x v="10"/>
    <x v="1"/>
    <n v="20.8"/>
    <x v="480"/>
    <x v="22"/>
    <x v="17"/>
    <x v="1"/>
    <x v="0"/>
    <x v="2"/>
    <x v="0"/>
    <x v="11"/>
    <x v="1"/>
    <x v="3"/>
    <x v="1"/>
  </r>
  <r>
    <x v="515"/>
    <x v="8"/>
    <x v="31"/>
    <n v="27.1"/>
    <x v="481"/>
    <x v="22"/>
    <x v="25"/>
    <x v="0"/>
    <x v="3"/>
    <x v="2"/>
    <x v="0"/>
    <x v="11"/>
    <x v="3"/>
    <x v="3"/>
    <x v="0"/>
  </r>
  <r>
    <x v="516"/>
    <x v="10"/>
    <x v="1"/>
    <n v="38.9"/>
    <x v="482"/>
    <x v="22"/>
    <x v="17"/>
    <x v="2"/>
    <x v="0"/>
    <x v="0"/>
    <x v="0"/>
    <x v="18"/>
    <x v="1"/>
    <x v="3"/>
    <x v="2"/>
  </r>
  <r>
    <x v="517"/>
    <x v="0"/>
    <x v="1"/>
    <n v="10.8"/>
    <x v="483"/>
    <x v="22"/>
    <x v="19"/>
    <x v="2"/>
    <x v="1"/>
    <x v="2"/>
    <x v="0"/>
    <x v="45"/>
    <x v="2"/>
    <x v="3"/>
    <x v="2"/>
  </r>
  <r>
    <x v="518"/>
    <x v="4"/>
    <x v="15"/>
    <n v="48.4"/>
    <x v="484"/>
    <x v="22"/>
    <x v="22"/>
    <x v="2"/>
    <x v="0"/>
    <x v="0"/>
    <x v="0"/>
    <x v="21"/>
    <x v="5"/>
    <x v="3"/>
    <x v="2"/>
  </r>
  <r>
    <x v="519"/>
    <x v="4"/>
    <x v="2"/>
    <n v="29.2"/>
    <x v="485"/>
    <x v="22"/>
    <x v="19"/>
    <x v="2"/>
    <x v="1"/>
    <x v="1"/>
    <x v="0"/>
    <x v="2"/>
    <x v="2"/>
    <x v="3"/>
    <x v="2"/>
  </r>
  <r>
    <x v="520"/>
    <x v="4"/>
    <x v="1"/>
    <n v="25.1"/>
    <x v="486"/>
    <x v="22"/>
    <x v="25"/>
    <x v="1"/>
    <x v="0"/>
    <x v="1"/>
    <x v="0"/>
    <x v="2"/>
    <x v="3"/>
    <x v="3"/>
    <x v="1"/>
  </r>
  <r>
    <x v="521"/>
    <x v="7"/>
    <x v="2"/>
    <n v="65.599999999999994"/>
    <x v="487"/>
    <x v="22"/>
    <x v="23"/>
    <x v="2"/>
    <x v="2"/>
    <x v="1"/>
    <x v="0"/>
    <x v="3"/>
    <x v="7"/>
    <x v="3"/>
    <x v="2"/>
  </r>
  <r>
    <x v="522"/>
    <x v="2"/>
    <x v="1"/>
    <n v="57.3"/>
    <x v="488"/>
    <x v="22"/>
    <x v="23"/>
    <x v="0"/>
    <x v="0"/>
    <x v="0"/>
    <x v="0"/>
    <x v="3"/>
    <x v="7"/>
    <x v="3"/>
    <x v="0"/>
  </r>
  <r>
    <x v="523"/>
    <x v="9"/>
    <x v="12"/>
    <n v="22.4"/>
    <x v="70"/>
    <x v="22"/>
    <x v="25"/>
    <x v="2"/>
    <x v="2"/>
    <x v="2"/>
    <x v="0"/>
    <x v="3"/>
    <x v="3"/>
    <x v="3"/>
    <x v="2"/>
  </r>
  <r>
    <x v="524"/>
    <x v="12"/>
    <x v="11"/>
    <n v="45.7"/>
    <x v="489"/>
    <x v="22"/>
    <x v="25"/>
    <x v="2"/>
    <x v="0"/>
    <x v="0"/>
    <x v="0"/>
    <x v="3"/>
    <x v="3"/>
    <x v="3"/>
    <x v="2"/>
  </r>
  <r>
    <x v="525"/>
    <x v="8"/>
    <x v="1"/>
    <n v="29.3"/>
    <x v="150"/>
    <x v="22"/>
    <x v="25"/>
    <x v="1"/>
    <x v="1"/>
    <x v="0"/>
    <x v="0"/>
    <x v="3"/>
    <x v="3"/>
    <x v="3"/>
    <x v="1"/>
  </r>
  <r>
    <x v="526"/>
    <x v="18"/>
    <x v="32"/>
    <n v="74"/>
    <x v="490"/>
    <x v="22"/>
    <x v="25"/>
    <x v="1"/>
    <x v="0"/>
    <x v="2"/>
    <x v="0"/>
    <x v="3"/>
    <x v="3"/>
    <x v="3"/>
    <x v="1"/>
  </r>
  <r>
    <x v="527"/>
    <x v="14"/>
    <x v="1"/>
    <n v="39.200000000000003"/>
    <x v="491"/>
    <x v="22"/>
    <x v="17"/>
    <x v="2"/>
    <x v="1"/>
    <x v="0"/>
    <x v="0"/>
    <x v="3"/>
    <x v="1"/>
    <x v="3"/>
    <x v="2"/>
  </r>
  <r>
    <x v="528"/>
    <x v="4"/>
    <x v="14"/>
    <n v="62.7"/>
    <x v="492"/>
    <x v="22"/>
    <x v="25"/>
    <x v="2"/>
    <x v="2"/>
    <x v="1"/>
    <x v="0"/>
    <x v="3"/>
    <x v="3"/>
    <x v="3"/>
    <x v="2"/>
  </r>
  <r>
    <x v="529"/>
    <x v="10"/>
    <x v="1"/>
    <n v="60.1"/>
    <x v="493"/>
    <x v="22"/>
    <x v="25"/>
    <x v="2"/>
    <x v="3"/>
    <x v="0"/>
    <x v="0"/>
    <x v="3"/>
    <x v="3"/>
    <x v="3"/>
    <x v="2"/>
  </r>
  <r>
    <x v="530"/>
    <x v="0"/>
    <x v="12"/>
    <n v="11.2"/>
    <x v="438"/>
    <x v="22"/>
    <x v="25"/>
    <x v="2"/>
    <x v="3"/>
    <x v="1"/>
    <x v="0"/>
    <x v="3"/>
    <x v="3"/>
    <x v="3"/>
    <x v="2"/>
  </r>
  <r>
    <x v="531"/>
    <x v="8"/>
    <x v="1"/>
    <n v="22.9"/>
    <x v="494"/>
    <x v="22"/>
    <x v="25"/>
    <x v="2"/>
    <x v="0"/>
    <x v="0"/>
    <x v="0"/>
    <x v="6"/>
    <x v="3"/>
    <x v="3"/>
    <x v="2"/>
  </r>
  <r>
    <x v="532"/>
    <x v="1"/>
    <x v="1"/>
    <n v="37.6"/>
    <x v="495"/>
    <x v="22"/>
    <x v="19"/>
    <x v="2"/>
    <x v="0"/>
    <x v="0"/>
    <x v="0"/>
    <x v="6"/>
    <x v="2"/>
    <x v="3"/>
    <x v="2"/>
  </r>
  <r>
    <x v="533"/>
    <x v="6"/>
    <x v="0"/>
    <n v="42.4"/>
    <x v="469"/>
    <x v="22"/>
    <x v="25"/>
    <x v="2"/>
    <x v="3"/>
    <x v="2"/>
    <x v="0"/>
    <x v="6"/>
    <x v="3"/>
    <x v="3"/>
    <x v="2"/>
  </r>
  <r>
    <x v="534"/>
    <x v="8"/>
    <x v="1"/>
    <n v="19.600000000000001"/>
    <x v="496"/>
    <x v="22"/>
    <x v="22"/>
    <x v="2"/>
    <x v="2"/>
    <x v="0"/>
    <x v="0"/>
    <x v="7"/>
    <x v="5"/>
    <x v="3"/>
    <x v="2"/>
  </r>
  <r>
    <x v="535"/>
    <x v="9"/>
    <x v="0"/>
    <n v="90.5"/>
    <x v="497"/>
    <x v="22"/>
    <x v="19"/>
    <x v="2"/>
    <x v="2"/>
    <x v="0"/>
    <x v="0"/>
    <x v="7"/>
    <x v="2"/>
    <x v="3"/>
    <x v="2"/>
  </r>
  <r>
    <x v="536"/>
    <x v="16"/>
    <x v="5"/>
    <n v="33.9"/>
    <x v="498"/>
    <x v="22"/>
    <x v="25"/>
    <x v="1"/>
    <x v="2"/>
    <x v="1"/>
    <x v="0"/>
    <x v="7"/>
    <x v="3"/>
    <x v="3"/>
    <x v="1"/>
  </r>
  <r>
    <x v="537"/>
    <x v="0"/>
    <x v="1"/>
    <n v="32.799999999999997"/>
    <x v="499"/>
    <x v="22"/>
    <x v="17"/>
    <x v="2"/>
    <x v="4"/>
    <x v="4"/>
    <x v="0"/>
    <x v="8"/>
    <x v="1"/>
    <x v="3"/>
    <x v="2"/>
  </r>
  <r>
    <x v="538"/>
    <x v="15"/>
    <x v="0"/>
    <n v="49.9"/>
    <x v="500"/>
    <x v="22"/>
    <x v="25"/>
    <x v="1"/>
    <x v="3"/>
    <x v="1"/>
    <x v="0"/>
    <x v="8"/>
    <x v="3"/>
    <x v="3"/>
    <x v="1"/>
  </r>
  <r>
    <x v="539"/>
    <x v="7"/>
    <x v="9"/>
    <n v="79.2"/>
    <x v="501"/>
    <x v="22"/>
    <x v="25"/>
    <x v="2"/>
    <x v="4"/>
    <x v="0"/>
    <x v="0"/>
    <x v="8"/>
    <x v="3"/>
    <x v="3"/>
    <x v="2"/>
  </r>
  <r>
    <x v="540"/>
    <x v="8"/>
    <x v="27"/>
    <n v="19.5"/>
    <x v="502"/>
    <x v="22"/>
    <x v="17"/>
    <x v="1"/>
    <x v="3"/>
    <x v="2"/>
    <x v="0"/>
    <x v="8"/>
    <x v="1"/>
    <x v="3"/>
    <x v="1"/>
  </r>
  <r>
    <x v="541"/>
    <x v="8"/>
    <x v="12"/>
    <n v="18"/>
    <x v="503"/>
    <x v="22"/>
    <x v="25"/>
    <x v="1"/>
    <x v="1"/>
    <x v="0"/>
    <x v="0"/>
    <x v="10"/>
    <x v="3"/>
    <x v="3"/>
    <x v="1"/>
  </r>
  <r>
    <x v="542"/>
    <x v="9"/>
    <x v="2"/>
    <n v="45.9"/>
    <x v="223"/>
    <x v="22"/>
    <x v="17"/>
    <x v="2"/>
    <x v="1"/>
    <x v="1"/>
    <x v="0"/>
    <x v="10"/>
    <x v="1"/>
    <x v="3"/>
    <x v="2"/>
  </r>
  <r>
    <x v="543"/>
    <x v="11"/>
    <x v="0"/>
    <n v="41.2"/>
    <x v="504"/>
    <x v="22"/>
    <x v="17"/>
    <x v="2"/>
    <x v="1"/>
    <x v="2"/>
    <x v="0"/>
    <x v="11"/>
    <x v="1"/>
    <x v="3"/>
    <x v="2"/>
  </r>
  <r>
    <x v="544"/>
    <x v="2"/>
    <x v="7"/>
    <n v="167.2"/>
    <x v="505"/>
    <x v="22"/>
    <x v="17"/>
    <x v="2"/>
    <x v="2"/>
    <x v="2"/>
    <x v="0"/>
    <x v="32"/>
    <x v="1"/>
    <x v="3"/>
    <x v="2"/>
  </r>
  <r>
    <x v="545"/>
    <x v="6"/>
    <x v="17"/>
    <n v="74.5"/>
    <x v="506"/>
    <x v="23"/>
    <x v="22"/>
    <x v="2"/>
    <x v="1"/>
    <x v="2"/>
    <x v="0"/>
    <x v="38"/>
    <x v="2"/>
    <x v="3"/>
    <x v="2"/>
  </r>
  <r>
    <x v="546"/>
    <x v="7"/>
    <x v="12"/>
    <n v="39.299999999999997"/>
    <x v="507"/>
    <x v="23"/>
    <x v="17"/>
    <x v="0"/>
    <x v="2"/>
    <x v="0"/>
    <x v="0"/>
    <x v="19"/>
    <x v="3"/>
    <x v="3"/>
    <x v="0"/>
  </r>
  <r>
    <x v="547"/>
    <x v="9"/>
    <x v="0"/>
    <n v="68.5"/>
    <x v="508"/>
    <x v="23"/>
    <x v="22"/>
    <x v="1"/>
    <x v="1"/>
    <x v="2"/>
    <x v="0"/>
    <x v="12"/>
    <x v="2"/>
    <x v="3"/>
    <x v="1"/>
  </r>
  <r>
    <x v="548"/>
    <x v="0"/>
    <x v="2"/>
    <n v="22.5"/>
    <x v="509"/>
    <x v="23"/>
    <x v="25"/>
    <x v="2"/>
    <x v="4"/>
    <x v="0"/>
    <x v="0"/>
    <x v="13"/>
    <x v="7"/>
    <x v="3"/>
    <x v="2"/>
  </r>
  <r>
    <x v="549"/>
    <x v="1"/>
    <x v="0"/>
    <n v="48"/>
    <x v="510"/>
    <x v="23"/>
    <x v="17"/>
    <x v="3"/>
    <x v="4"/>
    <x v="1"/>
    <x v="0"/>
    <x v="46"/>
    <x v="3"/>
    <x v="3"/>
    <x v="3"/>
  </r>
  <r>
    <x v="550"/>
    <x v="6"/>
    <x v="0"/>
    <n v="94"/>
    <x v="255"/>
    <x v="23"/>
    <x v="17"/>
    <x v="1"/>
    <x v="3"/>
    <x v="1"/>
    <x v="0"/>
    <x v="1"/>
    <x v="3"/>
    <x v="3"/>
    <x v="1"/>
  </r>
  <r>
    <x v="551"/>
    <x v="8"/>
    <x v="2"/>
    <n v="21.9"/>
    <x v="511"/>
    <x v="23"/>
    <x v="17"/>
    <x v="2"/>
    <x v="0"/>
    <x v="0"/>
    <x v="0"/>
    <x v="44"/>
    <x v="3"/>
    <x v="3"/>
    <x v="2"/>
  </r>
  <r>
    <x v="552"/>
    <x v="6"/>
    <x v="3"/>
    <n v="64.900000000000006"/>
    <x v="512"/>
    <x v="23"/>
    <x v="17"/>
    <x v="2"/>
    <x v="0"/>
    <x v="0"/>
    <x v="0"/>
    <x v="3"/>
    <x v="3"/>
    <x v="3"/>
    <x v="2"/>
  </r>
  <r>
    <x v="553"/>
    <x v="12"/>
    <x v="0"/>
    <n v="52.9"/>
    <x v="513"/>
    <x v="23"/>
    <x v="25"/>
    <x v="2"/>
    <x v="1"/>
    <x v="1"/>
    <x v="0"/>
    <x v="3"/>
    <x v="7"/>
    <x v="3"/>
    <x v="2"/>
  </r>
  <r>
    <x v="554"/>
    <x v="8"/>
    <x v="2"/>
    <n v="25.5"/>
    <x v="514"/>
    <x v="23"/>
    <x v="17"/>
    <x v="2"/>
    <x v="1"/>
    <x v="2"/>
    <x v="0"/>
    <x v="3"/>
    <x v="3"/>
    <x v="3"/>
    <x v="2"/>
  </r>
  <r>
    <x v="555"/>
    <x v="6"/>
    <x v="2"/>
    <n v="51.9"/>
    <x v="515"/>
    <x v="23"/>
    <x v="17"/>
    <x v="2"/>
    <x v="3"/>
    <x v="0"/>
    <x v="0"/>
    <x v="3"/>
    <x v="3"/>
    <x v="3"/>
    <x v="2"/>
  </r>
  <r>
    <x v="556"/>
    <x v="5"/>
    <x v="0"/>
    <n v="46.3"/>
    <x v="516"/>
    <x v="23"/>
    <x v="22"/>
    <x v="2"/>
    <x v="4"/>
    <x v="0"/>
    <x v="0"/>
    <x v="3"/>
    <x v="2"/>
    <x v="3"/>
    <x v="2"/>
  </r>
  <r>
    <x v="557"/>
    <x v="6"/>
    <x v="1"/>
    <n v="68.2"/>
    <x v="517"/>
    <x v="23"/>
    <x v="19"/>
    <x v="2"/>
    <x v="3"/>
    <x v="0"/>
    <x v="0"/>
    <x v="3"/>
    <x v="1"/>
    <x v="3"/>
    <x v="2"/>
  </r>
  <r>
    <x v="558"/>
    <x v="1"/>
    <x v="0"/>
    <n v="40.299999999999997"/>
    <x v="518"/>
    <x v="23"/>
    <x v="17"/>
    <x v="1"/>
    <x v="0"/>
    <x v="1"/>
    <x v="0"/>
    <x v="3"/>
    <x v="3"/>
    <x v="3"/>
    <x v="1"/>
  </r>
  <r>
    <x v="559"/>
    <x v="2"/>
    <x v="2"/>
    <n v="91.3"/>
    <x v="54"/>
    <x v="23"/>
    <x v="28"/>
    <x v="1"/>
    <x v="0"/>
    <x v="2"/>
    <x v="0"/>
    <x v="6"/>
    <x v="0"/>
    <x v="3"/>
    <x v="1"/>
  </r>
  <r>
    <x v="560"/>
    <x v="0"/>
    <x v="2"/>
    <n v="11.9"/>
    <x v="519"/>
    <x v="23"/>
    <x v="17"/>
    <x v="2"/>
    <x v="0"/>
    <x v="1"/>
    <x v="0"/>
    <x v="6"/>
    <x v="3"/>
    <x v="3"/>
    <x v="2"/>
  </r>
  <r>
    <x v="561"/>
    <x v="2"/>
    <x v="1"/>
    <n v="63.5"/>
    <x v="520"/>
    <x v="23"/>
    <x v="19"/>
    <x v="1"/>
    <x v="1"/>
    <x v="0"/>
    <x v="0"/>
    <x v="6"/>
    <x v="1"/>
    <x v="3"/>
    <x v="1"/>
  </r>
  <r>
    <x v="562"/>
    <x v="4"/>
    <x v="1"/>
    <n v="27.1"/>
    <x v="521"/>
    <x v="23"/>
    <x v="22"/>
    <x v="1"/>
    <x v="2"/>
    <x v="2"/>
    <x v="0"/>
    <x v="6"/>
    <x v="2"/>
    <x v="3"/>
    <x v="1"/>
  </r>
  <r>
    <x v="563"/>
    <x v="1"/>
    <x v="1"/>
    <n v="82.1"/>
    <x v="522"/>
    <x v="24"/>
    <x v="29"/>
    <x v="1"/>
    <x v="1"/>
    <x v="1"/>
    <x v="0"/>
    <x v="7"/>
    <x v="2"/>
    <x v="3"/>
    <x v="1"/>
  </r>
  <r>
    <x v="564"/>
    <x v="3"/>
    <x v="9"/>
    <n v="42.9"/>
    <x v="523"/>
    <x v="24"/>
    <x v="22"/>
    <x v="2"/>
    <x v="1"/>
    <x v="0"/>
    <x v="0"/>
    <x v="8"/>
    <x v="1"/>
    <x v="3"/>
    <x v="2"/>
  </r>
  <r>
    <x v="565"/>
    <x v="8"/>
    <x v="5"/>
    <n v="37.9"/>
    <x v="524"/>
    <x v="24"/>
    <x v="30"/>
    <x v="1"/>
    <x v="0"/>
    <x v="0"/>
    <x v="0"/>
    <x v="8"/>
    <x v="6"/>
    <x v="3"/>
    <x v="1"/>
  </r>
  <r>
    <x v="566"/>
    <x v="0"/>
    <x v="0"/>
    <n v="22.4"/>
    <x v="525"/>
    <x v="24"/>
    <x v="19"/>
    <x v="2"/>
    <x v="0"/>
    <x v="1"/>
    <x v="0"/>
    <x v="17"/>
    <x v="3"/>
    <x v="3"/>
    <x v="2"/>
  </r>
  <r>
    <x v="567"/>
    <x v="2"/>
    <x v="15"/>
    <n v="79.900000000000006"/>
    <x v="526"/>
    <x v="24"/>
    <x v="31"/>
    <x v="2"/>
    <x v="3"/>
    <x v="1"/>
    <x v="0"/>
    <x v="11"/>
    <x v="10"/>
    <x v="3"/>
    <x v="2"/>
  </r>
  <r>
    <x v="568"/>
    <x v="1"/>
    <x v="0"/>
    <n v="70.599999999999994"/>
    <x v="527"/>
    <x v="24"/>
    <x v="29"/>
    <x v="2"/>
    <x v="0"/>
    <x v="1"/>
    <x v="0"/>
    <x v="11"/>
    <x v="2"/>
    <x v="3"/>
    <x v="2"/>
  </r>
  <r>
    <x v="569"/>
    <x v="6"/>
    <x v="0"/>
    <n v="49.5"/>
    <x v="528"/>
    <x v="24"/>
    <x v="22"/>
    <x v="1"/>
    <x v="0"/>
    <x v="0"/>
    <x v="0"/>
    <x v="13"/>
    <x v="1"/>
    <x v="3"/>
    <x v="1"/>
  </r>
  <r>
    <x v="570"/>
    <x v="2"/>
    <x v="1"/>
    <n v="96.6"/>
    <x v="529"/>
    <x v="24"/>
    <x v="22"/>
    <x v="1"/>
    <x v="0"/>
    <x v="0"/>
    <x v="0"/>
    <x v="21"/>
    <x v="1"/>
    <x v="3"/>
    <x v="1"/>
  </r>
  <r>
    <x v="571"/>
    <x v="6"/>
    <x v="1"/>
    <n v="52.8"/>
    <x v="142"/>
    <x v="24"/>
    <x v="19"/>
    <x v="2"/>
    <x v="1"/>
    <x v="1"/>
    <x v="0"/>
    <x v="21"/>
    <x v="3"/>
    <x v="3"/>
    <x v="2"/>
  </r>
  <r>
    <x v="572"/>
    <x v="2"/>
    <x v="0"/>
    <n v="101.7"/>
    <x v="530"/>
    <x v="24"/>
    <x v="19"/>
    <x v="1"/>
    <x v="0"/>
    <x v="0"/>
    <x v="0"/>
    <x v="1"/>
    <x v="3"/>
    <x v="3"/>
    <x v="1"/>
  </r>
  <r>
    <x v="573"/>
    <x v="4"/>
    <x v="9"/>
    <n v="26.9"/>
    <x v="531"/>
    <x v="24"/>
    <x v="26"/>
    <x v="2"/>
    <x v="1"/>
    <x v="1"/>
    <x v="0"/>
    <x v="22"/>
    <x v="0"/>
    <x v="3"/>
    <x v="2"/>
  </r>
  <r>
    <x v="574"/>
    <x v="2"/>
    <x v="12"/>
    <n v="211"/>
    <x v="532"/>
    <x v="24"/>
    <x v="17"/>
    <x v="2"/>
    <x v="1"/>
    <x v="1"/>
    <x v="0"/>
    <x v="3"/>
    <x v="7"/>
    <x v="3"/>
    <x v="2"/>
  </r>
  <r>
    <x v="575"/>
    <x v="0"/>
    <x v="12"/>
    <n v="21.1"/>
    <x v="533"/>
    <x v="24"/>
    <x v="29"/>
    <x v="1"/>
    <x v="4"/>
    <x v="0"/>
    <x v="0"/>
    <x v="3"/>
    <x v="2"/>
    <x v="3"/>
    <x v="1"/>
  </r>
  <r>
    <x v="576"/>
    <x v="10"/>
    <x v="0"/>
    <n v="26.6"/>
    <x v="534"/>
    <x v="24"/>
    <x v="22"/>
    <x v="1"/>
    <x v="0"/>
    <x v="4"/>
    <x v="0"/>
    <x v="3"/>
    <x v="1"/>
    <x v="3"/>
    <x v="1"/>
  </r>
  <r>
    <x v="577"/>
    <x v="12"/>
    <x v="12"/>
    <n v="51.2"/>
    <x v="403"/>
    <x v="24"/>
    <x v="19"/>
    <x v="2"/>
    <x v="3"/>
    <x v="0"/>
    <x v="0"/>
    <x v="47"/>
    <x v="3"/>
    <x v="3"/>
    <x v="2"/>
  </r>
  <r>
    <x v="578"/>
    <x v="0"/>
    <x v="9"/>
    <n v="10.6"/>
    <x v="535"/>
    <x v="24"/>
    <x v="28"/>
    <x v="2"/>
    <x v="0"/>
    <x v="0"/>
    <x v="0"/>
    <x v="8"/>
    <x v="5"/>
    <x v="3"/>
    <x v="2"/>
  </r>
  <r>
    <x v="579"/>
    <x v="6"/>
    <x v="2"/>
    <n v="43.4"/>
    <x v="33"/>
    <x v="24"/>
    <x v="29"/>
    <x v="2"/>
    <x v="4"/>
    <x v="0"/>
    <x v="0"/>
    <x v="8"/>
    <x v="2"/>
    <x v="3"/>
    <x v="2"/>
  </r>
  <r>
    <x v="580"/>
    <x v="12"/>
    <x v="0"/>
    <n v="80"/>
    <x v="479"/>
    <x v="24"/>
    <x v="17"/>
    <x v="2"/>
    <x v="0"/>
    <x v="2"/>
    <x v="0"/>
    <x v="8"/>
    <x v="7"/>
    <x v="3"/>
    <x v="2"/>
  </r>
  <r>
    <x v="581"/>
    <x v="10"/>
    <x v="12"/>
    <n v="64.7"/>
    <x v="536"/>
    <x v="24"/>
    <x v="22"/>
    <x v="2"/>
    <x v="1"/>
    <x v="4"/>
    <x v="0"/>
    <x v="8"/>
    <x v="1"/>
    <x v="3"/>
    <x v="2"/>
  </r>
  <r>
    <x v="582"/>
    <x v="8"/>
    <x v="5"/>
    <n v="26.3"/>
    <x v="537"/>
    <x v="25"/>
    <x v="19"/>
    <x v="2"/>
    <x v="4"/>
    <x v="1"/>
    <x v="0"/>
    <x v="26"/>
    <x v="7"/>
    <x v="4"/>
    <x v="2"/>
  </r>
  <r>
    <x v="583"/>
    <x v="10"/>
    <x v="0"/>
    <n v="28.5"/>
    <x v="425"/>
    <x v="25"/>
    <x v="19"/>
    <x v="1"/>
    <x v="0"/>
    <x v="1"/>
    <x v="0"/>
    <x v="9"/>
    <x v="7"/>
    <x v="4"/>
    <x v="1"/>
  </r>
  <r>
    <x v="584"/>
    <x v="17"/>
    <x v="0"/>
    <n v="47.8"/>
    <x v="538"/>
    <x v="25"/>
    <x v="29"/>
    <x v="2"/>
    <x v="0"/>
    <x v="1"/>
    <x v="0"/>
    <x v="9"/>
    <x v="1"/>
    <x v="4"/>
    <x v="2"/>
  </r>
  <r>
    <x v="585"/>
    <x v="10"/>
    <x v="2"/>
    <n v="42.8"/>
    <x v="539"/>
    <x v="25"/>
    <x v="28"/>
    <x v="2"/>
    <x v="4"/>
    <x v="1"/>
    <x v="0"/>
    <x v="11"/>
    <x v="2"/>
    <x v="4"/>
    <x v="2"/>
  </r>
  <r>
    <x v="586"/>
    <x v="6"/>
    <x v="9"/>
    <n v="46.8"/>
    <x v="540"/>
    <x v="25"/>
    <x v="27"/>
    <x v="2"/>
    <x v="1"/>
    <x v="2"/>
    <x v="0"/>
    <x v="11"/>
    <x v="0"/>
    <x v="4"/>
    <x v="2"/>
  </r>
  <r>
    <x v="587"/>
    <x v="1"/>
    <x v="7"/>
    <n v="64.099999999999994"/>
    <x v="541"/>
    <x v="25"/>
    <x v="22"/>
    <x v="1"/>
    <x v="1"/>
    <x v="0"/>
    <x v="0"/>
    <x v="11"/>
    <x v="3"/>
    <x v="4"/>
    <x v="1"/>
  </r>
  <r>
    <x v="588"/>
    <x v="2"/>
    <x v="0"/>
    <n v="89.1"/>
    <x v="542"/>
    <x v="25"/>
    <x v="22"/>
    <x v="2"/>
    <x v="0"/>
    <x v="1"/>
    <x v="0"/>
    <x v="20"/>
    <x v="3"/>
    <x v="4"/>
    <x v="2"/>
  </r>
  <r>
    <x v="589"/>
    <x v="2"/>
    <x v="2"/>
    <n v="83.1"/>
    <x v="543"/>
    <x v="25"/>
    <x v="22"/>
    <x v="2"/>
    <x v="2"/>
    <x v="1"/>
    <x v="0"/>
    <x v="13"/>
    <x v="3"/>
    <x v="4"/>
    <x v="2"/>
  </r>
  <r>
    <x v="590"/>
    <x v="8"/>
    <x v="2"/>
    <n v="40.9"/>
    <x v="544"/>
    <x v="25"/>
    <x v="22"/>
    <x v="1"/>
    <x v="0"/>
    <x v="0"/>
    <x v="0"/>
    <x v="1"/>
    <x v="3"/>
    <x v="4"/>
    <x v="1"/>
  </r>
  <r>
    <x v="591"/>
    <x v="2"/>
    <x v="1"/>
    <n v="125.7"/>
    <x v="545"/>
    <x v="25"/>
    <x v="22"/>
    <x v="2"/>
    <x v="3"/>
    <x v="0"/>
    <x v="0"/>
    <x v="2"/>
    <x v="3"/>
    <x v="4"/>
    <x v="2"/>
  </r>
  <r>
    <x v="592"/>
    <x v="3"/>
    <x v="1"/>
    <n v="30.9"/>
    <x v="546"/>
    <x v="25"/>
    <x v="19"/>
    <x v="2"/>
    <x v="2"/>
    <x v="2"/>
    <x v="0"/>
    <x v="22"/>
    <x v="7"/>
    <x v="4"/>
    <x v="2"/>
  </r>
  <r>
    <x v="593"/>
    <x v="8"/>
    <x v="1"/>
    <n v="18.3"/>
    <x v="547"/>
    <x v="25"/>
    <x v="22"/>
    <x v="2"/>
    <x v="1"/>
    <x v="0"/>
    <x v="0"/>
    <x v="3"/>
    <x v="3"/>
    <x v="4"/>
    <x v="2"/>
  </r>
  <r>
    <x v="594"/>
    <x v="4"/>
    <x v="1"/>
    <n v="56.5"/>
    <x v="548"/>
    <x v="25"/>
    <x v="26"/>
    <x v="1"/>
    <x v="2"/>
    <x v="2"/>
    <x v="0"/>
    <x v="3"/>
    <x v="5"/>
    <x v="4"/>
    <x v="1"/>
  </r>
  <r>
    <x v="595"/>
    <x v="10"/>
    <x v="3"/>
    <n v="29.9"/>
    <x v="549"/>
    <x v="25"/>
    <x v="29"/>
    <x v="1"/>
    <x v="4"/>
    <x v="2"/>
    <x v="0"/>
    <x v="3"/>
    <x v="1"/>
    <x v="4"/>
    <x v="1"/>
  </r>
  <r>
    <x v="596"/>
    <x v="5"/>
    <x v="1"/>
    <n v="50.4"/>
    <x v="90"/>
    <x v="25"/>
    <x v="22"/>
    <x v="2"/>
    <x v="2"/>
    <x v="0"/>
    <x v="0"/>
    <x v="3"/>
    <x v="3"/>
    <x v="4"/>
    <x v="2"/>
  </r>
  <r>
    <x v="597"/>
    <x v="2"/>
    <x v="0"/>
    <n v="85.8"/>
    <x v="550"/>
    <x v="25"/>
    <x v="19"/>
    <x v="2"/>
    <x v="2"/>
    <x v="2"/>
    <x v="0"/>
    <x v="3"/>
    <x v="7"/>
    <x v="4"/>
    <x v="2"/>
  </r>
  <r>
    <x v="598"/>
    <x v="4"/>
    <x v="27"/>
    <n v="66.599999999999994"/>
    <x v="551"/>
    <x v="25"/>
    <x v="29"/>
    <x v="1"/>
    <x v="1"/>
    <x v="0"/>
    <x v="0"/>
    <x v="3"/>
    <x v="1"/>
    <x v="4"/>
    <x v="1"/>
  </r>
  <r>
    <x v="599"/>
    <x v="6"/>
    <x v="12"/>
    <n v="70.3"/>
    <x v="552"/>
    <x v="25"/>
    <x v="22"/>
    <x v="2"/>
    <x v="0"/>
    <x v="1"/>
    <x v="0"/>
    <x v="3"/>
    <x v="3"/>
    <x v="4"/>
    <x v="2"/>
  </r>
  <r>
    <x v="600"/>
    <x v="8"/>
    <x v="12"/>
    <n v="31"/>
    <x v="553"/>
    <x v="25"/>
    <x v="28"/>
    <x v="1"/>
    <x v="0"/>
    <x v="2"/>
    <x v="0"/>
    <x v="3"/>
    <x v="2"/>
    <x v="4"/>
    <x v="1"/>
  </r>
  <r>
    <x v="601"/>
    <x v="7"/>
    <x v="13"/>
    <n v="81.599999999999994"/>
    <x v="554"/>
    <x v="25"/>
    <x v="22"/>
    <x v="2"/>
    <x v="1"/>
    <x v="1"/>
    <x v="0"/>
    <x v="37"/>
    <x v="3"/>
    <x v="4"/>
    <x v="2"/>
  </r>
  <r>
    <x v="602"/>
    <x v="1"/>
    <x v="30"/>
    <n v="58.3"/>
    <x v="555"/>
    <x v="25"/>
    <x v="22"/>
    <x v="2"/>
    <x v="0"/>
    <x v="0"/>
    <x v="0"/>
    <x v="16"/>
    <x v="3"/>
    <x v="4"/>
    <x v="2"/>
  </r>
  <r>
    <x v="603"/>
    <x v="1"/>
    <x v="12"/>
    <n v="35.1"/>
    <x v="381"/>
    <x v="25"/>
    <x v="29"/>
    <x v="1"/>
    <x v="0"/>
    <x v="2"/>
    <x v="0"/>
    <x v="8"/>
    <x v="1"/>
    <x v="4"/>
    <x v="1"/>
  </r>
  <r>
    <x v="604"/>
    <x v="2"/>
    <x v="0"/>
    <n v="80.2"/>
    <x v="556"/>
    <x v="25"/>
    <x v="22"/>
    <x v="1"/>
    <x v="3"/>
    <x v="2"/>
    <x v="0"/>
    <x v="8"/>
    <x v="3"/>
    <x v="4"/>
    <x v="1"/>
  </r>
  <r>
    <x v="605"/>
    <x v="14"/>
    <x v="2"/>
    <n v="39.200000000000003"/>
    <x v="557"/>
    <x v="25"/>
    <x v="29"/>
    <x v="2"/>
    <x v="1"/>
    <x v="0"/>
    <x v="0"/>
    <x v="9"/>
    <x v="1"/>
    <x v="4"/>
    <x v="2"/>
  </r>
  <r>
    <x v="606"/>
    <x v="0"/>
    <x v="1"/>
    <n v="15.4"/>
    <x v="558"/>
    <x v="25"/>
    <x v="19"/>
    <x v="2"/>
    <x v="3"/>
    <x v="0"/>
    <x v="0"/>
    <x v="48"/>
    <x v="7"/>
    <x v="4"/>
    <x v="2"/>
  </r>
  <r>
    <x v="607"/>
    <x v="3"/>
    <x v="2"/>
    <n v="65.400000000000006"/>
    <x v="338"/>
    <x v="25"/>
    <x v="28"/>
    <x v="1"/>
    <x v="3"/>
    <x v="0"/>
    <x v="0"/>
    <x v="18"/>
    <x v="2"/>
    <x v="4"/>
    <x v="1"/>
  </r>
  <r>
    <x v="608"/>
    <x v="1"/>
    <x v="8"/>
    <n v="63.2"/>
    <x v="559"/>
    <x v="25"/>
    <x v="29"/>
    <x v="2"/>
    <x v="1"/>
    <x v="0"/>
    <x v="0"/>
    <x v="19"/>
    <x v="1"/>
    <x v="4"/>
    <x v="2"/>
  </r>
  <r>
    <x v="609"/>
    <x v="1"/>
    <x v="13"/>
    <n v="35.700000000000003"/>
    <x v="560"/>
    <x v="25"/>
    <x v="26"/>
    <x v="2"/>
    <x v="4"/>
    <x v="1"/>
    <x v="0"/>
    <x v="19"/>
    <x v="5"/>
    <x v="4"/>
    <x v="2"/>
  </r>
  <r>
    <x v="610"/>
    <x v="0"/>
    <x v="28"/>
    <n v="26.2"/>
    <x v="561"/>
    <x v="25"/>
    <x v="22"/>
    <x v="2"/>
    <x v="3"/>
    <x v="0"/>
    <x v="0"/>
    <x v="21"/>
    <x v="3"/>
    <x v="4"/>
    <x v="2"/>
  </r>
  <r>
    <x v="611"/>
    <x v="7"/>
    <x v="1"/>
    <n v="31"/>
    <x v="85"/>
    <x v="25"/>
    <x v="22"/>
    <x v="2"/>
    <x v="0"/>
    <x v="2"/>
    <x v="0"/>
    <x v="1"/>
    <x v="3"/>
    <x v="4"/>
    <x v="2"/>
  </r>
  <r>
    <x v="612"/>
    <x v="8"/>
    <x v="12"/>
    <n v="37.700000000000003"/>
    <x v="562"/>
    <x v="25"/>
    <x v="22"/>
    <x v="2"/>
    <x v="1"/>
    <x v="0"/>
    <x v="0"/>
    <x v="22"/>
    <x v="3"/>
    <x v="4"/>
    <x v="2"/>
  </r>
  <r>
    <x v="613"/>
    <x v="10"/>
    <x v="33"/>
    <n v="43.6"/>
    <x v="563"/>
    <x v="25"/>
    <x v="29"/>
    <x v="2"/>
    <x v="4"/>
    <x v="1"/>
    <x v="0"/>
    <x v="3"/>
    <x v="1"/>
    <x v="4"/>
    <x v="2"/>
  </r>
  <r>
    <x v="614"/>
    <x v="9"/>
    <x v="12"/>
    <n v="26.5"/>
    <x v="101"/>
    <x v="25"/>
    <x v="29"/>
    <x v="1"/>
    <x v="0"/>
    <x v="4"/>
    <x v="0"/>
    <x v="3"/>
    <x v="1"/>
    <x v="4"/>
    <x v="1"/>
  </r>
  <r>
    <x v="615"/>
    <x v="0"/>
    <x v="1"/>
    <n v="34.6"/>
    <x v="564"/>
    <x v="25"/>
    <x v="22"/>
    <x v="1"/>
    <x v="4"/>
    <x v="1"/>
    <x v="0"/>
    <x v="3"/>
    <x v="3"/>
    <x v="4"/>
    <x v="1"/>
  </r>
  <r>
    <x v="616"/>
    <x v="8"/>
    <x v="1"/>
    <n v="58.2"/>
    <x v="565"/>
    <x v="25"/>
    <x v="22"/>
    <x v="1"/>
    <x v="2"/>
    <x v="2"/>
    <x v="0"/>
    <x v="3"/>
    <x v="3"/>
    <x v="4"/>
    <x v="1"/>
  </r>
  <r>
    <x v="617"/>
    <x v="7"/>
    <x v="0"/>
    <n v="30.2"/>
    <x v="242"/>
    <x v="26"/>
    <x v="29"/>
    <x v="2"/>
    <x v="2"/>
    <x v="1"/>
    <x v="0"/>
    <x v="3"/>
    <x v="3"/>
    <x v="4"/>
    <x v="2"/>
  </r>
  <r>
    <x v="618"/>
    <x v="1"/>
    <x v="7"/>
    <n v="53.2"/>
    <x v="566"/>
    <x v="26"/>
    <x v="29"/>
    <x v="1"/>
    <x v="0"/>
    <x v="2"/>
    <x v="0"/>
    <x v="5"/>
    <x v="3"/>
    <x v="4"/>
    <x v="1"/>
  </r>
  <r>
    <x v="619"/>
    <x v="12"/>
    <x v="13"/>
    <n v="51.1"/>
    <x v="567"/>
    <x v="26"/>
    <x v="22"/>
    <x v="1"/>
    <x v="1"/>
    <x v="2"/>
    <x v="0"/>
    <x v="5"/>
    <x v="7"/>
    <x v="4"/>
    <x v="1"/>
  </r>
  <r>
    <x v="620"/>
    <x v="1"/>
    <x v="0"/>
    <n v="105.4"/>
    <x v="568"/>
    <x v="26"/>
    <x v="27"/>
    <x v="2"/>
    <x v="1"/>
    <x v="2"/>
    <x v="0"/>
    <x v="23"/>
    <x v="5"/>
    <x v="4"/>
    <x v="2"/>
  </r>
  <r>
    <x v="621"/>
    <x v="7"/>
    <x v="0"/>
    <n v="57.7"/>
    <x v="569"/>
    <x v="26"/>
    <x v="22"/>
    <x v="1"/>
    <x v="0"/>
    <x v="4"/>
    <x v="0"/>
    <x v="8"/>
    <x v="7"/>
    <x v="4"/>
    <x v="1"/>
  </r>
  <r>
    <x v="622"/>
    <x v="15"/>
    <x v="1"/>
    <n v="72.400000000000006"/>
    <x v="353"/>
    <x v="26"/>
    <x v="30"/>
    <x v="2"/>
    <x v="0"/>
    <x v="0"/>
    <x v="0"/>
    <x v="17"/>
    <x v="0"/>
    <x v="4"/>
    <x v="2"/>
  </r>
  <r>
    <x v="623"/>
    <x v="6"/>
    <x v="1"/>
    <n v="62.5"/>
    <x v="570"/>
    <x v="26"/>
    <x v="29"/>
    <x v="0"/>
    <x v="0"/>
    <x v="2"/>
    <x v="0"/>
    <x v="11"/>
    <x v="3"/>
    <x v="4"/>
    <x v="0"/>
  </r>
  <r>
    <x v="624"/>
    <x v="0"/>
    <x v="32"/>
    <n v="11.6"/>
    <x v="281"/>
    <x v="26"/>
    <x v="28"/>
    <x v="2"/>
    <x v="3"/>
    <x v="2"/>
    <x v="0"/>
    <x v="18"/>
    <x v="1"/>
    <x v="4"/>
    <x v="2"/>
  </r>
  <r>
    <x v="625"/>
    <x v="10"/>
    <x v="7"/>
    <n v="39.6"/>
    <x v="501"/>
    <x v="26"/>
    <x v="28"/>
    <x v="2"/>
    <x v="2"/>
    <x v="2"/>
    <x v="0"/>
    <x v="18"/>
    <x v="1"/>
    <x v="4"/>
    <x v="2"/>
  </r>
  <r>
    <x v="626"/>
    <x v="8"/>
    <x v="1"/>
    <n v="40.1"/>
    <x v="556"/>
    <x v="26"/>
    <x v="29"/>
    <x v="2"/>
    <x v="2"/>
    <x v="0"/>
    <x v="0"/>
    <x v="18"/>
    <x v="3"/>
    <x v="4"/>
    <x v="2"/>
  </r>
  <r>
    <x v="627"/>
    <x v="8"/>
    <x v="2"/>
    <n v="18.600000000000001"/>
    <x v="571"/>
    <x v="26"/>
    <x v="29"/>
    <x v="2"/>
    <x v="2"/>
    <x v="0"/>
    <x v="0"/>
    <x v="21"/>
    <x v="3"/>
    <x v="4"/>
    <x v="2"/>
  </r>
  <r>
    <x v="628"/>
    <x v="4"/>
    <x v="0"/>
    <n v="58.8"/>
    <x v="572"/>
    <x v="26"/>
    <x v="28"/>
    <x v="2"/>
    <x v="0"/>
    <x v="1"/>
    <x v="0"/>
    <x v="21"/>
    <x v="1"/>
    <x v="4"/>
    <x v="2"/>
  </r>
  <r>
    <x v="629"/>
    <x v="8"/>
    <x v="1"/>
    <n v="22.1"/>
    <x v="573"/>
    <x v="26"/>
    <x v="26"/>
    <x v="1"/>
    <x v="1"/>
    <x v="2"/>
    <x v="0"/>
    <x v="21"/>
    <x v="2"/>
    <x v="4"/>
    <x v="1"/>
  </r>
  <r>
    <x v="630"/>
    <x v="2"/>
    <x v="0"/>
    <n v="114.9"/>
    <x v="574"/>
    <x v="27"/>
    <x v="28"/>
    <x v="2"/>
    <x v="1"/>
    <x v="1"/>
    <x v="0"/>
    <x v="22"/>
    <x v="3"/>
    <x v="4"/>
    <x v="2"/>
  </r>
  <r>
    <x v="631"/>
    <x v="9"/>
    <x v="9"/>
    <n v="75.8"/>
    <x v="575"/>
    <x v="27"/>
    <x v="28"/>
    <x v="1"/>
    <x v="0"/>
    <x v="2"/>
    <x v="0"/>
    <x v="3"/>
    <x v="3"/>
    <x v="4"/>
    <x v="1"/>
  </r>
  <r>
    <x v="632"/>
    <x v="14"/>
    <x v="9"/>
    <n v="20.6"/>
    <x v="576"/>
    <x v="27"/>
    <x v="28"/>
    <x v="1"/>
    <x v="2"/>
    <x v="2"/>
    <x v="0"/>
    <x v="3"/>
    <x v="3"/>
    <x v="4"/>
    <x v="1"/>
  </r>
  <r>
    <x v="633"/>
    <x v="17"/>
    <x v="2"/>
    <n v="67.900000000000006"/>
    <x v="577"/>
    <x v="27"/>
    <x v="28"/>
    <x v="2"/>
    <x v="1"/>
    <x v="1"/>
    <x v="0"/>
    <x v="3"/>
    <x v="3"/>
    <x v="4"/>
    <x v="2"/>
  </r>
  <r>
    <x v="634"/>
    <x v="0"/>
    <x v="9"/>
    <n v="27"/>
    <x v="340"/>
    <x v="27"/>
    <x v="32"/>
    <x v="2"/>
    <x v="0"/>
    <x v="2"/>
    <x v="0"/>
    <x v="3"/>
    <x v="6"/>
    <x v="4"/>
    <x v="2"/>
  </r>
  <r>
    <x v="635"/>
    <x v="13"/>
    <x v="0"/>
    <n v="50.6"/>
    <x v="578"/>
    <x v="27"/>
    <x v="29"/>
    <x v="1"/>
    <x v="0"/>
    <x v="1"/>
    <x v="0"/>
    <x v="3"/>
    <x v="7"/>
    <x v="4"/>
    <x v="1"/>
  </r>
  <r>
    <x v="636"/>
    <x v="4"/>
    <x v="9"/>
    <n v="22.1"/>
    <x v="579"/>
    <x v="27"/>
    <x v="33"/>
    <x v="1"/>
    <x v="0"/>
    <x v="0"/>
    <x v="0"/>
    <x v="3"/>
    <x v="0"/>
    <x v="4"/>
    <x v="1"/>
  </r>
  <r>
    <x v="637"/>
    <x v="8"/>
    <x v="2"/>
    <n v="42.9"/>
    <x v="580"/>
    <x v="27"/>
    <x v="26"/>
    <x v="2"/>
    <x v="0"/>
    <x v="0"/>
    <x v="0"/>
    <x v="3"/>
    <x v="1"/>
    <x v="4"/>
    <x v="2"/>
  </r>
  <r>
    <x v="638"/>
    <x v="1"/>
    <x v="5"/>
    <n v="62.4"/>
    <x v="581"/>
    <x v="27"/>
    <x v="26"/>
    <x v="2"/>
    <x v="2"/>
    <x v="0"/>
    <x v="0"/>
    <x v="3"/>
    <x v="1"/>
    <x v="4"/>
    <x v="2"/>
  </r>
  <r>
    <x v="639"/>
    <x v="13"/>
    <x v="11"/>
    <n v="36.4"/>
    <x v="582"/>
    <x v="27"/>
    <x v="26"/>
    <x v="2"/>
    <x v="0"/>
    <x v="2"/>
    <x v="0"/>
    <x v="3"/>
    <x v="1"/>
    <x v="4"/>
    <x v="2"/>
  </r>
  <r>
    <x v="640"/>
    <x v="0"/>
    <x v="1"/>
    <n v="22.5"/>
    <x v="583"/>
    <x v="27"/>
    <x v="27"/>
    <x v="1"/>
    <x v="0"/>
    <x v="0"/>
    <x v="0"/>
    <x v="3"/>
    <x v="2"/>
    <x v="4"/>
    <x v="1"/>
  </r>
  <r>
    <x v="641"/>
    <x v="6"/>
    <x v="12"/>
    <n v="70.8"/>
    <x v="584"/>
    <x v="27"/>
    <x v="26"/>
    <x v="2"/>
    <x v="4"/>
    <x v="0"/>
    <x v="0"/>
    <x v="3"/>
    <x v="1"/>
    <x v="4"/>
    <x v="2"/>
  </r>
  <r>
    <x v="642"/>
    <x v="6"/>
    <x v="9"/>
    <n v="56.6"/>
    <x v="585"/>
    <x v="27"/>
    <x v="26"/>
    <x v="1"/>
    <x v="0"/>
    <x v="1"/>
    <x v="0"/>
    <x v="4"/>
    <x v="1"/>
    <x v="4"/>
    <x v="1"/>
  </r>
  <r>
    <x v="643"/>
    <x v="6"/>
    <x v="1"/>
    <n v="47.9"/>
    <x v="586"/>
    <x v="27"/>
    <x v="28"/>
    <x v="2"/>
    <x v="0"/>
    <x v="0"/>
    <x v="0"/>
    <x v="6"/>
    <x v="3"/>
    <x v="4"/>
    <x v="2"/>
  </r>
  <r>
    <x v="644"/>
    <x v="6"/>
    <x v="8"/>
    <n v="78.400000000000006"/>
    <x v="587"/>
    <x v="27"/>
    <x v="26"/>
    <x v="2"/>
    <x v="1"/>
    <x v="0"/>
    <x v="0"/>
    <x v="6"/>
    <x v="1"/>
    <x v="4"/>
    <x v="2"/>
  </r>
  <r>
    <x v="645"/>
    <x v="2"/>
    <x v="21"/>
    <n v="122.1"/>
    <x v="588"/>
    <x v="27"/>
    <x v="33"/>
    <x v="2"/>
    <x v="0"/>
    <x v="2"/>
    <x v="0"/>
    <x v="6"/>
    <x v="0"/>
    <x v="4"/>
    <x v="2"/>
  </r>
  <r>
    <x v="646"/>
    <x v="2"/>
    <x v="1"/>
    <n v="83.7"/>
    <x v="589"/>
    <x v="28"/>
    <x v="28"/>
    <x v="0"/>
    <x v="1"/>
    <x v="2"/>
    <x v="0"/>
    <x v="7"/>
    <x v="7"/>
    <x v="4"/>
    <x v="0"/>
  </r>
  <r>
    <x v="647"/>
    <x v="3"/>
    <x v="12"/>
    <n v="97.9"/>
    <x v="590"/>
    <x v="28"/>
    <x v="33"/>
    <x v="2"/>
    <x v="3"/>
    <x v="2"/>
    <x v="0"/>
    <x v="7"/>
    <x v="5"/>
    <x v="4"/>
    <x v="2"/>
  </r>
  <r>
    <x v="648"/>
    <x v="14"/>
    <x v="0"/>
    <n v="15"/>
    <x v="591"/>
    <x v="28"/>
    <x v="34"/>
    <x v="2"/>
    <x v="3"/>
    <x v="0"/>
    <x v="0"/>
    <x v="8"/>
    <x v="0"/>
    <x v="4"/>
    <x v="2"/>
  </r>
  <r>
    <x v="649"/>
    <x v="12"/>
    <x v="2"/>
    <n v="94.6"/>
    <x v="592"/>
    <x v="28"/>
    <x v="26"/>
    <x v="1"/>
    <x v="2"/>
    <x v="1"/>
    <x v="0"/>
    <x v="8"/>
    <x v="3"/>
    <x v="4"/>
    <x v="1"/>
  </r>
  <r>
    <x v="650"/>
    <x v="0"/>
    <x v="13"/>
    <n v="19.7"/>
    <x v="593"/>
    <x v="28"/>
    <x v="35"/>
    <x v="2"/>
    <x v="0"/>
    <x v="2"/>
    <x v="0"/>
    <x v="8"/>
    <x v="11"/>
    <x v="4"/>
    <x v="2"/>
  </r>
  <r>
    <x v="651"/>
    <x v="7"/>
    <x v="0"/>
    <n v="46.7"/>
    <x v="594"/>
    <x v="28"/>
    <x v="30"/>
    <x v="2"/>
    <x v="2"/>
    <x v="0"/>
    <x v="0"/>
    <x v="17"/>
    <x v="2"/>
    <x v="4"/>
    <x v="2"/>
  </r>
  <r>
    <x v="652"/>
    <x v="1"/>
    <x v="12"/>
    <n v="43"/>
    <x v="595"/>
    <x v="28"/>
    <x v="26"/>
    <x v="1"/>
    <x v="2"/>
    <x v="2"/>
    <x v="0"/>
    <x v="17"/>
    <x v="3"/>
    <x v="4"/>
    <x v="1"/>
  </r>
  <r>
    <x v="653"/>
    <x v="6"/>
    <x v="2"/>
    <n v="68.2"/>
    <x v="214"/>
    <x v="28"/>
    <x v="32"/>
    <x v="2"/>
    <x v="0"/>
    <x v="0"/>
    <x v="0"/>
    <x v="9"/>
    <x v="4"/>
    <x v="4"/>
    <x v="2"/>
  </r>
  <r>
    <x v="654"/>
    <x v="10"/>
    <x v="7"/>
    <n v="24.3"/>
    <x v="596"/>
    <x v="28"/>
    <x v="26"/>
    <x v="1"/>
    <x v="0"/>
    <x v="2"/>
    <x v="0"/>
    <x v="10"/>
    <x v="3"/>
    <x v="4"/>
    <x v="1"/>
  </r>
  <r>
    <x v="655"/>
    <x v="7"/>
    <x v="1"/>
    <n v="86.8"/>
    <x v="597"/>
    <x v="28"/>
    <x v="33"/>
    <x v="2"/>
    <x v="4"/>
    <x v="2"/>
    <x v="0"/>
    <x v="11"/>
    <x v="5"/>
    <x v="4"/>
    <x v="2"/>
  </r>
  <r>
    <x v="656"/>
    <x v="0"/>
    <x v="1"/>
    <n v="15.8"/>
    <x v="35"/>
    <x v="28"/>
    <x v="27"/>
    <x v="1"/>
    <x v="1"/>
    <x v="0"/>
    <x v="0"/>
    <x v="11"/>
    <x v="1"/>
    <x v="4"/>
    <x v="1"/>
  </r>
  <r>
    <x v="657"/>
    <x v="2"/>
    <x v="12"/>
    <n v="61.6"/>
    <x v="598"/>
    <x v="28"/>
    <x v="26"/>
    <x v="1"/>
    <x v="2"/>
    <x v="0"/>
    <x v="0"/>
    <x v="11"/>
    <x v="3"/>
    <x v="4"/>
    <x v="1"/>
  </r>
  <r>
    <x v="658"/>
    <x v="6"/>
    <x v="2"/>
    <n v="48.7"/>
    <x v="599"/>
    <x v="28"/>
    <x v="32"/>
    <x v="2"/>
    <x v="1"/>
    <x v="2"/>
    <x v="0"/>
    <x v="45"/>
    <x v="4"/>
    <x v="4"/>
    <x v="2"/>
  </r>
  <r>
    <x v="659"/>
    <x v="8"/>
    <x v="12"/>
    <n v="24.3"/>
    <x v="451"/>
    <x v="28"/>
    <x v="27"/>
    <x v="2"/>
    <x v="1"/>
    <x v="2"/>
    <x v="0"/>
    <x v="21"/>
    <x v="1"/>
    <x v="4"/>
    <x v="2"/>
  </r>
  <r>
    <x v="660"/>
    <x v="2"/>
    <x v="1"/>
    <n v="130.69999999999999"/>
    <x v="600"/>
    <x v="28"/>
    <x v="26"/>
    <x v="2"/>
    <x v="2"/>
    <x v="0"/>
    <x v="0"/>
    <x v="44"/>
    <x v="3"/>
    <x v="4"/>
    <x v="2"/>
  </r>
  <r>
    <x v="661"/>
    <x v="10"/>
    <x v="0"/>
    <n v="26"/>
    <x v="601"/>
    <x v="28"/>
    <x v="27"/>
    <x v="1"/>
    <x v="0"/>
    <x v="0"/>
    <x v="0"/>
    <x v="3"/>
    <x v="1"/>
    <x v="4"/>
    <x v="1"/>
  </r>
  <r>
    <x v="662"/>
    <x v="2"/>
    <x v="9"/>
    <n v="94.4"/>
    <x v="602"/>
    <x v="28"/>
    <x v="26"/>
    <x v="2"/>
    <x v="0"/>
    <x v="0"/>
    <x v="0"/>
    <x v="3"/>
    <x v="3"/>
    <x v="4"/>
    <x v="2"/>
  </r>
  <r>
    <x v="663"/>
    <x v="0"/>
    <x v="13"/>
    <n v="23.7"/>
    <x v="60"/>
    <x v="28"/>
    <x v="27"/>
    <x v="1"/>
    <x v="2"/>
    <x v="2"/>
    <x v="0"/>
    <x v="3"/>
    <x v="1"/>
    <x v="4"/>
    <x v="1"/>
  </r>
  <r>
    <x v="664"/>
    <x v="9"/>
    <x v="4"/>
    <n v="37.4"/>
    <x v="603"/>
    <x v="28"/>
    <x v="27"/>
    <x v="1"/>
    <x v="2"/>
    <x v="0"/>
    <x v="0"/>
    <x v="3"/>
    <x v="1"/>
    <x v="4"/>
    <x v="1"/>
  </r>
  <r>
    <x v="665"/>
    <x v="1"/>
    <x v="34"/>
    <n v="55.2"/>
    <x v="604"/>
    <x v="28"/>
    <x v="28"/>
    <x v="2"/>
    <x v="3"/>
    <x v="1"/>
    <x v="0"/>
    <x v="3"/>
    <x v="7"/>
    <x v="4"/>
    <x v="2"/>
  </r>
  <r>
    <x v="666"/>
    <x v="2"/>
    <x v="11"/>
    <n v="57.1"/>
    <x v="605"/>
    <x v="28"/>
    <x v="27"/>
    <x v="1"/>
    <x v="0"/>
    <x v="2"/>
    <x v="0"/>
    <x v="3"/>
    <x v="1"/>
    <x v="4"/>
    <x v="1"/>
  </r>
  <r>
    <x v="667"/>
    <x v="12"/>
    <x v="0"/>
    <n v="55.3"/>
    <x v="6"/>
    <x v="28"/>
    <x v="26"/>
    <x v="2"/>
    <x v="2"/>
    <x v="2"/>
    <x v="0"/>
    <x v="3"/>
    <x v="3"/>
    <x v="4"/>
    <x v="2"/>
  </r>
  <r>
    <x v="668"/>
    <x v="15"/>
    <x v="3"/>
    <n v="23.9"/>
    <x v="606"/>
    <x v="28"/>
    <x v="26"/>
    <x v="2"/>
    <x v="4"/>
    <x v="1"/>
    <x v="0"/>
    <x v="3"/>
    <x v="3"/>
    <x v="4"/>
    <x v="2"/>
  </r>
  <r>
    <x v="669"/>
    <x v="0"/>
    <x v="0"/>
    <n v="34.1"/>
    <x v="607"/>
    <x v="28"/>
    <x v="36"/>
    <x v="2"/>
    <x v="2"/>
    <x v="0"/>
    <x v="0"/>
    <x v="3"/>
    <x v="6"/>
    <x v="4"/>
    <x v="2"/>
  </r>
  <r>
    <x v="670"/>
    <x v="12"/>
    <x v="12"/>
    <n v="38.5"/>
    <x v="608"/>
    <x v="28"/>
    <x v="35"/>
    <x v="2"/>
    <x v="0"/>
    <x v="0"/>
    <x v="0"/>
    <x v="3"/>
    <x v="11"/>
    <x v="4"/>
    <x v="2"/>
  </r>
  <r>
    <x v="671"/>
    <x v="7"/>
    <x v="1"/>
    <n v="105"/>
    <x v="609"/>
    <x v="28"/>
    <x v="32"/>
    <x v="2"/>
    <x v="0"/>
    <x v="2"/>
    <x v="0"/>
    <x v="3"/>
    <x v="4"/>
    <x v="4"/>
    <x v="2"/>
  </r>
  <r>
    <x v="672"/>
    <x v="8"/>
    <x v="9"/>
    <n v="45.2"/>
    <x v="326"/>
    <x v="28"/>
    <x v="27"/>
    <x v="2"/>
    <x v="0"/>
    <x v="2"/>
    <x v="0"/>
    <x v="3"/>
    <x v="1"/>
    <x v="4"/>
    <x v="2"/>
  </r>
  <r>
    <x v="673"/>
    <x v="17"/>
    <x v="2"/>
    <n v="24.8"/>
    <x v="610"/>
    <x v="28"/>
    <x v="28"/>
    <x v="0"/>
    <x v="0"/>
    <x v="1"/>
    <x v="0"/>
    <x v="3"/>
    <x v="7"/>
    <x v="4"/>
    <x v="0"/>
  </r>
  <r>
    <x v="674"/>
    <x v="11"/>
    <x v="12"/>
    <n v="43.8"/>
    <x v="122"/>
    <x v="28"/>
    <x v="36"/>
    <x v="2"/>
    <x v="1"/>
    <x v="2"/>
    <x v="0"/>
    <x v="6"/>
    <x v="6"/>
    <x v="4"/>
    <x v="2"/>
  </r>
  <r>
    <x v="675"/>
    <x v="1"/>
    <x v="0"/>
    <n v="75"/>
    <x v="611"/>
    <x v="28"/>
    <x v="27"/>
    <x v="2"/>
    <x v="4"/>
    <x v="1"/>
    <x v="0"/>
    <x v="6"/>
    <x v="1"/>
    <x v="4"/>
    <x v="2"/>
  </r>
  <r>
    <x v="676"/>
    <x v="2"/>
    <x v="0"/>
    <n v="169.9"/>
    <x v="612"/>
    <x v="28"/>
    <x v="26"/>
    <x v="1"/>
    <x v="2"/>
    <x v="0"/>
    <x v="0"/>
    <x v="6"/>
    <x v="3"/>
    <x v="4"/>
    <x v="1"/>
  </r>
  <r>
    <x v="677"/>
    <x v="9"/>
    <x v="1"/>
    <n v="72.2"/>
    <x v="613"/>
    <x v="28"/>
    <x v="27"/>
    <x v="2"/>
    <x v="4"/>
    <x v="1"/>
    <x v="0"/>
    <x v="6"/>
    <x v="1"/>
    <x v="4"/>
    <x v="2"/>
  </r>
  <r>
    <x v="678"/>
    <x v="0"/>
    <x v="0"/>
    <n v="20"/>
    <x v="614"/>
    <x v="29"/>
    <x v="33"/>
    <x v="2"/>
    <x v="2"/>
    <x v="1"/>
    <x v="0"/>
    <x v="7"/>
    <x v="2"/>
    <x v="4"/>
    <x v="2"/>
  </r>
  <r>
    <x v="679"/>
    <x v="9"/>
    <x v="1"/>
    <n v="40.799999999999997"/>
    <x v="330"/>
    <x v="29"/>
    <x v="30"/>
    <x v="2"/>
    <x v="3"/>
    <x v="2"/>
    <x v="0"/>
    <x v="8"/>
    <x v="1"/>
    <x v="4"/>
    <x v="2"/>
  </r>
  <r>
    <x v="680"/>
    <x v="10"/>
    <x v="12"/>
    <n v="58"/>
    <x v="615"/>
    <x v="29"/>
    <x v="34"/>
    <x v="2"/>
    <x v="0"/>
    <x v="0"/>
    <x v="0"/>
    <x v="8"/>
    <x v="5"/>
    <x v="4"/>
    <x v="2"/>
  </r>
  <r>
    <x v="681"/>
    <x v="12"/>
    <x v="1"/>
    <n v="43.1"/>
    <x v="616"/>
    <x v="29"/>
    <x v="27"/>
    <x v="2"/>
    <x v="1"/>
    <x v="2"/>
    <x v="0"/>
    <x v="8"/>
    <x v="3"/>
    <x v="4"/>
    <x v="2"/>
  </r>
  <r>
    <x v="682"/>
    <x v="6"/>
    <x v="11"/>
    <n v="74.7"/>
    <x v="617"/>
    <x v="29"/>
    <x v="30"/>
    <x v="1"/>
    <x v="0"/>
    <x v="2"/>
    <x v="0"/>
    <x v="8"/>
    <x v="1"/>
    <x v="4"/>
    <x v="1"/>
  </r>
  <r>
    <x v="683"/>
    <x v="6"/>
    <x v="0"/>
    <n v="128.19999999999999"/>
    <x v="618"/>
    <x v="29"/>
    <x v="26"/>
    <x v="1"/>
    <x v="1"/>
    <x v="0"/>
    <x v="0"/>
    <x v="8"/>
    <x v="7"/>
    <x v="4"/>
    <x v="1"/>
  </r>
  <r>
    <x v="684"/>
    <x v="14"/>
    <x v="12"/>
    <n v="26.7"/>
    <x v="619"/>
    <x v="29"/>
    <x v="27"/>
    <x v="1"/>
    <x v="1"/>
    <x v="0"/>
    <x v="0"/>
    <x v="8"/>
    <x v="3"/>
    <x v="4"/>
    <x v="1"/>
  </r>
  <r>
    <x v="685"/>
    <x v="17"/>
    <x v="13"/>
    <n v="31.5"/>
    <x v="620"/>
    <x v="29"/>
    <x v="27"/>
    <x v="2"/>
    <x v="2"/>
    <x v="0"/>
    <x v="0"/>
    <x v="17"/>
    <x v="3"/>
    <x v="4"/>
    <x v="2"/>
  </r>
  <r>
    <x v="686"/>
    <x v="3"/>
    <x v="3"/>
    <n v="64.7"/>
    <x v="621"/>
    <x v="29"/>
    <x v="27"/>
    <x v="2"/>
    <x v="0"/>
    <x v="2"/>
    <x v="0"/>
    <x v="9"/>
    <x v="3"/>
    <x v="4"/>
    <x v="2"/>
  </r>
  <r>
    <x v="687"/>
    <x v="5"/>
    <x v="1"/>
    <n v="55.6"/>
    <x v="622"/>
    <x v="29"/>
    <x v="33"/>
    <x v="2"/>
    <x v="3"/>
    <x v="0"/>
    <x v="0"/>
    <x v="11"/>
    <x v="2"/>
    <x v="4"/>
    <x v="2"/>
  </r>
  <r>
    <x v="688"/>
    <x v="3"/>
    <x v="1"/>
    <n v="36.200000000000003"/>
    <x v="623"/>
    <x v="29"/>
    <x v="27"/>
    <x v="2"/>
    <x v="3"/>
    <x v="0"/>
    <x v="0"/>
    <x v="11"/>
    <x v="3"/>
    <x v="4"/>
    <x v="2"/>
  </r>
  <r>
    <x v="689"/>
    <x v="0"/>
    <x v="0"/>
    <n v="26.6"/>
    <x v="534"/>
    <x v="29"/>
    <x v="27"/>
    <x v="0"/>
    <x v="1"/>
    <x v="1"/>
    <x v="0"/>
    <x v="19"/>
    <x v="3"/>
    <x v="4"/>
    <x v="0"/>
  </r>
  <r>
    <x v="690"/>
    <x v="10"/>
    <x v="12"/>
    <n v="31.5"/>
    <x v="624"/>
    <x v="29"/>
    <x v="30"/>
    <x v="1"/>
    <x v="0"/>
    <x v="0"/>
    <x v="0"/>
    <x v="31"/>
    <x v="1"/>
    <x v="4"/>
    <x v="1"/>
  </r>
  <r>
    <x v="691"/>
    <x v="10"/>
    <x v="0"/>
    <n v="27"/>
    <x v="49"/>
    <x v="29"/>
    <x v="30"/>
    <x v="2"/>
    <x v="1"/>
    <x v="2"/>
    <x v="0"/>
    <x v="13"/>
    <x v="1"/>
    <x v="4"/>
    <x v="2"/>
  </r>
  <r>
    <x v="692"/>
    <x v="4"/>
    <x v="0"/>
    <n v="32"/>
    <x v="109"/>
    <x v="29"/>
    <x v="33"/>
    <x v="1"/>
    <x v="3"/>
    <x v="0"/>
    <x v="0"/>
    <x v="21"/>
    <x v="2"/>
    <x v="4"/>
    <x v="1"/>
  </r>
  <r>
    <x v="693"/>
    <x v="1"/>
    <x v="2"/>
    <n v="48.1"/>
    <x v="625"/>
    <x v="29"/>
    <x v="30"/>
    <x v="1"/>
    <x v="2"/>
    <x v="1"/>
    <x v="0"/>
    <x v="1"/>
    <x v="1"/>
    <x v="4"/>
    <x v="1"/>
  </r>
  <r>
    <x v="694"/>
    <x v="9"/>
    <x v="1"/>
    <n v="43.4"/>
    <x v="626"/>
    <x v="29"/>
    <x v="27"/>
    <x v="1"/>
    <x v="1"/>
    <x v="1"/>
    <x v="0"/>
    <x v="22"/>
    <x v="3"/>
    <x v="4"/>
    <x v="1"/>
  </r>
  <r>
    <x v="695"/>
    <x v="6"/>
    <x v="1"/>
    <n v="42.6"/>
    <x v="464"/>
    <x v="29"/>
    <x v="33"/>
    <x v="2"/>
    <x v="3"/>
    <x v="0"/>
    <x v="0"/>
    <x v="22"/>
    <x v="2"/>
    <x v="4"/>
    <x v="2"/>
  </r>
  <r>
    <x v="696"/>
    <x v="8"/>
    <x v="1"/>
    <n v="15.9"/>
    <x v="627"/>
    <x v="29"/>
    <x v="27"/>
    <x v="2"/>
    <x v="0"/>
    <x v="0"/>
    <x v="0"/>
    <x v="34"/>
    <x v="3"/>
    <x v="4"/>
    <x v="2"/>
  </r>
  <r>
    <x v="697"/>
    <x v="9"/>
    <x v="1"/>
    <n v="63.2"/>
    <x v="628"/>
    <x v="29"/>
    <x v="27"/>
    <x v="1"/>
    <x v="1"/>
    <x v="0"/>
    <x v="0"/>
    <x v="3"/>
    <x v="3"/>
    <x v="4"/>
    <x v="1"/>
  </r>
  <r>
    <x v="698"/>
    <x v="7"/>
    <x v="12"/>
    <n v="64.8"/>
    <x v="629"/>
    <x v="29"/>
    <x v="30"/>
    <x v="0"/>
    <x v="4"/>
    <x v="1"/>
    <x v="0"/>
    <x v="3"/>
    <x v="1"/>
    <x v="4"/>
    <x v="0"/>
  </r>
  <r>
    <x v="699"/>
    <x v="7"/>
    <x v="2"/>
    <n v="79.8"/>
    <x v="342"/>
    <x v="29"/>
    <x v="27"/>
    <x v="1"/>
    <x v="0"/>
    <x v="0"/>
    <x v="0"/>
    <x v="3"/>
    <x v="3"/>
    <x v="4"/>
    <x v="1"/>
  </r>
  <r>
    <x v="700"/>
    <x v="9"/>
    <x v="0"/>
    <n v="54.4"/>
    <x v="630"/>
    <x v="29"/>
    <x v="30"/>
    <x v="2"/>
    <x v="4"/>
    <x v="2"/>
    <x v="0"/>
    <x v="3"/>
    <x v="1"/>
    <x v="4"/>
    <x v="2"/>
  </r>
  <r>
    <x v="701"/>
    <x v="6"/>
    <x v="0"/>
    <n v="87.3"/>
    <x v="631"/>
    <x v="29"/>
    <x v="27"/>
    <x v="1"/>
    <x v="1"/>
    <x v="0"/>
    <x v="0"/>
    <x v="3"/>
    <x v="3"/>
    <x v="4"/>
    <x v="1"/>
  </r>
  <r>
    <x v="702"/>
    <x v="8"/>
    <x v="12"/>
    <n v="32.4"/>
    <x v="632"/>
    <x v="29"/>
    <x v="26"/>
    <x v="1"/>
    <x v="1"/>
    <x v="0"/>
    <x v="0"/>
    <x v="3"/>
    <x v="7"/>
    <x v="4"/>
    <x v="1"/>
  </r>
  <r>
    <x v="703"/>
    <x v="2"/>
    <x v="0"/>
    <n v="177.4"/>
    <x v="633"/>
    <x v="29"/>
    <x v="34"/>
    <x v="1"/>
    <x v="0"/>
    <x v="2"/>
    <x v="0"/>
    <x v="3"/>
    <x v="5"/>
    <x v="4"/>
    <x v="1"/>
  </r>
  <r>
    <x v="704"/>
    <x v="7"/>
    <x v="1"/>
    <n v="70.099999999999994"/>
    <x v="634"/>
    <x v="29"/>
    <x v="27"/>
    <x v="1"/>
    <x v="3"/>
    <x v="1"/>
    <x v="0"/>
    <x v="3"/>
    <x v="3"/>
    <x v="4"/>
    <x v="1"/>
  </r>
  <r>
    <x v="705"/>
    <x v="9"/>
    <x v="13"/>
    <n v="51.1"/>
    <x v="567"/>
    <x v="29"/>
    <x v="27"/>
    <x v="2"/>
    <x v="0"/>
    <x v="0"/>
    <x v="0"/>
    <x v="3"/>
    <x v="3"/>
    <x v="4"/>
    <x v="2"/>
  </r>
  <r>
    <x v="706"/>
    <x v="2"/>
    <x v="9"/>
    <n v="79.900000000000006"/>
    <x v="635"/>
    <x v="29"/>
    <x v="30"/>
    <x v="1"/>
    <x v="3"/>
    <x v="2"/>
    <x v="0"/>
    <x v="24"/>
    <x v="1"/>
    <x v="4"/>
    <x v="1"/>
  </r>
  <r>
    <x v="707"/>
    <x v="6"/>
    <x v="0"/>
    <n v="57.6"/>
    <x v="636"/>
    <x v="30"/>
    <x v="36"/>
    <x v="1"/>
    <x v="0"/>
    <x v="2"/>
    <x v="0"/>
    <x v="49"/>
    <x v="0"/>
    <x v="4"/>
    <x v="1"/>
  </r>
  <r>
    <x v="708"/>
    <x v="8"/>
    <x v="7"/>
    <n v="59.7"/>
    <x v="637"/>
    <x v="30"/>
    <x v="32"/>
    <x v="1"/>
    <x v="2"/>
    <x v="0"/>
    <x v="0"/>
    <x v="25"/>
    <x v="5"/>
    <x v="4"/>
    <x v="1"/>
  </r>
  <r>
    <x v="709"/>
    <x v="8"/>
    <x v="9"/>
    <n v="30"/>
    <x v="638"/>
    <x v="30"/>
    <x v="33"/>
    <x v="1"/>
    <x v="1"/>
    <x v="0"/>
    <x v="0"/>
    <x v="6"/>
    <x v="1"/>
    <x v="4"/>
    <x v="1"/>
  </r>
  <r>
    <x v="710"/>
    <x v="10"/>
    <x v="1"/>
    <n v="69.2"/>
    <x v="639"/>
    <x v="30"/>
    <x v="33"/>
    <x v="0"/>
    <x v="2"/>
    <x v="1"/>
    <x v="0"/>
    <x v="6"/>
    <x v="1"/>
    <x v="4"/>
    <x v="0"/>
  </r>
  <r>
    <x v="711"/>
    <x v="0"/>
    <x v="8"/>
    <n v="10.9"/>
    <x v="640"/>
    <x v="30"/>
    <x v="30"/>
    <x v="2"/>
    <x v="0"/>
    <x v="2"/>
    <x v="0"/>
    <x v="6"/>
    <x v="3"/>
    <x v="4"/>
    <x v="2"/>
  </r>
  <r>
    <x v="712"/>
    <x v="16"/>
    <x v="1"/>
    <n v="48.6"/>
    <x v="451"/>
    <x v="30"/>
    <x v="32"/>
    <x v="1"/>
    <x v="1"/>
    <x v="2"/>
    <x v="0"/>
    <x v="6"/>
    <x v="5"/>
    <x v="4"/>
    <x v="1"/>
  </r>
  <r>
    <x v="713"/>
    <x v="2"/>
    <x v="1"/>
    <n v="61.1"/>
    <x v="641"/>
    <x v="30"/>
    <x v="34"/>
    <x v="2"/>
    <x v="1"/>
    <x v="2"/>
    <x v="0"/>
    <x v="7"/>
    <x v="2"/>
    <x v="4"/>
    <x v="2"/>
  </r>
  <r>
    <x v="714"/>
    <x v="8"/>
    <x v="1"/>
    <n v="23.2"/>
    <x v="434"/>
    <x v="30"/>
    <x v="30"/>
    <x v="1"/>
    <x v="3"/>
    <x v="2"/>
    <x v="0"/>
    <x v="8"/>
    <x v="3"/>
    <x v="4"/>
    <x v="1"/>
  </r>
  <r>
    <x v="715"/>
    <x v="12"/>
    <x v="12"/>
    <n v="55.8"/>
    <x v="642"/>
    <x v="30"/>
    <x v="30"/>
    <x v="1"/>
    <x v="0"/>
    <x v="0"/>
    <x v="0"/>
    <x v="8"/>
    <x v="3"/>
    <x v="4"/>
    <x v="1"/>
  </r>
  <r>
    <x v="716"/>
    <x v="9"/>
    <x v="12"/>
    <n v="24.8"/>
    <x v="643"/>
    <x v="30"/>
    <x v="30"/>
    <x v="2"/>
    <x v="0"/>
    <x v="2"/>
    <x v="0"/>
    <x v="8"/>
    <x v="3"/>
    <x v="4"/>
    <x v="2"/>
  </r>
  <r>
    <x v="717"/>
    <x v="10"/>
    <x v="1"/>
    <n v="27.9"/>
    <x v="391"/>
    <x v="30"/>
    <x v="27"/>
    <x v="1"/>
    <x v="2"/>
    <x v="2"/>
    <x v="0"/>
    <x v="8"/>
    <x v="7"/>
    <x v="4"/>
    <x v="1"/>
  </r>
  <r>
    <x v="718"/>
    <x v="10"/>
    <x v="13"/>
    <n v="51.1"/>
    <x v="567"/>
    <x v="30"/>
    <x v="27"/>
    <x v="2"/>
    <x v="3"/>
    <x v="0"/>
    <x v="0"/>
    <x v="8"/>
    <x v="7"/>
    <x v="4"/>
    <x v="2"/>
  </r>
  <r>
    <x v="719"/>
    <x v="17"/>
    <x v="5"/>
    <n v="32.700000000000003"/>
    <x v="644"/>
    <x v="30"/>
    <x v="30"/>
    <x v="1"/>
    <x v="4"/>
    <x v="2"/>
    <x v="0"/>
    <x v="17"/>
    <x v="3"/>
    <x v="4"/>
    <x v="1"/>
  </r>
  <r>
    <x v="720"/>
    <x v="8"/>
    <x v="12"/>
    <n v="22.5"/>
    <x v="645"/>
    <x v="30"/>
    <x v="27"/>
    <x v="1"/>
    <x v="0"/>
    <x v="2"/>
    <x v="0"/>
    <x v="26"/>
    <x v="7"/>
    <x v="4"/>
    <x v="1"/>
  </r>
  <r>
    <x v="721"/>
    <x v="0"/>
    <x v="3"/>
    <n v="14.6"/>
    <x v="646"/>
    <x v="30"/>
    <x v="30"/>
    <x v="2"/>
    <x v="2"/>
    <x v="0"/>
    <x v="0"/>
    <x v="41"/>
    <x v="3"/>
    <x v="4"/>
    <x v="2"/>
  </r>
  <r>
    <x v="722"/>
    <x v="5"/>
    <x v="2"/>
    <n v="32.5"/>
    <x v="647"/>
    <x v="30"/>
    <x v="34"/>
    <x v="1"/>
    <x v="0"/>
    <x v="0"/>
    <x v="0"/>
    <x v="10"/>
    <x v="2"/>
    <x v="4"/>
    <x v="1"/>
  </r>
  <r>
    <x v="723"/>
    <x v="18"/>
    <x v="0"/>
    <n v="78.099999999999994"/>
    <x v="648"/>
    <x v="30"/>
    <x v="34"/>
    <x v="1"/>
    <x v="0"/>
    <x v="2"/>
    <x v="0"/>
    <x v="11"/>
    <x v="2"/>
    <x v="4"/>
    <x v="1"/>
  </r>
  <r>
    <x v="724"/>
    <x v="12"/>
    <x v="13"/>
    <n v="110.2"/>
    <x v="649"/>
    <x v="30"/>
    <x v="27"/>
    <x v="1"/>
    <x v="1"/>
    <x v="4"/>
    <x v="0"/>
    <x v="13"/>
    <x v="7"/>
    <x v="4"/>
    <x v="1"/>
  </r>
  <r>
    <x v="725"/>
    <x v="6"/>
    <x v="2"/>
    <n v="86.3"/>
    <x v="650"/>
    <x v="30"/>
    <x v="33"/>
    <x v="2"/>
    <x v="3"/>
    <x v="0"/>
    <x v="0"/>
    <x v="21"/>
    <x v="1"/>
    <x v="4"/>
    <x v="2"/>
  </r>
  <r>
    <x v="726"/>
    <x v="1"/>
    <x v="13"/>
    <n v="73.599999999999994"/>
    <x v="651"/>
    <x v="30"/>
    <x v="33"/>
    <x v="3"/>
    <x v="3"/>
    <x v="4"/>
    <x v="0"/>
    <x v="44"/>
    <x v="1"/>
    <x v="4"/>
    <x v="3"/>
  </r>
  <r>
    <x v="727"/>
    <x v="6"/>
    <x v="15"/>
    <n v="67.7"/>
    <x v="652"/>
    <x v="30"/>
    <x v="33"/>
    <x v="2"/>
    <x v="0"/>
    <x v="2"/>
    <x v="0"/>
    <x v="3"/>
    <x v="1"/>
    <x v="4"/>
    <x v="2"/>
  </r>
  <r>
    <x v="728"/>
    <x v="7"/>
    <x v="13"/>
    <n v="142.19999999999999"/>
    <x v="653"/>
    <x v="30"/>
    <x v="30"/>
    <x v="2"/>
    <x v="2"/>
    <x v="4"/>
    <x v="0"/>
    <x v="3"/>
    <x v="3"/>
    <x v="4"/>
    <x v="2"/>
  </r>
  <r>
    <x v="729"/>
    <x v="1"/>
    <x v="11"/>
    <n v="45.8"/>
    <x v="654"/>
    <x v="30"/>
    <x v="33"/>
    <x v="2"/>
    <x v="1"/>
    <x v="2"/>
    <x v="0"/>
    <x v="3"/>
    <x v="1"/>
    <x v="4"/>
    <x v="2"/>
  </r>
  <r>
    <x v="730"/>
    <x v="10"/>
    <x v="1"/>
    <n v="24.2"/>
    <x v="655"/>
    <x v="31"/>
    <x v="32"/>
    <x v="2"/>
    <x v="3"/>
    <x v="2"/>
    <x v="0"/>
    <x v="3"/>
    <x v="2"/>
    <x v="4"/>
    <x v="2"/>
  </r>
  <r>
    <x v="731"/>
    <x v="2"/>
    <x v="2"/>
    <n v="144.9"/>
    <x v="656"/>
    <x v="31"/>
    <x v="33"/>
    <x v="3"/>
    <x v="2"/>
    <x v="2"/>
    <x v="0"/>
    <x v="3"/>
    <x v="3"/>
    <x v="4"/>
    <x v="3"/>
  </r>
  <r>
    <x v="732"/>
    <x v="11"/>
    <x v="9"/>
    <n v="32.799999999999997"/>
    <x v="657"/>
    <x v="31"/>
    <x v="32"/>
    <x v="2"/>
    <x v="2"/>
    <x v="0"/>
    <x v="0"/>
    <x v="23"/>
    <x v="2"/>
    <x v="4"/>
    <x v="2"/>
  </r>
  <r>
    <x v="733"/>
    <x v="7"/>
    <x v="7"/>
    <n v="35.700000000000003"/>
    <x v="658"/>
    <x v="31"/>
    <x v="30"/>
    <x v="2"/>
    <x v="0"/>
    <x v="1"/>
    <x v="0"/>
    <x v="6"/>
    <x v="7"/>
    <x v="4"/>
    <x v="2"/>
  </r>
  <r>
    <x v="734"/>
    <x v="9"/>
    <x v="1"/>
    <n v="54.6"/>
    <x v="659"/>
    <x v="31"/>
    <x v="33"/>
    <x v="2"/>
    <x v="2"/>
    <x v="0"/>
    <x v="0"/>
    <x v="6"/>
    <x v="3"/>
    <x v="4"/>
    <x v="2"/>
  </r>
  <r>
    <x v="735"/>
    <x v="8"/>
    <x v="1"/>
    <n v="35.700000000000003"/>
    <x v="660"/>
    <x v="31"/>
    <x v="32"/>
    <x v="0"/>
    <x v="0"/>
    <x v="1"/>
    <x v="0"/>
    <x v="6"/>
    <x v="2"/>
    <x v="4"/>
    <x v="0"/>
  </r>
  <r>
    <x v="736"/>
    <x v="10"/>
    <x v="1"/>
    <n v="52.4"/>
    <x v="661"/>
    <x v="31"/>
    <x v="30"/>
    <x v="2"/>
    <x v="0"/>
    <x v="3"/>
    <x v="0"/>
    <x v="6"/>
    <x v="7"/>
    <x v="4"/>
    <x v="2"/>
  </r>
  <r>
    <x v="737"/>
    <x v="8"/>
    <x v="21"/>
    <n v="16.2"/>
    <x v="662"/>
    <x v="31"/>
    <x v="33"/>
    <x v="0"/>
    <x v="0"/>
    <x v="1"/>
    <x v="0"/>
    <x v="8"/>
    <x v="3"/>
    <x v="4"/>
    <x v="0"/>
  </r>
  <r>
    <x v="738"/>
    <x v="6"/>
    <x v="35"/>
    <n v="42.8"/>
    <x v="663"/>
    <x v="31"/>
    <x v="33"/>
    <x v="2"/>
    <x v="0"/>
    <x v="0"/>
    <x v="0"/>
    <x v="8"/>
    <x v="3"/>
    <x v="4"/>
    <x v="2"/>
  </r>
  <r>
    <x v="739"/>
    <x v="6"/>
    <x v="11"/>
    <n v="144.4"/>
    <x v="664"/>
    <x v="31"/>
    <x v="32"/>
    <x v="2"/>
    <x v="4"/>
    <x v="0"/>
    <x v="0"/>
    <x v="8"/>
    <x v="2"/>
    <x v="4"/>
    <x v="2"/>
  </r>
  <r>
    <x v="740"/>
    <x v="3"/>
    <x v="34"/>
    <n v="30.6"/>
    <x v="665"/>
    <x v="31"/>
    <x v="36"/>
    <x v="2"/>
    <x v="2"/>
    <x v="2"/>
    <x v="0"/>
    <x v="11"/>
    <x v="5"/>
    <x v="4"/>
    <x v="2"/>
  </r>
  <r>
    <x v="741"/>
    <x v="2"/>
    <x v="1"/>
    <n v="117.5"/>
    <x v="666"/>
    <x v="31"/>
    <x v="33"/>
    <x v="1"/>
    <x v="0"/>
    <x v="0"/>
    <x v="0"/>
    <x v="19"/>
    <x v="3"/>
    <x v="4"/>
    <x v="1"/>
  </r>
  <r>
    <x v="742"/>
    <x v="6"/>
    <x v="1"/>
    <n v="105.7"/>
    <x v="667"/>
    <x v="31"/>
    <x v="33"/>
    <x v="2"/>
    <x v="2"/>
    <x v="2"/>
    <x v="0"/>
    <x v="21"/>
    <x v="3"/>
    <x v="4"/>
    <x v="2"/>
  </r>
  <r>
    <x v="743"/>
    <x v="3"/>
    <x v="2"/>
    <n v="133.69999999999999"/>
    <x v="668"/>
    <x v="31"/>
    <x v="33"/>
    <x v="0"/>
    <x v="4"/>
    <x v="2"/>
    <x v="0"/>
    <x v="21"/>
    <x v="3"/>
    <x v="4"/>
    <x v="0"/>
  </r>
  <r>
    <x v="744"/>
    <x v="4"/>
    <x v="9"/>
    <n v="46.8"/>
    <x v="540"/>
    <x v="32"/>
    <x v="37"/>
    <x v="2"/>
    <x v="0"/>
    <x v="1"/>
    <x v="0"/>
    <x v="21"/>
    <x v="9"/>
    <x v="5"/>
    <x v="2"/>
  </r>
  <r>
    <x v="745"/>
    <x v="10"/>
    <x v="2"/>
    <n v="58.4"/>
    <x v="122"/>
    <x v="32"/>
    <x v="32"/>
    <x v="2"/>
    <x v="0"/>
    <x v="0"/>
    <x v="0"/>
    <x v="1"/>
    <x v="1"/>
    <x v="5"/>
    <x v="2"/>
  </r>
  <r>
    <x v="746"/>
    <x v="6"/>
    <x v="11"/>
    <n v="65.099999999999994"/>
    <x v="669"/>
    <x v="32"/>
    <x v="38"/>
    <x v="1"/>
    <x v="1"/>
    <x v="2"/>
    <x v="0"/>
    <x v="22"/>
    <x v="5"/>
    <x v="5"/>
    <x v="1"/>
  </r>
  <r>
    <x v="747"/>
    <x v="8"/>
    <x v="0"/>
    <n v="18.600000000000001"/>
    <x v="670"/>
    <x v="32"/>
    <x v="36"/>
    <x v="2"/>
    <x v="0"/>
    <x v="4"/>
    <x v="0"/>
    <x v="22"/>
    <x v="2"/>
    <x v="5"/>
    <x v="2"/>
  </r>
  <r>
    <x v="748"/>
    <x v="1"/>
    <x v="5"/>
    <n v="92.3"/>
    <x v="671"/>
    <x v="32"/>
    <x v="32"/>
    <x v="1"/>
    <x v="1"/>
    <x v="0"/>
    <x v="0"/>
    <x v="3"/>
    <x v="1"/>
    <x v="5"/>
    <x v="1"/>
  </r>
  <r>
    <x v="749"/>
    <x v="6"/>
    <x v="2"/>
    <n v="81.7"/>
    <x v="672"/>
    <x v="32"/>
    <x v="34"/>
    <x v="0"/>
    <x v="4"/>
    <x v="4"/>
    <x v="0"/>
    <x v="3"/>
    <x v="3"/>
    <x v="5"/>
    <x v="0"/>
  </r>
  <r>
    <x v="750"/>
    <x v="8"/>
    <x v="1"/>
    <n v="40.9"/>
    <x v="673"/>
    <x v="32"/>
    <x v="32"/>
    <x v="1"/>
    <x v="0"/>
    <x v="1"/>
    <x v="0"/>
    <x v="3"/>
    <x v="1"/>
    <x v="5"/>
    <x v="1"/>
  </r>
  <r>
    <x v="751"/>
    <x v="6"/>
    <x v="12"/>
    <n v="43.2"/>
    <x v="162"/>
    <x v="32"/>
    <x v="39"/>
    <x v="2"/>
    <x v="0"/>
    <x v="1"/>
    <x v="0"/>
    <x v="3"/>
    <x v="4"/>
    <x v="5"/>
    <x v="2"/>
  </r>
  <r>
    <x v="752"/>
    <x v="8"/>
    <x v="5"/>
    <n v="25.8"/>
    <x v="674"/>
    <x v="32"/>
    <x v="36"/>
    <x v="1"/>
    <x v="2"/>
    <x v="1"/>
    <x v="0"/>
    <x v="3"/>
    <x v="2"/>
    <x v="5"/>
    <x v="1"/>
  </r>
  <r>
    <x v="753"/>
    <x v="15"/>
    <x v="12"/>
    <n v="36.4"/>
    <x v="675"/>
    <x v="32"/>
    <x v="34"/>
    <x v="1"/>
    <x v="0"/>
    <x v="0"/>
    <x v="0"/>
    <x v="3"/>
    <x v="3"/>
    <x v="5"/>
    <x v="1"/>
  </r>
  <r>
    <x v="754"/>
    <x v="10"/>
    <x v="0"/>
    <n v="59.1"/>
    <x v="676"/>
    <x v="32"/>
    <x v="34"/>
    <x v="2"/>
    <x v="2"/>
    <x v="0"/>
    <x v="0"/>
    <x v="7"/>
    <x v="3"/>
    <x v="5"/>
    <x v="2"/>
  </r>
  <r>
    <x v="755"/>
    <x v="2"/>
    <x v="14"/>
    <n v="74.5"/>
    <x v="677"/>
    <x v="32"/>
    <x v="32"/>
    <x v="1"/>
    <x v="4"/>
    <x v="0"/>
    <x v="0"/>
    <x v="18"/>
    <x v="1"/>
    <x v="5"/>
    <x v="1"/>
  </r>
  <r>
    <x v="756"/>
    <x v="5"/>
    <x v="0"/>
    <n v="72.8"/>
    <x v="236"/>
    <x v="32"/>
    <x v="34"/>
    <x v="2"/>
    <x v="0"/>
    <x v="1"/>
    <x v="0"/>
    <x v="19"/>
    <x v="3"/>
    <x v="5"/>
    <x v="2"/>
  </r>
  <r>
    <x v="757"/>
    <x v="6"/>
    <x v="12"/>
    <n v="137.30000000000001"/>
    <x v="678"/>
    <x v="32"/>
    <x v="36"/>
    <x v="2"/>
    <x v="0"/>
    <x v="0"/>
    <x v="0"/>
    <x v="13"/>
    <x v="2"/>
    <x v="5"/>
    <x v="2"/>
  </r>
  <r>
    <x v="758"/>
    <x v="1"/>
    <x v="2"/>
    <n v="48.7"/>
    <x v="599"/>
    <x v="32"/>
    <x v="31"/>
    <x v="2"/>
    <x v="0"/>
    <x v="1"/>
    <x v="0"/>
    <x v="21"/>
    <x v="0"/>
    <x v="5"/>
    <x v="2"/>
  </r>
  <r>
    <x v="759"/>
    <x v="6"/>
    <x v="12"/>
    <n v="53.7"/>
    <x v="679"/>
    <x v="32"/>
    <x v="38"/>
    <x v="1"/>
    <x v="1"/>
    <x v="4"/>
    <x v="0"/>
    <x v="2"/>
    <x v="5"/>
    <x v="5"/>
    <x v="1"/>
  </r>
  <r>
    <x v="760"/>
    <x v="2"/>
    <x v="3"/>
    <n v="100.9"/>
    <x v="680"/>
    <x v="32"/>
    <x v="32"/>
    <x v="2"/>
    <x v="0"/>
    <x v="1"/>
    <x v="0"/>
    <x v="2"/>
    <x v="1"/>
    <x v="5"/>
    <x v="2"/>
  </r>
  <r>
    <x v="761"/>
    <x v="10"/>
    <x v="1"/>
    <n v="41.8"/>
    <x v="681"/>
    <x v="32"/>
    <x v="38"/>
    <x v="1"/>
    <x v="3"/>
    <x v="2"/>
    <x v="0"/>
    <x v="22"/>
    <x v="5"/>
    <x v="5"/>
    <x v="1"/>
  </r>
  <r>
    <x v="762"/>
    <x v="4"/>
    <x v="8"/>
    <n v="28.5"/>
    <x v="416"/>
    <x v="32"/>
    <x v="32"/>
    <x v="1"/>
    <x v="2"/>
    <x v="1"/>
    <x v="0"/>
    <x v="3"/>
    <x v="1"/>
    <x v="5"/>
    <x v="1"/>
  </r>
  <r>
    <x v="763"/>
    <x v="7"/>
    <x v="12"/>
    <n v="88.9"/>
    <x v="682"/>
    <x v="32"/>
    <x v="36"/>
    <x v="2"/>
    <x v="0"/>
    <x v="2"/>
    <x v="0"/>
    <x v="3"/>
    <x v="2"/>
    <x v="5"/>
    <x v="2"/>
  </r>
  <r>
    <x v="764"/>
    <x v="6"/>
    <x v="0"/>
    <n v="62.5"/>
    <x v="683"/>
    <x v="32"/>
    <x v="40"/>
    <x v="2"/>
    <x v="0"/>
    <x v="2"/>
    <x v="0"/>
    <x v="3"/>
    <x v="8"/>
    <x v="5"/>
    <x v="2"/>
  </r>
  <r>
    <x v="765"/>
    <x v="1"/>
    <x v="2"/>
    <n v="46.9"/>
    <x v="684"/>
    <x v="32"/>
    <x v="34"/>
    <x v="1"/>
    <x v="0"/>
    <x v="2"/>
    <x v="0"/>
    <x v="3"/>
    <x v="3"/>
    <x v="5"/>
    <x v="1"/>
  </r>
  <r>
    <x v="766"/>
    <x v="8"/>
    <x v="2"/>
    <n v="45"/>
    <x v="340"/>
    <x v="32"/>
    <x v="41"/>
    <x v="1"/>
    <x v="1"/>
    <x v="0"/>
    <x v="0"/>
    <x v="3"/>
    <x v="12"/>
    <x v="5"/>
    <x v="1"/>
  </r>
  <r>
    <x v="767"/>
    <x v="6"/>
    <x v="2"/>
    <n v="45.2"/>
    <x v="685"/>
    <x v="32"/>
    <x v="32"/>
    <x v="1"/>
    <x v="4"/>
    <x v="2"/>
    <x v="0"/>
    <x v="3"/>
    <x v="1"/>
    <x v="5"/>
    <x v="1"/>
  </r>
  <r>
    <x v="768"/>
    <x v="4"/>
    <x v="1"/>
    <n v="60.1"/>
    <x v="493"/>
    <x v="32"/>
    <x v="34"/>
    <x v="2"/>
    <x v="0"/>
    <x v="2"/>
    <x v="0"/>
    <x v="3"/>
    <x v="3"/>
    <x v="5"/>
    <x v="2"/>
  </r>
  <r>
    <x v="769"/>
    <x v="12"/>
    <x v="12"/>
    <n v="118.7"/>
    <x v="686"/>
    <x v="32"/>
    <x v="32"/>
    <x v="2"/>
    <x v="0"/>
    <x v="0"/>
    <x v="0"/>
    <x v="3"/>
    <x v="1"/>
    <x v="5"/>
    <x v="2"/>
  </r>
  <r>
    <x v="770"/>
    <x v="9"/>
    <x v="0"/>
    <n v="57.8"/>
    <x v="687"/>
    <x v="32"/>
    <x v="40"/>
    <x v="2"/>
    <x v="1"/>
    <x v="0"/>
    <x v="0"/>
    <x v="3"/>
    <x v="8"/>
    <x v="5"/>
    <x v="2"/>
  </r>
  <r>
    <x v="771"/>
    <x v="4"/>
    <x v="0"/>
    <n v="19.5"/>
    <x v="688"/>
    <x v="32"/>
    <x v="34"/>
    <x v="1"/>
    <x v="1"/>
    <x v="1"/>
    <x v="0"/>
    <x v="3"/>
    <x v="3"/>
    <x v="5"/>
    <x v="1"/>
  </r>
  <r>
    <x v="772"/>
    <x v="12"/>
    <x v="0"/>
    <n v="42.6"/>
    <x v="440"/>
    <x v="32"/>
    <x v="34"/>
    <x v="1"/>
    <x v="0"/>
    <x v="1"/>
    <x v="0"/>
    <x v="3"/>
    <x v="3"/>
    <x v="5"/>
    <x v="1"/>
  </r>
  <r>
    <x v="773"/>
    <x v="6"/>
    <x v="1"/>
    <n v="74.8"/>
    <x v="689"/>
    <x v="32"/>
    <x v="34"/>
    <x v="2"/>
    <x v="3"/>
    <x v="2"/>
    <x v="0"/>
    <x v="37"/>
    <x v="3"/>
    <x v="5"/>
    <x v="2"/>
  </r>
  <r>
    <x v="774"/>
    <x v="8"/>
    <x v="2"/>
    <n v="32.5"/>
    <x v="647"/>
    <x v="32"/>
    <x v="34"/>
    <x v="1"/>
    <x v="2"/>
    <x v="4"/>
    <x v="0"/>
    <x v="16"/>
    <x v="3"/>
    <x v="5"/>
    <x v="1"/>
  </r>
  <r>
    <x v="775"/>
    <x v="2"/>
    <x v="2"/>
    <n v="60.5"/>
    <x v="690"/>
    <x v="32"/>
    <x v="33"/>
    <x v="2"/>
    <x v="1"/>
    <x v="2"/>
    <x v="0"/>
    <x v="25"/>
    <x v="7"/>
    <x v="5"/>
    <x v="2"/>
  </r>
  <r>
    <x v="776"/>
    <x v="1"/>
    <x v="3"/>
    <n v="57.2"/>
    <x v="691"/>
    <x v="32"/>
    <x v="32"/>
    <x v="0"/>
    <x v="2"/>
    <x v="0"/>
    <x v="0"/>
    <x v="25"/>
    <x v="1"/>
    <x v="5"/>
    <x v="0"/>
  </r>
  <r>
    <x v="777"/>
    <x v="16"/>
    <x v="1"/>
    <n v="112"/>
    <x v="692"/>
    <x v="32"/>
    <x v="34"/>
    <x v="2"/>
    <x v="1"/>
    <x v="1"/>
    <x v="0"/>
    <x v="5"/>
    <x v="3"/>
    <x v="5"/>
    <x v="2"/>
  </r>
  <r>
    <x v="778"/>
    <x v="7"/>
    <x v="7"/>
    <n v="49"/>
    <x v="157"/>
    <x v="32"/>
    <x v="34"/>
    <x v="3"/>
    <x v="2"/>
    <x v="1"/>
    <x v="0"/>
    <x v="6"/>
    <x v="3"/>
    <x v="5"/>
    <x v="3"/>
  </r>
  <r>
    <x v="779"/>
    <x v="0"/>
    <x v="1"/>
    <n v="33.700000000000003"/>
    <x v="693"/>
    <x v="32"/>
    <x v="38"/>
    <x v="2"/>
    <x v="3"/>
    <x v="0"/>
    <x v="0"/>
    <x v="6"/>
    <x v="5"/>
    <x v="5"/>
    <x v="2"/>
  </r>
  <r>
    <x v="780"/>
    <x v="4"/>
    <x v="2"/>
    <n v="35.6"/>
    <x v="694"/>
    <x v="32"/>
    <x v="36"/>
    <x v="2"/>
    <x v="0"/>
    <x v="2"/>
    <x v="0"/>
    <x v="6"/>
    <x v="2"/>
    <x v="5"/>
    <x v="2"/>
  </r>
  <r>
    <x v="781"/>
    <x v="4"/>
    <x v="36"/>
    <n v="30.4"/>
    <x v="695"/>
    <x v="33"/>
    <x v="34"/>
    <x v="2"/>
    <x v="0"/>
    <x v="1"/>
    <x v="0"/>
    <x v="7"/>
    <x v="7"/>
    <x v="5"/>
    <x v="2"/>
  </r>
  <r>
    <x v="782"/>
    <x v="10"/>
    <x v="4"/>
    <n v="50.2"/>
    <x v="696"/>
    <x v="33"/>
    <x v="32"/>
    <x v="1"/>
    <x v="4"/>
    <x v="0"/>
    <x v="0"/>
    <x v="8"/>
    <x v="3"/>
    <x v="5"/>
    <x v="1"/>
  </r>
  <r>
    <x v="783"/>
    <x v="1"/>
    <x v="1"/>
    <n v="43.7"/>
    <x v="697"/>
    <x v="33"/>
    <x v="36"/>
    <x v="2"/>
    <x v="0"/>
    <x v="0"/>
    <x v="0"/>
    <x v="8"/>
    <x v="1"/>
    <x v="5"/>
    <x v="2"/>
  </r>
  <r>
    <x v="784"/>
    <x v="10"/>
    <x v="0"/>
    <n v="33.299999999999997"/>
    <x v="698"/>
    <x v="33"/>
    <x v="32"/>
    <x v="2"/>
    <x v="2"/>
    <x v="1"/>
    <x v="0"/>
    <x v="8"/>
    <x v="3"/>
    <x v="5"/>
    <x v="2"/>
  </r>
  <r>
    <x v="785"/>
    <x v="8"/>
    <x v="12"/>
    <n v="15.1"/>
    <x v="266"/>
    <x v="33"/>
    <x v="36"/>
    <x v="2"/>
    <x v="4"/>
    <x v="2"/>
    <x v="0"/>
    <x v="8"/>
    <x v="1"/>
    <x v="5"/>
    <x v="2"/>
  </r>
  <r>
    <x v="786"/>
    <x v="6"/>
    <x v="9"/>
    <n v="118.2"/>
    <x v="699"/>
    <x v="33"/>
    <x v="32"/>
    <x v="2"/>
    <x v="3"/>
    <x v="4"/>
    <x v="0"/>
    <x v="8"/>
    <x v="3"/>
    <x v="5"/>
    <x v="2"/>
  </r>
  <r>
    <x v="787"/>
    <x v="10"/>
    <x v="2"/>
    <n v="28.9"/>
    <x v="700"/>
    <x v="33"/>
    <x v="36"/>
    <x v="2"/>
    <x v="2"/>
    <x v="1"/>
    <x v="0"/>
    <x v="8"/>
    <x v="1"/>
    <x v="5"/>
    <x v="2"/>
  </r>
  <r>
    <x v="788"/>
    <x v="4"/>
    <x v="2"/>
    <n v="55.6"/>
    <x v="701"/>
    <x v="33"/>
    <x v="32"/>
    <x v="1"/>
    <x v="0"/>
    <x v="1"/>
    <x v="0"/>
    <x v="8"/>
    <x v="3"/>
    <x v="5"/>
    <x v="1"/>
  </r>
  <r>
    <x v="789"/>
    <x v="9"/>
    <x v="12"/>
    <n v="25.6"/>
    <x v="298"/>
    <x v="33"/>
    <x v="36"/>
    <x v="2"/>
    <x v="0"/>
    <x v="1"/>
    <x v="0"/>
    <x v="8"/>
    <x v="1"/>
    <x v="5"/>
    <x v="2"/>
  </r>
  <r>
    <x v="790"/>
    <x v="7"/>
    <x v="2"/>
    <n v="31.3"/>
    <x v="442"/>
    <x v="33"/>
    <x v="32"/>
    <x v="1"/>
    <x v="0"/>
    <x v="0"/>
    <x v="0"/>
    <x v="17"/>
    <x v="3"/>
    <x v="5"/>
    <x v="1"/>
  </r>
  <r>
    <x v="791"/>
    <x v="0"/>
    <x v="2"/>
    <n v="22.1"/>
    <x v="702"/>
    <x v="33"/>
    <x v="31"/>
    <x v="1"/>
    <x v="0"/>
    <x v="0"/>
    <x v="0"/>
    <x v="17"/>
    <x v="5"/>
    <x v="5"/>
    <x v="1"/>
  </r>
  <r>
    <x v="792"/>
    <x v="2"/>
    <x v="21"/>
    <n v="99.4"/>
    <x v="703"/>
    <x v="33"/>
    <x v="32"/>
    <x v="1"/>
    <x v="1"/>
    <x v="0"/>
    <x v="0"/>
    <x v="11"/>
    <x v="3"/>
    <x v="5"/>
    <x v="1"/>
  </r>
  <r>
    <x v="793"/>
    <x v="7"/>
    <x v="13"/>
    <n v="66.599999999999994"/>
    <x v="704"/>
    <x v="33"/>
    <x v="32"/>
    <x v="2"/>
    <x v="0"/>
    <x v="0"/>
    <x v="0"/>
    <x v="11"/>
    <x v="3"/>
    <x v="5"/>
    <x v="2"/>
  </r>
  <r>
    <x v="794"/>
    <x v="8"/>
    <x v="1"/>
    <n v="22.6"/>
    <x v="705"/>
    <x v="33"/>
    <x v="38"/>
    <x v="1"/>
    <x v="0"/>
    <x v="0"/>
    <x v="0"/>
    <x v="11"/>
    <x v="2"/>
    <x v="5"/>
    <x v="1"/>
  </r>
  <r>
    <x v="795"/>
    <x v="2"/>
    <x v="16"/>
    <n v="66.8"/>
    <x v="706"/>
    <x v="33"/>
    <x v="32"/>
    <x v="2"/>
    <x v="0"/>
    <x v="4"/>
    <x v="0"/>
    <x v="13"/>
    <x v="3"/>
    <x v="5"/>
    <x v="2"/>
  </r>
  <r>
    <x v="796"/>
    <x v="0"/>
    <x v="12"/>
    <n v="20.8"/>
    <x v="707"/>
    <x v="33"/>
    <x v="37"/>
    <x v="1"/>
    <x v="1"/>
    <x v="4"/>
    <x v="0"/>
    <x v="1"/>
    <x v="6"/>
    <x v="5"/>
    <x v="1"/>
  </r>
  <r>
    <x v="797"/>
    <x v="2"/>
    <x v="3"/>
    <n v="102.5"/>
    <x v="708"/>
    <x v="33"/>
    <x v="32"/>
    <x v="2"/>
    <x v="4"/>
    <x v="2"/>
    <x v="0"/>
    <x v="3"/>
    <x v="3"/>
    <x v="5"/>
    <x v="2"/>
  </r>
  <r>
    <x v="798"/>
    <x v="0"/>
    <x v="16"/>
    <n v="24.8"/>
    <x v="709"/>
    <x v="33"/>
    <x v="31"/>
    <x v="2"/>
    <x v="0"/>
    <x v="0"/>
    <x v="0"/>
    <x v="3"/>
    <x v="5"/>
    <x v="5"/>
    <x v="2"/>
  </r>
  <r>
    <x v="799"/>
    <x v="4"/>
    <x v="37"/>
    <n v="31.4"/>
    <x v="710"/>
    <x v="33"/>
    <x v="32"/>
    <x v="2"/>
    <x v="3"/>
    <x v="0"/>
    <x v="0"/>
    <x v="3"/>
    <x v="3"/>
    <x v="5"/>
    <x v="2"/>
  </r>
  <r>
    <x v="800"/>
    <x v="9"/>
    <x v="9"/>
    <n v="59.3"/>
    <x v="711"/>
    <x v="33"/>
    <x v="38"/>
    <x v="1"/>
    <x v="1"/>
    <x v="2"/>
    <x v="0"/>
    <x v="43"/>
    <x v="2"/>
    <x v="5"/>
    <x v="1"/>
  </r>
  <r>
    <x v="801"/>
    <x v="11"/>
    <x v="13"/>
    <n v="39"/>
    <x v="540"/>
    <x v="33"/>
    <x v="38"/>
    <x v="1"/>
    <x v="1"/>
    <x v="0"/>
    <x v="0"/>
    <x v="6"/>
    <x v="2"/>
    <x v="5"/>
    <x v="1"/>
  </r>
  <r>
    <x v="802"/>
    <x v="5"/>
    <x v="13"/>
    <n v="98.6"/>
    <x v="712"/>
    <x v="33"/>
    <x v="36"/>
    <x v="2"/>
    <x v="1"/>
    <x v="0"/>
    <x v="0"/>
    <x v="6"/>
    <x v="1"/>
    <x v="5"/>
    <x v="2"/>
  </r>
  <r>
    <x v="803"/>
    <x v="8"/>
    <x v="0"/>
    <n v="20"/>
    <x v="614"/>
    <x v="34"/>
    <x v="36"/>
    <x v="1"/>
    <x v="3"/>
    <x v="2"/>
    <x v="0"/>
    <x v="8"/>
    <x v="3"/>
    <x v="5"/>
    <x v="1"/>
  </r>
  <r>
    <x v="804"/>
    <x v="1"/>
    <x v="1"/>
    <n v="42.9"/>
    <x v="550"/>
    <x v="34"/>
    <x v="38"/>
    <x v="2"/>
    <x v="0"/>
    <x v="2"/>
    <x v="0"/>
    <x v="8"/>
    <x v="1"/>
    <x v="5"/>
    <x v="2"/>
  </r>
  <r>
    <x v="805"/>
    <x v="7"/>
    <x v="3"/>
    <n v="55.6"/>
    <x v="713"/>
    <x v="34"/>
    <x v="38"/>
    <x v="2"/>
    <x v="2"/>
    <x v="1"/>
    <x v="0"/>
    <x v="8"/>
    <x v="1"/>
    <x v="5"/>
    <x v="2"/>
  </r>
  <r>
    <x v="806"/>
    <x v="8"/>
    <x v="12"/>
    <n v="19.2"/>
    <x v="714"/>
    <x v="34"/>
    <x v="35"/>
    <x v="2"/>
    <x v="0"/>
    <x v="0"/>
    <x v="0"/>
    <x v="41"/>
    <x v="0"/>
    <x v="5"/>
    <x v="2"/>
  </r>
  <r>
    <x v="807"/>
    <x v="5"/>
    <x v="1"/>
    <n v="28.8"/>
    <x v="636"/>
    <x v="34"/>
    <x v="38"/>
    <x v="1"/>
    <x v="1"/>
    <x v="0"/>
    <x v="0"/>
    <x v="18"/>
    <x v="1"/>
    <x v="5"/>
    <x v="1"/>
  </r>
  <r>
    <x v="808"/>
    <x v="4"/>
    <x v="0"/>
    <n v="29.7"/>
    <x v="47"/>
    <x v="34"/>
    <x v="38"/>
    <x v="2"/>
    <x v="2"/>
    <x v="4"/>
    <x v="0"/>
    <x v="20"/>
    <x v="1"/>
    <x v="5"/>
    <x v="2"/>
  </r>
  <r>
    <x v="809"/>
    <x v="6"/>
    <x v="13"/>
    <n v="63.3"/>
    <x v="715"/>
    <x v="34"/>
    <x v="36"/>
    <x v="0"/>
    <x v="0"/>
    <x v="2"/>
    <x v="0"/>
    <x v="21"/>
    <x v="3"/>
    <x v="5"/>
    <x v="0"/>
  </r>
  <r>
    <x v="810"/>
    <x v="4"/>
    <x v="0"/>
    <n v="46"/>
    <x v="716"/>
    <x v="34"/>
    <x v="36"/>
    <x v="2"/>
    <x v="0"/>
    <x v="2"/>
    <x v="0"/>
    <x v="21"/>
    <x v="3"/>
    <x v="5"/>
    <x v="2"/>
  </r>
  <r>
    <x v="811"/>
    <x v="11"/>
    <x v="2"/>
    <n v="38"/>
    <x v="717"/>
    <x v="34"/>
    <x v="38"/>
    <x v="2"/>
    <x v="1"/>
    <x v="2"/>
    <x v="0"/>
    <x v="21"/>
    <x v="1"/>
    <x v="5"/>
    <x v="2"/>
  </r>
  <r>
    <x v="812"/>
    <x v="10"/>
    <x v="15"/>
    <n v="34.6"/>
    <x v="327"/>
    <x v="34"/>
    <x v="38"/>
    <x v="2"/>
    <x v="0"/>
    <x v="1"/>
    <x v="0"/>
    <x v="21"/>
    <x v="1"/>
    <x v="5"/>
    <x v="2"/>
  </r>
  <r>
    <x v="813"/>
    <x v="3"/>
    <x v="7"/>
    <n v="79.7"/>
    <x v="718"/>
    <x v="34"/>
    <x v="36"/>
    <x v="2"/>
    <x v="4"/>
    <x v="1"/>
    <x v="0"/>
    <x v="21"/>
    <x v="3"/>
    <x v="5"/>
    <x v="2"/>
  </r>
  <r>
    <x v="814"/>
    <x v="8"/>
    <x v="8"/>
    <n v="30.5"/>
    <x v="719"/>
    <x v="34"/>
    <x v="39"/>
    <x v="1"/>
    <x v="3"/>
    <x v="0"/>
    <x v="0"/>
    <x v="1"/>
    <x v="5"/>
    <x v="5"/>
    <x v="1"/>
  </r>
  <r>
    <x v="815"/>
    <x v="0"/>
    <x v="1"/>
    <n v="20.8"/>
    <x v="480"/>
    <x v="34"/>
    <x v="36"/>
    <x v="2"/>
    <x v="0"/>
    <x v="0"/>
    <x v="0"/>
    <x v="2"/>
    <x v="3"/>
    <x v="5"/>
    <x v="2"/>
  </r>
  <r>
    <x v="816"/>
    <x v="11"/>
    <x v="3"/>
    <n v="48.5"/>
    <x v="720"/>
    <x v="34"/>
    <x v="39"/>
    <x v="2"/>
    <x v="2"/>
    <x v="2"/>
    <x v="0"/>
    <x v="2"/>
    <x v="5"/>
    <x v="5"/>
    <x v="2"/>
  </r>
  <r>
    <x v="817"/>
    <x v="2"/>
    <x v="12"/>
    <n v="61.8"/>
    <x v="721"/>
    <x v="34"/>
    <x v="39"/>
    <x v="2"/>
    <x v="4"/>
    <x v="0"/>
    <x v="0"/>
    <x v="22"/>
    <x v="5"/>
    <x v="5"/>
    <x v="2"/>
  </r>
  <r>
    <x v="818"/>
    <x v="10"/>
    <x v="0"/>
    <n v="46.1"/>
    <x v="722"/>
    <x v="34"/>
    <x v="36"/>
    <x v="3"/>
    <x v="2"/>
    <x v="0"/>
    <x v="0"/>
    <x v="3"/>
    <x v="3"/>
    <x v="5"/>
    <x v="3"/>
  </r>
  <r>
    <x v="819"/>
    <x v="4"/>
    <x v="13"/>
    <n v="44"/>
    <x v="723"/>
    <x v="34"/>
    <x v="36"/>
    <x v="2"/>
    <x v="0"/>
    <x v="0"/>
    <x v="0"/>
    <x v="3"/>
    <x v="3"/>
    <x v="5"/>
    <x v="2"/>
  </r>
  <r>
    <x v="820"/>
    <x v="18"/>
    <x v="1"/>
    <n v="95.7"/>
    <x v="724"/>
    <x v="34"/>
    <x v="37"/>
    <x v="2"/>
    <x v="3"/>
    <x v="2"/>
    <x v="0"/>
    <x v="3"/>
    <x v="4"/>
    <x v="5"/>
    <x v="2"/>
  </r>
  <r>
    <x v="821"/>
    <x v="7"/>
    <x v="9"/>
    <n v="46.4"/>
    <x v="615"/>
    <x v="34"/>
    <x v="31"/>
    <x v="2"/>
    <x v="0"/>
    <x v="0"/>
    <x v="0"/>
    <x v="3"/>
    <x v="2"/>
    <x v="5"/>
    <x v="2"/>
  </r>
  <r>
    <x v="822"/>
    <x v="6"/>
    <x v="1"/>
    <n v="47.2"/>
    <x v="725"/>
    <x v="34"/>
    <x v="38"/>
    <x v="2"/>
    <x v="0"/>
    <x v="2"/>
    <x v="0"/>
    <x v="3"/>
    <x v="1"/>
    <x v="5"/>
    <x v="2"/>
  </r>
  <r>
    <x v="823"/>
    <x v="7"/>
    <x v="1"/>
    <n v="58.6"/>
    <x v="726"/>
    <x v="34"/>
    <x v="36"/>
    <x v="2"/>
    <x v="2"/>
    <x v="1"/>
    <x v="0"/>
    <x v="3"/>
    <x v="3"/>
    <x v="5"/>
    <x v="2"/>
  </r>
  <r>
    <x v="824"/>
    <x v="4"/>
    <x v="2"/>
    <n v="57"/>
    <x v="727"/>
    <x v="34"/>
    <x v="36"/>
    <x v="1"/>
    <x v="0"/>
    <x v="2"/>
    <x v="0"/>
    <x v="3"/>
    <x v="3"/>
    <x v="5"/>
    <x v="1"/>
  </r>
  <r>
    <x v="825"/>
    <x v="8"/>
    <x v="12"/>
    <n v="28.9"/>
    <x v="446"/>
    <x v="34"/>
    <x v="39"/>
    <x v="1"/>
    <x v="2"/>
    <x v="0"/>
    <x v="0"/>
    <x v="3"/>
    <x v="5"/>
    <x v="5"/>
    <x v="1"/>
  </r>
  <r>
    <x v="826"/>
    <x v="12"/>
    <x v="9"/>
    <n v="60.7"/>
    <x v="728"/>
    <x v="34"/>
    <x v="39"/>
    <x v="0"/>
    <x v="1"/>
    <x v="1"/>
    <x v="0"/>
    <x v="3"/>
    <x v="5"/>
    <x v="5"/>
    <x v="0"/>
  </r>
  <r>
    <x v="827"/>
    <x v="6"/>
    <x v="9"/>
    <n v="60.8"/>
    <x v="729"/>
    <x v="34"/>
    <x v="39"/>
    <x v="1"/>
    <x v="0"/>
    <x v="1"/>
    <x v="0"/>
    <x v="3"/>
    <x v="5"/>
    <x v="5"/>
    <x v="1"/>
  </r>
  <r>
    <x v="828"/>
    <x v="6"/>
    <x v="9"/>
    <n v="64.599999999999994"/>
    <x v="730"/>
    <x v="34"/>
    <x v="36"/>
    <x v="2"/>
    <x v="3"/>
    <x v="0"/>
    <x v="0"/>
    <x v="3"/>
    <x v="3"/>
    <x v="5"/>
    <x v="2"/>
  </r>
  <r>
    <x v="829"/>
    <x v="8"/>
    <x v="0"/>
    <n v="21.9"/>
    <x v="731"/>
    <x v="34"/>
    <x v="31"/>
    <x v="1"/>
    <x v="1"/>
    <x v="2"/>
    <x v="0"/>
    <x v="4"/>
    <x v="2"/>
    <x v="5"/>
    <x v="1"/>
  </r>
  <r>
    <x v="830"/>
    <x v="4"/>
    <x v="4"/>
    <n v="33.4"/>
    <x v="732"/>
    <x v="34"/>
    <x v="38"/>
    <x v="2"/>
    <x v="0"/>
    <x v="0"/>
    <x v="0"/>
    <x v="23"/>
    <x v="1"/>
    <x v="5"/>
    <x v="2"/>
  </r>
  <r>
    <x v="831"/>
    <x v="2"/>
    <x v="0"/>
    <n v="51.7"/>
    <x v="733"/>
    <x v="34"/>
    <x v="36"/>
    <x v="0"/>
    <x v="0"/>
    <x v="0"/>
    <x v="0"/>
    <x v="6"/>
    <x v="3"/>
    <x v="5"/>
    <x v="0"/>
  </r>
  <r>
    <x v="832"/>
    <x v="1"/>
    <x v="12"/>
    <n v="84.9"/>
    <x v="734"/>
    <x v="34"/>
    <x v="36"/>
    <x v="2"/>
    <x v="1"/>
    <x v="1"/>
    <x v="0"/>
    <x v="6"/>
    <x v="3"/>
    <x v="5"/>
    <x v="2"/>
  </r>
  <r>
    <x v="833"/>
    <x v="1"/>
    <x v="5"/>
    <n v="62.3"/>
    <x v="735"/>
    <x v="34"/>
    <x v="36"/>
    <x v="2"/>
    <x v="2"/>
    <x v="2"/>
    <x v="0"/>
    <x v="7"/>
    <x v="3"/>
    <x v="5"/>
    <x v="2"/>
  </r>
  <r>
    <x v="834"/>
    <x v="4"/>
    <x v="0"/>
    <n v="50.7"/>
    <x v="163"/>
    <x v="34"/>
    <x v="38"/>
    <x v="1"/>
    <x v="2"/>
    <x v="2"/>
    <x v="0"/>
    <x v="8"/>
    <x v="1"/>
    <x v="5"/>
    <x v="1"/>
  </r>
  <r>
    <x v="835"/>
    <x v="18"/>
    <x v="0"/>
    <n v="39.5"/>
    <x v="736"/>
    <x v="34"/>
    <x v="36"/>
    <x v="1"/>
    <x v="4"/>
    <x v="1"/>
    <x v="0"/>
    <x v="8"/>
    <x v="3"/>
    <x v="5"/>
    <x v="1"/>
  </r>
  <r>
    <x v="836"/>
    <x v="12"/>
    <x v="2"/>
    <n v="30.9"/>
    <x v="737"/>
    <x v="34"/>
    <x v="36"/>
    <x v="0"/>
    <x v="4"/>
    <x v="2"/>
    <x v="0"/>
    <x v="8"/>
    <x v="3"/>
    <x v="5"/>
    <x v="0"/>
  </r>
  <r>
    <x v="837"/>
    <x v="1"/>
    <x v="3"/>
    <n v="36.4"/>
    <x v="133"/>
    <x v="34"/>
    <x v="31"/>
    <x v="2"/>
    <x v="0"/>
    <x v="2"/>
    <x v="0"/>
    <x v="8"/>
    <x v="2"/>
    <x v="5"/>
    <x v="2"/>
  </r>
  <r>
    <x v="838"/>
    <x v="6"/>
    <x v="8"/>
    <n v="105.6"/>
    <x v="738"/>
    <x v="34"/>
    <x v="42"/>
    <x v="2"/>
    <x v="0"/>
    <x v="0"/>
    <x v="0"/>
    <x v="8"/>
    <x v="14"/>
    <x v="5"/>
    <x v="2"/>
  </r>
  <r>
    <x v="839"/>
    <x v="8"/>
    <x v="1"/>
    <n v="22.1"/>
    <x v="573"/>
    <x v="34"/>
    <x v="36"/>
    <x v="2"/>
    <x v="0"/>
    <x v="2"/>
    <x v="0"/>
    <x v="17"/>
    <x v="3"/>
    <x v="5"/>
    <x v="2"/>
  </r>
  <r>
    <x v="840"/>
    <x v="0"/>
    <x v="2"/>
    <n v="22.6"/>
    <x v="418"/>
    <x v="34"/>
    <x v="36"/>
    <x v="2"/>
    <x v="2"/>
    <x v="0"/>
    <x v="0"/>
    <x v="17"/>
    <x v="3"/>
    <x v="5"/>
    <x v="2"/>
  </r>
  <r>
    <x v="841"/>
    <x v="10"/>
    <x v="13"/>
    <n v="26.3"/>
    <x v="739"/>
    <x v="34"/>
    <x v="32"/>
    <x v="2"/>
    <x v="2"/>
    <x v="0"/>
    <x v="0"/>
    <x v="9"/>
    <x v="7"/>
    <x v="5"/>
    <x v="2"/>
  </r>
  <r>
    <x v="842"/>
    <x v="1"/>
    <x v="12"/>
    <n v="37.799999999999997"/>
    <x v="277"/>
    <x v="34"/>
    <x v="36"/>
    <x v="2"/>
    <x v="0"/>
    <x v="2"/>
    <x v="0"/>
    <x v="11"/>
    <x v="3"/>
    <x v="5"/>
    <x v="2"/>
  </r>
  <r>
    <x v="843"/>
    <x v="6"/>
    <x v="14"/>
    <n v="96"/>
    <x v="740"/>
    <x v="34"/>
    <x v="31"/>
    <x v="2"/>
    <x v="4"/>
    <x v="1"/>
    <x v="0"/>
    <x v="18"/>
    <x v="2"/>
    <x v="5"/>
    <x v="2"/>
  </r>
  <r>
    <x v="844"/>
    <x v="1"/>
    <x v="0"/>
    <n v="83.6"/>
    <x v="681"/>
    <x v="34"/>
    <x v="31"/>
    <x v="2"/>
    <x v="2"/>
    <x v="1"/>
    <x v="0"/>
    <x v="19"/>
    <x v="2"/>
    <x v="5"/>
    <x v="2"/>
  </r>
  <r>
    <x v="845"/>
    <x v="2"/>
    <x v="13"/>
    <n v="72.599999999999994"/>
    <x v="349"/>
    <x v="34"/>
    <x v="36"/>
    <x v="2"/>
    <x v="0"/>
    <x v="0"/>
    <x v="0"/>
    <x v="21"/>
    <x v="3"/>
    <x v="5"/>
    <x v="2"/>
  </r>
  <r>
    <x v="846"/>
    <x v="5"/>
    <x v="28"/>
    <n v="69.099999999999994"/>
    <x v="741"/>
    <x v="35"/>
    <x v="40"/>
    <x v="1"/>
    <x v="0"/>
    <x v="2"/>
    <x v="0"/>
    <x v="21"/>
    <x v="4"/>
    <x v="5"/>
    <x v="1"/>
  </r>
  <r>
    <x v="847"/>
    <x v="4"/>
    <x v="1"/>
    <n v="22.6"/>
    <x v="705"/>
    <x v="35"/>
    <x v="31"/>
    <x v="2"/>
    <x v="1"/>
    <x v="2"/>
    <x v="0"/>
    <x v="21"/>
    <x v="1"/>
    <x v="5"/>
    <x v="2"/>
  </r>
  <r>
    <x v="848"/>
    <x v="6"/>
    <x v="1"/>
    <n v="45.3"/>
    <x v="742"/>
    <x v="35"/>
    <x v="35"/>
    <x v="1"/>
    <x v="4"/>
    <x v="2"/>
    <x v="0"/>
    <x v="21"/>
    <x v="5"/>
    <x v="5"/>
    <x v="1"/>
  </r>
  <r>
    <x v="849"/>
    <x v="2"/>
    <x v="1"/>
    <n v="115.1"/>
    <x v="743"/>
    <x v="35"/>
    <x v="38"/>
    <x v="2"/>
    <x v="1"/>
    <x v="0"/>
    <x v="0"/>
    <x v="1"/>
    <x v="3"/>
    <x v="5"/>
    <x v="2"/>
  </r>
  <r>
    <x v="850"/>
    <x v="18"/>
    <x v="12"/>
    <n v="79"/>
    <x v="744"/>
    <x v="35"/>
    <x v="31"/>
    <x v="1"/>
    <x v="2"/>
    <x v="4"/>
    <x v="0"/>
    <x v="1"/>
    <x v="1"/>
    <x v="5"/>
    <x v="1"/>
  </r>
  <r>
    <x v="851"/>
    <x v="6"/>
    <x v="9"/>
    <n v="52.8"/>
    <x v="723"/>
    <x v="35"/>
    <x v="38"/>
    <x v="2"/>
    <x v="0"/>
    <x v="0"/>
    <x v="0"/>
    <x v="42"/>
    <x v="3"/>
    <x v="5"/>
    <x v="2"/>
  </r>
  <r>
    <x v="852"/>
    <x v="8"/>
    <x v="1"/>
    <n v="34.1"/>
    <x v="745"/>
    <x v="35"/>
    <x v="38"/>
    <x v="1"/>
    <x v="3"/>
    <x v="2"/>
    <x v="0"/>
    <x v="44"/>
    <x v="3"/>
    <x v="5"/>
    <x v="1"/>
  </r>
  <r>
    <x v="853"/>
    <x v="6"/>
    <x v="9"/>
    <n v="107.9"/>
    <x v="746"/>
    <x v="35"/>
    <x v="36"/>
    <x v="2"/>
    <x v="0"/>
    <x v="2"/>
    <x v="0"/>
    <x v="50"/>
    <x v="7"/>
    <x v="5"/>
    <x v="2"/>
  </r>
  <r>
    <x v="854"/>
    <x v="8"/>
    <x v="15"/>
    <n v="48.5"/>
    <x v="747"/>
    <x v="35"/>
    <x v="36"/>
    <x v="1"/>
    <x v="2"/>
    <x v="2"/>
    <x v="0"/>
    <x v="3"/>
    <x v="7"/>
    <x v="5"/>
    <x v="1"/>
  </r>
  <r>
    <x v="855"/>
    <x v="5"/>
    <x v="2"/>
    <n v="34.700000000000003"/>
    <x v="748"/>
    <x v="35"/>
    <x v="38"/>
    <x v="0"/>
    <x v="4"/>
    <x v="1"/>
    <x v="0"/>
    <x v="3"/>
    <x v="3"/>
    <x v="5"/>
    <x v="0"/>
  </r>
  <r>
    <x v="856"/>
    <x v="8"/>
    <x v="0"/>
    <n v="16.8"/>
    <x v="749"/>
    <x v="35"/>
    <x v="31"/>
    <x v="2"/>
    <x v="3"/>
    <x v="0"/>
    <x v="0"/>
    <x v="3"/>
    <x v="1"/>
    <x v="5"/>
    <x v="2"/>
  </r>
  <r>
    <x v="857"/>
    <x v="8"/>
    <x v="13"/>
    <n v="18.3"/>
    <x v="17"/>
    <x v="35"/>
    <x v="39"/>
    <x v="2"/>
    <x v="0"/>
    <x v="0"/>
    <x v="0"/>
    <x v="3"/>
    <x v="2"/>
    <x v="5"/>
    <x v="2"/>
  </r>
  <r>
    <x v="858"/>
    <x v="18"/>
    <x v="2"/>
    <n v="55.9"/>
    <x v="750"/>
    <x v="35"/>
    <x v="40"/>
    <x v="1"/>
    <x v="3"/>
    <x v="1"/>
    <x v="0"/>
    <x v="3"/>
    <x v="4"/>
    <x v="5"/>
    <x v="1"/>
  </r>
  <r>
    <x v="859"/>
    <x v="8"/>
    <x v="2"/>
    <n v="39.200000000000003"/>
    <x v="557"/>
    <x v="35"/>
    <x v="31"/>
    <x v="2"/>
    <x v="0"/>
    <x v="1"/>
    <x v="0"/>
    <x v="3"/>
    <x v="1"/>
    <x v="5"/>
    <x v="2"/>
  </r>
  <r>
    <x v="860"/>
    <x v="15"/>
    <x v="12"/>
    <n v="66.5"/>
    <x v="751"/>
    <x v="35"/>
    <x v="31"/>
    <x v="0"/>
    <x v="3"/>
    <x v="1"/>
    <x v="0"/>
    <x v="3"/>
    <x v="1"/>
    <x v="5"/>
    <x v="0"/>
  </r>
  <r>
    <x v="861"/>
    <x v="6"/>
    <x v="13"/>
    <n v="52.1"/>
    <x v="752"/>
    <x v="35"/>
    <x v="31"/>
    <x v="1"/>
    <x v="1"/>
    <x v="1"/>
    <x v="0"/>
    <x v="16"/>
    <x v="1"/>
    <x v="5"/>
    <x v="1"/>
  </r>
  <r>
    <x v="862"/>
    <x v="8"/>
    <x v="1"/>
    <n v="19"/>
    <x v="753"/>
    <x v="35"/>
    <x v="38"/>
    <x v="1"/>
    <x v="4"/>
    <x v="2"/>
    <x v="0"/>
    <x v="6"/>
    <x v="3"/>
    <x v="5"/>
    <x v="1"/>
  </r>
  <r>
    <x v="863"/>
    <x v="7"/>
    <x v="2"/>
    <n v="84.8"/>
    <x v="754"/>
    <x v="35"/>
    <x v="31"/>
    <x v="2"/>
    <x v="2"/>
    <x v="0"/>
    <x v="0"/>
    <x v="8"/>
    <x v="1"/>
    <x v="5"/>
    <x v="2"/>
  </r>
  <r>
    <x v="864"/>
    <x v="2"/>
    <x v="12"/>
    <n v="63.9"/>
    <x v="755"/>
    <x v="35"/>
    <x v="39"/>
    <x v="2"/>
    <x v="0"/>
    <x v="0"/>
    <x v="0"/>
    <x v="8"/>
    <x v="2"/>
    <x v="5"/>
    <x v="2"/>
  </r>
  <r>
    <x v="865"/>
    <x v="2"/>
    <x v="2"/>
    <n v="65.5"/>
    <x v="756"/>
    <x v="35"/>
    <x v="36"/>
    <x v="2"/>
    <x v="1"/>
    <x v="1"/>
    <x v="0"/>
    <x v="8"/>
    <x v="7"/>
    <x v="5"/>
    <x v="2"/>
  </r>
  <r>
    <x v="866"/>
    <x v="12"/>
    <x v="1"/>
    <n v="116.2"/>
    <x v="757"/>
    <x v="35"/>
    <x v="40"/>
    <x v="1"/>
    <x v="3"/>
    <x v="0"/>
    <x v="0"/>
    <x v="17"/>
    <x v="4"/>
    <x v="5"/>
    <x v="1"/>
  </r>
  <r>
    <x v="867"/>
    <x v="10"/>
    <x v="12"/>
    <n v="22.9"/>
    <x v="758"/>
    <x v="35"/>
    <x v="31"/>
    <x v="2"/>
    <x v="2"/>
    <x v="1"/>
    <x v="0"/>
    <x v="38"/>
    <x v="1"/>
    <x v="5"/>
    <x v="2"/>
  </r>
  <r>
    <x v="868"/>
    <x v="10"/>
    <x v="2"/>
    <n v="53.7"/>
    <x v="759"/>
    <x v="35"/>
    <x v="38"/>
    <x v="1"/>
    <x v="0"/>
    <x v="4"/>
    <x v="0"/>
    <x v="18"/>
    <x v="3"/>
    <x v="5"/>
    <x v="1"/>
  </r>
  <r>
    <x v="869"/>
    <x v="6"/>
    <x v="9"/>
    <n v="43.2"/>
    <x v="760"/>
    <x v="35"/>
    <x v="31"/>
    <x v="2"/>
    <x v="0"/>
    <x v="0"/>
    <x v="0"/>
    <x v="19"/>
    <x v="1"/>
    <x v="5"/>
    <x v="2"/>
  </r>
  <r>
    <x v="870"/>
    <x v="1"/>
    <x v="2"/>
    <n v="84.5"/>
    <x v="103"/>
    <x v="35"/>
    <x v="31"/>
    <x v="1"/>
    <x v="2"/>
    <x v="2"/>
    <x v="0"/>
    <x v="51"/>
    <x v="1"/>
    <x v="5"/>
    <x v="1"/>
  </r>
  <r>
    <x v="871"/>
    <x v="3"/>
    <x v="1"/>
    <n v="42.2"/>
    <x v="533"/>
    <x v="35"/>
    <x v="38"/>
    <x v="2"/>
    <x v="1"/>
    <x v="2"/>
    <x v="0"/>
    <x v="1"/>
    <x v="3"/>
    <x v="5"/>
    <x v="2"/>
  </r>
  <r>
    <x v="872"/>
    <x v="2"/>
    <x v="13"/>
    <n v="94.7"/>
    <x v="761"/>
    <x v="35"/>
    <x v="39"/>
    <x v="2"/>
    <x v="1"/>
    <x v="2"/>
    <x v="0"/>
    <x v="2"/>
    <x v="2"/>
    <x v="5"/>
    <x v="2"/>
  </r>
  <r>
    <x v="873"/>
    <x v="8"/>
    <x v="16"/>
    <n v="16.7"/>
    <x v="182"/>
    <x v="35"/>
    <x v="43"/>
    <x v="2"/>
    <x v="0"/>
    <x v="2"/>
    <x v="0"/>
    <x v="2"/>
    <x v="13"/>
    <x v="5"/>
    <x v="2"/>
  </r>
  <r>
    <x v="874"/>
    <x v="2"/>
    <x v="1"/>
    <n v="83.6"/>
    <x v="762"/>
    <x v="35"/>
    <x v="40"/>
    <x v="2"/>
    <x v="1"/>
    <x v="0"/>
    <x v="0"/>
    <x v="3"/>
    <x v="4"/>
    <x v="5"/>
    <x v="2"/>
  </r>
  <r>
    <x v="875"/>
    <x v="7"/>
    <x v="13"/>
    <n v="33.6"/>
    <x v="763"/>
    <x v="36"/>
    <x v="31"/>
    <x v="2"/>
    <x v="3"/>
    <x v="0"/>
    <x v="0"/>
    <x v="3"/>
    <x v="3"/>
    <x v="5"/>
    <x v="2"/>
  </r>
  <r>
    <x v="876"/>
    <x v="7"/>
    <x v="1"/>
    <n v="64.7"/>
    <x v="385"/>
    <x v="36"/>
    <x v="39"/>
    <x v="1"/>
    <x v="1"/>
    <x v="2"/>
    <x v="0"/>
    <x v="3"/>
    <x v="1"/>
    <x v="5"/>
    <x v="1"/>
  </r>
  <r>
    <x v="877"/>
    <x v="0"/>
    <x v="2"/>
    <n v="15.7"/>
    <x v="179"/>
    <x v="36"/>
    <x v="44"/>
    <x v="2"/>
    <x v="0"/>
    <x v="0"/>
    <x v="0"/>
    <x v="3"/>
    <x v="4"/>
    <x v="5"/>
    <x v="2"/>
  </r>
  <r>
    <x v="878"/>
    <x v="15"/>
    <x v="13"/>
    <n v="49.4"/>
    <x v="764"/>
    <x v="36"/>
    <x v="38"/>
    <x v="1"/>
    <x v="1"/>
    <x v="0"/>
    <x v="0"/>
    <x v="3"/>
    <x v="7"/>
    <x v="5"/>
    <x v="1"/>
  </r>
  <r>
    <x v="879"/>
    <x v="10"/>
    <x v="13"/>
    <n v="37"/>
    <x v="765"/>
    <x v="36"/>
    <x v="35"/>
    <x v="2"/>
    <x v="1"/>
    <x v="2"/>
    <x v="0"/>
    <x v="3"/>
    <x v="2"/>
    <x v="5"/>
    <x v="2"/>
  </r>
  <r>
    <x v="880"/>
    <x v="2"/>
    <x v="1"/>
    <n v="83.7"/>
    <x v="589"/>
    <x v="36"/>
    <x v="39"/>
    <x v="2"/>
    <x v="3"/>
    <x v="2"/>
    <x v="0"/>
    <x v="3"/>
    <x v="1"/>
    <x v="5"/>
    <x v="2"/>
  </r>
  <r>
    <x v="881"/>
    <x v="1"/>
    <x v="9"/>
    <n v="35.1"/>
    <x v="766"/>
    <x v="36"/>
    <x v="31"/>
    <x v="2"/>
    <x v="0"/>
    <x v="0"/>
    <x v="0"/>
    <x v="3"/>
    <x v="3"/>
    <x v="5"/>
    <x v="2"/>
  </r>
  <r>
    <x v="882"/>
    <x v="16"/>
    <x v="8"/>
    <n v="74"/>
    <x v="767"/>
    <x v="36"/>
    <x v="31"/>
    <x v="2"/>
    <x v="4"/>
    <x v="0"/>
    <x v="0"/>
    <x v="37"/>
    <x v="3"/>
    <x v="5"/>
    <x v="2"/>
  </r>
  <r>
    <x v="883"/>
    <x v="6"/>
    <x v="25"/>
    <n v="55.5"/>
    <x v="768"/>
    <x v="36"/>
    <x v="35"/>
    <x v="1"/>
    <x v="3"/>
    <x v="0"/>
    <x v="0"/>
    <x v="49"/>
    <x v="2"/>
    <x v="5"/>
    <x v="1"/>
  </r>
  <r>
    <x v="884"/>
    <x v="11"/>
    <x v="1"/>
    <n v="38.9"/>
    <x v="482"/>
    <x v="36"/>
    <x v="39"/>
    <x v="2"/>
    <x v="1"/>
    <x v="2"/>
    <x v="0"/>
    <x v="25"/>
    <x v="1"/>
    <x v="5"/>
    <x v="2"/>
  </r>
  <r>
    <x v="885"/>
    <x v="16"/>
    <x v="1"/>
    <n v="64.599999999999994"/>
    <x v="769"/>
    <x v="36"/>
    <x v="45"/>
    <x v="1"/>
    <x v="2"/>
    <x v="1"/>
    <x v="0"/>
    <x v="25"/>
    <x v="6"/>
    <x v="5"/>
    <x v="1"/>
  </r>
  <r>
    <x v="886"/>
    <x v="2"/>
    <x v="2"/>
    <n v="95.3"/>
    <x v="770"/>
    <x v="36"/>
    <x v="31"/>
    <x v="1"/>
    <x v="0"/>
    <x v="0"/>
    <x v="0"/>
    <x v="5"/>
    <x v="3"/>
    <x v="5"/>
    <x v="1"/>
  </r>
  <r>
    <x v="887"/>
    <x v="13"/>
    <x v="2"/>
    <n v="25.8"/>
    <x v="771"/>
    <x v="36"/>
    <x v="31"/>
    <x v="2"/>
    <x v="1"/>
    <x v="1"/>
    <x v="0"/>
    <x v="6"/>
    <x v="3"/>
    <x v="5"/>
    <x v="2"/>
  </r>
  <r>
    <x v="888"/>
    <x v="0"/>
    <x v="1"/>
    <n v="11.6"/>
    <x v="772"/>
    <x v="36"/>
    <x v="37"/>
    <x v="2"/>
    <x v="1"/>
    <x v="1"/>
    <x v="0"/>
    <x v="6"/>
    <x v="5"/>
    <x v="5"/>
    <x v="2"/>
  </r>
  <r>
    <x v="889"/>
    <x v="7"/>
    <x v="0"/>
    <n v="52.3"/>
    <x v="773"/>
    <x v="36"/>
    <x v="31"/>
    <x v="2"/>
    <x v="1"/>
    <x v="0"/>
    <x v="0"/>
    <x v="8"/>
    <x v="3"/>
    <x v="5"/>
    <x v="2"/>
  </r>
  <r>
    <x v="890"/>
    <x v="2"/>
    <x v="7"/>
    <n v="112.2"/>
    <x v="774"/>
    <x v="36"/>
    <x v="31"/>
    <x v="2"/>
    <x v="1"/>
    <x v="1"/>
    <x v="0"/>
    <x v="8"/>
    <x v="3"/>
    <x v="5"/>
    <x v="2"/>
  </r>
  <r>
    <x v="891"/>
    <x v="4"/>
    <x v="9"/>
    <n v="34.6"/>
    <x v="775"/>
    <x v="36"/>
    <x v="39"/>
    <x v="1"/>
    <x v="2"/>
    <x v="0"/>
    <x v="0"/>
    <x v="8"/>
    <x v="1"/>
    <x v="5"/>
    <x v="1"/>
  </r>
  <r>
    <x v="892"/>
    <x v="14"/>
    <x v="12"/>
    <n v="20.100000000000001"/>
    <x v="48"/>
    <x v="36"/>
    <x v="44"/>
    <x v="1"/>
    <x v="1"/>
    <x v="2"/>
    <x v="0"/>
    <x v="8"/>
    <x v="4"/>
    <x v="5"/>
    <x v="1"/>
  </r>
  <r>
    <x v="893"/>
    <x v="2"/>
    <x v="12"/>
    <n v="56.4"/>
    <x v="776"/>
    <x v="36"/>
    <x v="39"/>
    <x v="2"/>
    <x v="2"/>
    <x v="0"/>
    <x v="0"/>
    <x v="10"/>
    <x v="1"/>
    <x v="5"/>
    <x v="2"/>
  </r>
  <r>
    <x v="894"/>
    <x v="13"/>
    <x v="11"/>
    <n v="55.3"/>
    <x v="777"/>
    <x v="36"/>
    <x v="39"/>
    <x v="2"/>
    <x v="1"/>
    <x v="4"/>
    <x v="0"/>
    <x v="11"/>
    <x v="1"/>
    <x v="5"/>
    <x v="2"/>
  </r>
  <r>
    <x v="895"/>
    <x v="2"/>
    <x v="31"/>
    <n v="75.5"/>
    <x v="778"/>
    <x v="36"/>
    <x v="31"/>
    <x v="2"/>
    <x v="0"/>
    <x v="0"/>
    <x v="0"/>
    <x v="11"/>
    <x v="3"/>
    <x v="5"/>
    <x v="2"/>
  </r>
  <r>
    <x v="896"/>
    <x v="8"/>
    <x v="0"/>
    <n v="23.6"/>
    <x v="779"/>
    <x v="36"/>
    <x v="40"/>
    <x v="2"/>
    <x v="0"/>
    <x v="0"/>
    <x v="0"/>
    <x v="19"/>
    <x v="0"/>
    <x v="5"/>
    <x v="2"/>
  </r>
  <r>
    <x v="897"/>
    <x v="9"/>
    <x v="1"/>
    <n v="70.7"/>
    <x v="780"/>
    <x v="36"/>
    <x v="39"/>
    <x v="2"/>
    <x v="2"/>
    <x v="0"/>
    <x v="0"/>
    <x v="19"/>
    <x v="1"/>
    <x v="5"/>
    <x v="2"/>
  </r>
  <r>
    <x v="898"/>
    <x v="12"/>
    <x v="1"/>
    <n v="43.2"/>
    <x v="781"/>
    <x v="36"/>
    <x v="31"/>
    <x v="2"/>
    <x v="2"/>
    <x v="0"/>
    <x v="0"/>
    <x v="31"/>
    <x v="3"/>
    <x v="5"/>
    <x v="2"/>
  </r>
  <r>
    <x v="899"/>
    <x v="9"/>
    <x v="11"/>
    <n v="70"/>
    <x v="782"/>
    <x v="36"/>
    <x v="31"/>
    <x v="0"/>
    <x v="1"/>
    <x v="0"/>
    <x v="0"/>
    <x v="52"/>
    <x v="3"/>
    <x v="5"/>
    <x v="0"/>
  </r>
  <r>
    <x v="900"/>
    <x v="0"/>
    <x v="1"/>
    <n v="20.5"/>
    <x v="783"/>
    <x v="36"/>
    <x v="39"/>
    <x v="2"/>
    <x v="2"/>
    <x v="4"/>
    <x v="0"/>
    <x v="13"/>
    <x v="1"/>
    <x v="5"/>
    <x v="2"/>
  </r>
  <r>
    <x v="901"/>
    <x v="0"/>
    <x v="12"/>
    <n v="29.1"/>
    <x v="565"/>
    <x v="36"/>
    <x v="31"/>
    <x v="2"/>
    <x v="3"/>
    <x v="0"/>
    <x v="0"/>
    <x v="28"/>
    <x v="3"/>
    <x v="5"/>
    <x v="2"/>
  </r>
  <r>
    <x v="902"/>
    <x v="6"/>
    <x v="11"/>
    <n v="53.6"/>
    <x v="784"/>
    <x v="36"/>
    <x v="31"/>
    <x v="1"/>
    <x v="2"/>
    <x v="1"/>
    <x v="0"/>
    <x v="3"/>
    <x v="3"/>
    <x v="5"/>
    <x v="1"/>
  </r>
  <r>
    <x v="903"/>
    <x v="6"/>
    <x v="9"/>
    <n v="72.3"/>
    <x v="785"/>
    <x v="36"/>
    <x v="39"/>
    <x v="2"/>
    <x v="1"/>
    <x v="0"/>
    <x v="0"/>
    <x v="3"/>
    <x v="1"/>
    <x v="5"/>
    <x v="2"/>
  </r>
  <r>
    <x v="904"/>
    <x v="13"/>
    <x v="12"/>
    <n v="22.6"/>
    <x v="786"/>
    <x v="36"/>
    <x v="35"/>
    <x v="3"/>
    <x v="0"/>
    <x v="1"/>
    <x v="0"/>
    <x v="3"/>
    <x v="2"/>
    <x v="5"/>
    <x v="3"/>
  </r>
  <r>
    <x v="905"/>
    <x v="9"/>
    <x v="1"/>
    <n v="44.2"/>
    <x v="787"/>
    <x v="36"/>
    <x v="37"/>
    <x v="0"/>
    <x v="2"/>
    <x v="4"/>
    <x v="0"/>
    <x v="3"/>
    <x v="5"/>
    <x v="5"/>
    <x v="0"/>
  </r>
  <r>
    <x v="906"/>
    <x v="9"/>
    <x v="2"/>
    <n v="94.1"/>
    <x v="788"/>
    <x v="36"/>
    <x v="46"/>
    <x v="2"/>
    <x v="2"/>
    <x v="2"/>
    <x v="0"/>
    <x v="3"/>
    <x v="10"/>
    <x v="5"/>
    <x v="2"/>
  </r>
  <r>
    <x v="907"/>
    <x v="8"/>
    <x v="2"/>
    <n v="17.899999999999999"/>
    <x v="789"/>
    <x v="36"/>
    <x v="39"/>
    <x v="1"/>
    <x v="1"/>
    <x v="1"/>
    <x v="0"/>
    <x v="3"/>
    <x v="1"/>
    <x v="5"/>
    <x v="1"/>
  </r>
  <r>
    <x v="908"/>
    <x v="12"/>
    <x v="3"/>
    <n v="52.7"/>
    <x v="790"/>
    <x v="36"/>
    <x v="31"/>
    <x v="1"/>
    <x v="1"/>
    <x v="1"/>
    <x v="0"/>
    <x v="3"/>
    <x v="3"/>
    <x v="5"/>
    <x v="1"/>
  </r>
  <r>
    <x v="909"/>
    <x v="8"/>
    <x v="0"/>
    <n v="36.799999999999997"/>
    <x v="791"/>
    <x v="36"/>
    <x v="38"/>
    <x v="0"/>
    <x v="0"/>
    <x v="2"/>
    <x v="0"/>
    <x v="3"/>
    <x v="7"/>
    <x v="5"/>
    <x v="0"/>
  </r>
  <r>
    <x v="910"/>
    <x v="4"/>
    <x v="0"/>
    <n v="52.5"/>
    <x v="413"/>
    <x v="36"/>
    <x v="31"/>
    <x v="1"/>
    <x v="0"/>
    <x v="1"/>
    <x v="0"/>
    <x v="6"/>
    <x v="3"/>
    <x v="5"/>
    <x v="1"/>
  </r>
  <r>
    <x v="911"/>
    <x v="2"/>
    <x v="1"/>
    <n v="133.80000000000001"/>
    <x v="792"/>
    <x v="36"/>
    <x v="39"/>
    <x v="1"/>
    <x v="0"/>
    <x v="1"/>
    <x v="0"/>
    <x v="7"/>
    <x v="1"/>
    <x v="5"/>
    <x v="1"/>
  </r>
  <r>
    <x v="912"/>
    <x v="6"/>
    <x v="1"/>
    <n v="53.2"/>
    <x v="793"/>
    <x v="36"/>
    <x v="39"/>
    <x v="1"/>
    <x v="0"/>
    <x v="0"/>
    <x v="0"/>
    <x v="17"/>
    <x v="1"/>
    <x v="5"/>
    <x v="1"/>
  </r>
  <r>
    <x v="913"/>
    <x v="14"/>
    <x v="13"/>
    <n v="18.7"/>
    <x v="794"/>
    <x v="36"/>
    <x v="39"/>
    <x v="0"/>
    <x v="0"/>
    <x v="1"/>
    <x v="0"/>
    <x v="10"/>
    <x v="1"/>
    <x v="5"/>
    <x v="0"/>
  </r>
  <r>
    <x v="914"/>
    <x v="6"/>
    <x v="12"/>
    <n v="108.8"/>
    <x v="795"/>
    <x v="36"/>
    <x v="31"/>
    <x v="2"/>
    <x v="3"/>
    <x v="2"/>
    <x v="0"/>
    <x v="11"/>
    <x v="3"/>
    <x v="5"/>
    <x v="2"/>
  </r>
  <r>
    <x v="915"/>
    <x v="15"/>
    <x v="9"/>
    <n v="38.5"/>
    <x v="796"/>
    <x v="36"/>
    <x v="37"/>
    <x v="2"/>
    <x v="0"/>
    <x v="1"/>
    <x v="0"/>
    <x v="14"/>
    <x v="5"/>
    <x v="5"/>
    <x v="2"/>
  </r>
  <r>
    <x v="916"/>
    <x v="10"/>
    <x v="7"/>
    <n v="46.5"/>
    <x v="797"/>
    <x v="36"/>
    <x v="39"/>
    <x v="1"/>
    <x v="2"/>
    <x v="1"/>
    <x v="0"/>
    <x v="2"/>
    <x v="1"/>
    <x v="5"/>
    <x v="1"/>
  </r>
  <r>
    <x v="917"/>
    <x v="2"/>
    <x v="2"/>
    <n v="75.8"/>
    <x v="129"/>
    <x v="36"/>
    <x v="37"/>
    <x v="2"/>
    <x v="1"/>
    <x v="4"/>
    <x v="0"/>
    <x v="44"/>
    <x v="5"/>
    <x v="5"/>
    <x v="2"/>
  </r>
  <r>
    <x v="918"/>
    <x v="8"/>
    <x v="0"/>
    <n v="20.9"/>
    <x v="798"/>
    <x v="36"/>
    <x v="37"/>
    <x v="1"/>
    <x v="0"/>
    <x v="0"/>
    <x v="0"/>
    <x v="22"/>
    <x v="5"/>
    <x v="5"/>
    <x v="1"/>
  </r>
  <r>
    <x v="919"/>
    <x v="18"/>
    <x v="2"/>
    <n v="47.4"/>
    <x v="60"/>
    <x v="36"/>
    <x v="35"/>
    <x v="2"/>
    <x v="0"/>
    <x v="0"/>
    <x v="0"/>
    <x v="3"/>
    <x v="2"/>
    <x v="5"/>
    <x v="2"/>
  </r>
  <r>
    <x v="920"/>
    <x v="9"/>
    <x v="1"/>
    <n v="53.8"/>
    <x v="799"/>
    <x v="36"/>
    <x v="31"/>
    <x v="0"/>
    <x v="0"/>
    <x v="1"/>
    <x v="0"/>
    <x v="3"/>
    <x v="3"/>
    <x v="5"/>
    <x v="0"/>
  </r>
  <r>
    <x v="921"/>
    <x v="8"/>
    <x v="2"/>
    <n v="24.6"/>
    <x v="800"/>
    <x v="36"/>
    <x v="39"/>
    <x v="3"/>
    <x v="1"/>
    <x v="2"/>
    <x v="0"/>
    <x v="3"/>
    <x v="1"/>
    <x v="5"/>
    <x v="3"/>
  </r>
  <r>
    <x v="922"/>
    <x v="9"/>
    <x v="2"/>
    <n v="70.900000000000006"/>
    <x v="801"/>
    <x v="36"/>
    <x v="40"/>
    <x v="2"/>
    <x v="2"/>
    <x v="2"/>
    <x v="0"/>
    <x v="3"/>
    <x v="0"/>
    <x v="5"/>
    <x v="2"/>
  </r>
  <r>
    <x v="923"/>
    <x v="17"/>
    <x v="2"/>
    <n v="31.9"/>
    <x v="802"/>
    <x v="36"/>
    <x v="39"/>
    <x v="2"/>
    <x v="2"/>
    <x v="2"/>
    <x v="0"/>
    <x v="3"/>
    <x v="1"/>
    <x v="5"/>
    <x v="2"/>
  </r>
  <r>
    <x v="924"/>
    <x v="0"/>
    <x v="1"/>
    <n v="20.399999999999999"/>
    <x v="803"/>
    <x v="36"/>
    <x v="37"/>
    <x v="1"/>
    <x v="3"/>
    <x v="2"/>
    <x v="0"/>
    <x v="3"/>
    <x v="5"/>
    <x v="5"/>
    <x v="1"/>
  </r>
  <r>
    <x v="925"/>
    <x v="8"/>
    <x v="1"/>
    <n v="18.600000000000001"/>
    <x v="804"/>
    <x v="36"/>
    <x v="39"/>
    <x v="0"/>
    <x v="0"/>
    <x v="1"/>
    <x v="0"/>
    <x v="3"/>
    <x v="1"/>
    <x v="5"/>
    <x v="0"/>
  </r>
  <r>
    <x v="926"/>
    <x v="4"/>
    <x v="9"/>
    <n v="48.3"/>
    <x v="805"/>
    <x v="36"/>
    <x v="39"/>
    <x v="2"/>
    <x v="1"/>
    <x v="0"/>
    <x v="0"/>
    <x v="3"/>
    <x v="1"/>
    <x v="5"/>
    <x v="2"/>
  </r>
  <r>
    <x v="927"/>
    <x v="0"/>
    <x v="12"/>
    <n v="27.7"/>
    <x v="806"/>
    <x v="36"/>
    <x v="39"/>
    <x v="2"/>
    <x v="0"/>
    <x v="0"/>
    <x v="0"/>
    <x v="3"/>
    <x v="1"/>
    <x v="5"/>
    <x v="2"/>
  </r>
  <r>
    <x v="928"/>
    <x v="4"/>
    <x v="9"/>
    <n v="22.5"/>
    <x v="158"/>
    <x v="36"/>
    <x v="39"/>
    <x v="2"/>
    <x v="4"/>
    <x v="2"/>
    <x v="0"/>
    <x v="3"/>
    <x v="1"/>
    <x v="5"/>
    <x v="2"/>
  </r>
  <r>
    <x v="929"/>
    <x v="17"/>
    <x v="9"/>
    <n v="21.6"/>
    <x v="807"/>
    <x v="36"/>
    <x v="42"/>
    <x v="2"/>
    <x v="0"/>
    <x v="1"/>
    <x v="0"/>
    <x v="3"/>
    <x v="9"/>
    <x v="5"/>
    <x v="2"/>
  </r>
  <r>
    <x v="930"/>
    <x v="10"/>
    <x v="3"/>
    <n v="26.3"/>
    <x v="808"/>
    <x v="36"/>
    <x v="38"/>
    <x v="2"/>
    <x v="2"/>
    <x v="1"/>
    <x v="0"/>
    <x v="3"/>
    <x v="7"/>
    <x v="5"/>
    <x v="2"/>
  </r>
  <r>
    <x v="931"/>
    <x v="6"/>
    <x v="3"/>
    <n v="103"/>
    <x v="809"/>
    <x v="37"/>
    <x v="39"/>
    <x v="1"/>
    <x v="0"/>
    <x v="2"/>
    <x v="0"/>
    <x v="6"/>
    <x v="3"/>
    <x v="5"/>
    <x v="1"/>
  </r>
  <r>
    <x v="932"/>
    <x v="5"/>
    <x v="20"/>
    <n v="46.6"/>
    <x v="810"/>
    <x v="37"/>
    <x v="39"/>
    <x v="2"/>
    <x v="0"/>
    <x v="1"/>
    <x v="0"/>
    <x v="6"/>
    <x v="3"/>
    <x v="5"/>
    <x v="2"/>
  </r>
  <r>
    <x v="933"/>
    <x v="0"/>
    <x v="9"/>
    <n v="32.200000000000003"/>
    <x v="811"/>
    <x v="37"/>
    <x v="37"/>
    <x v="2"/>
    <x v="0"/>
    <x v="2"/>
    <x v="0"/>
    <x v="36"/>
    <x v="2"/>
    <x v="5"/>
    <x v="2"/>
  </r>
  <r>
    <x v="934"/>
    <x v="8"/>
    <x v="2"/>
    <n v="22"/>
    <x v="812"/>
    <x v="37"/>
    <x v="42"/>
    <x v="1"/>
    <x v="1"/>
    <x v="0"/>
    <x v="0"/>
    <x v="7"/>
    <x v="6"/>
    <x v="5"/>
    <x v="1"/>
  </r>
  <r>
    <x v="935"/>
    <x v="0"/>
    <x v="1"/>
    <n v="25.2"/>
    <x v="813"/>
    <x v="37"/>
    <x v="40"/>
    <x v="2"/>
    <x v="0"/>
    <x v="0"/>
    <x v="0"/>
    <x v="7"/>
    <x v="5"/>
    <x v="5"/>
    <x v="2"/>
  </r>
  <r>
    <x v="936"/>
    <x v="1"/>
    <x v="13"/>
    <n v="68.7"/>
    <x v="814"/>
    <x v="37"/>
    <x v="35"/>
    <x v="1"/>
    <x v="4"/>
    <x v="0"/>
    <x v="0"/>
    <x v="8"/>
    <x v="1"/>
    <x v="5"/>
    <x v="1"/>
  </r>
  <r>
    <x v="937"/>
    <x v="0"/>
    <x v="2"/>
    <n v="22.2"/>
    <x v="815"/>
    <x v="37"/>
    <x v="37"/>
    <x v="1"/>
    <x v="2"/>
    <x v="2"/>
    <x v="0"/>
    <x v="8"/>
    <x v="2"/>
    <x v="5"/>
    <x v="1"/>
  </r>
  <r>
    <x v="938"/>
    <x v="1"/>
    <x v="3"/>
    <n v="36"/>
    <x v="816"/>
    <x v="37"/>
    <x v="39"/>
    <x v="2"/>
    <x v="1"/>
    <x v="0"/>
    <x v="0"/>
    <x v="8"/>
    <x v="3"/>
    <x v="5"/>
    <x v="2"/>
  </r>
  <r>
    <x v="939"/>
    <x v="18"/>
    <x v="0"/>
    <n v="50.6"/>
    <x v="578"/>
    <x v="37"/>
    <x v="35"/>
    <x v="2"/>
    <x v="0"/>
    <x v="1"/>
    <x v="0"/>
    <x v="8"/>
    <x v="1"/>
    <x v="5"/>
    <x v="2"/>
  </r>
  <r>
    <x v="940"/>
    <x v="15"/>
    <x v="1"/>
    <n v="44.9"/>
    <x v="817"/>
    <x v="37"/>
    <x v="35"/>
    <x v="1"/>
    <x v="0"/>
    <x v="1"/>
    <x v="0"/>
    <x v="8"/>
    <x v="1"/>
    <x v="5"/>
    <x v="1"/>
  </r>
  <r>
    <x v="941"/>
    <x v="6"/>
    <x v="2"/>
    <n v="71.599999999999994"/>
    <x v="818"/>
    <x v="37"/>
    <x v="40"/>
    <x v="1"/>
    <x v="1"/>
    <x v="2"/>
    <x v="0"/>
    <x v="10"/>
    <x v="5"/>
    <x v="5"/>
    <x v="1"/>
  </r>
  <r>
    <x v="942"/>
    <x v="6"/>
    <x v="13"/>
    <n v="51.5"/>
    <x v="15"/>
    <x v="37"/>
    <x v="35"/>
    <x v="0"/>
    <x v="4"/>
    <x v="0"/>
    <x v="0"/>
    <x v="11"/>
    <x v="1"/>
    <x v="5"/>
    <x v="0"/>
  </r>
  <r>
    <x v="943"/>
    <x v="7"/>
    <x v="9"/>
    <n v="55.5"/>
    <x v="819"/>
    <x v="37"/>
    <x v="39"/>
    <x v="1"/>
    <x v="1"/>
    <x v="1"/>
    <x v="0"/>
    <x v="11"/>
    <x v="3"/>
    <x v="5"/>
    <x v="1"/>
  </r>
  <r>
    <x v="944"/>
    <x v="6"/>
    <x v="0"/>
    <n v="51.7"/>
    <x v="733"/>
    <x v="37"/>
    <x v="47"/>
    <x v="1"/>
    <x v="2"/>
    <x v="0"/>
    <x v="0"/>
    <x v="19"/>
    <x v="12"/>
    <x v="5"/>
    <x v="1"/>
  </r>
  <r>
    <x v="945"/>
    <x v="8"/>
    <x v="38"/>
    <n v="45.5"/>
    <x v="820"/>
    <x v="37"/>
    <x v="39"/>
    <x v="2"/>
    <x v="3"/>
    <x v="2"/>
    <x v="0"/>
    <x v="19"/>
    <x v="3"/>
    <x v="5"/>
    <x v="2"/>
  </r>
  <r>
    <x v="946"/>
    <x v="8"/>
    <x v="1"/>
    <n v="33.799999999999997"/>
    <x v="821"/>
    <x v="37"/>
    <x v="45"/>
    <x v="2"/>
    <x v="3"/>
    <x v="0"/>
    <x v="0"/>
    <x v="20"/>
    <x v="4"/>
    <x v="5"/>
    <x v="2"/>
  </r>
  <r>
    <x v="947"/>
    <x v="3"/>
    <x v="2"/>
    <n v="76.5"/>
    <x v="822"/>
    <x v="37"/>
    <x v="39"/>
    <x v="2"/>
    <x v="0"/>
    <x v="1"/>
    <x v="0"/>
    <x v="21"/>
    <x v="3"/>
    <x v="5"/>
    <x v="2"/>
  </r>
  <r>
    <x v="948"/>
    <x v="9"/>
    <x v="2"/>
    <n v="42.6"/>
    <x v="823"/>
    <x v="37"/>
    <x v="45"/>
    <x v="2"/>
    <x v="2"/>
    <x v="2"/>
    <x v="0"/>
    <x v="2"/>
    <x v="4"/>
    <x v="5"/>
    <x v="2"/>
  </r>
  <r>
    <x v="949"/>
    <x v="6"/>
    <x v="2"/>
    <n v="44.1"/>
    <x v="431"/>
    <x v="37"/>
    <x v="35"/>
    <x v="2"/>
    <x v="1"/>
    <x v="1"/>
    <x v="0"/>
    <x v="22"/>
    <x v="1"/>
    <x v="5"/>
    <x v="2"/>
  </r>
  <r>
    <x v="950"/>
    <x v="8"/>
    <x v="1"/>
    <n v="40.9"/>
    <x v="673"/>
    <x v="37"/>
    <x v="40"/>
    <x v="1"/>
    <x v="0"/>
    <x v="0"/>
    <x v="0"/>
    <x v="3"/>
    <x v="5"/>
    <x v="5"/>
    <x v="1"/>
  </r>
  <r>
    <x v="951"/>
    <x v="9"/>
    <x v="2"/>
    <n v="49.1"/>
    <x v="824"/>
    <x v="37"/>
    <x v="40"/>
    <x v="2"/>
    <x v="3"/>
    <x v="1"/>
    <x v="0"/>
    <x v="3"/>
    <x v="5"/>
    <x v="5"/>
    <x v="2"/>
  </r>
  <r>
    <x v="952"/>
    <x v="18"/>
    <x v="0"/>
    <n v="85.3"/>
    <x v="825"/>
    <x v="37"/>
    <x v="40"/>
    <x v="1"/>
    <x v="1"/>
    <x v="1"/>
    <x v="0"/>
    <x v="3"/>
    <x v="5"/>
    <x v="5"/>
    <x v="1"/>
  </r>
  <r>
    <x v="953"/>
    <x v="6"/>
    <x v="12"/>
    <n v="43.1"/>
    <x v="826"/>
    <x v="38"/>
    <x v="40"/>
    <x v="1"/>
    <x v="0"/>
    <x v="0"/>
    <x v="0"/>
    <x v="3"/>
    <x v="2"/>
    <x v="5"/>
    <x v="1"/>
  </r>
  <r>
    <x v="954"/>
    <x v="4"/>
    <x v="12"/>
    <n v="46.2"/>
    <x v="827"/>
    <x v="38"/>
    <x v="35"/>
    <x v="1"/>
    <x v="2"/>
    <x v="0"/>
    <x v="0"/>
    <x v="3"/>
    <x v="3"/>
    <x v="5"/>
    <x v="1"/>
  </r>
  <r>
    <x v="955"/>
    <x v="1"/>
    <x v="0"/>
    <n v="74.400000000000006"/>
    <x v="610"/>
    <x v="38"/>
    <x v="37"/>
    <x v="1"/>
    <x v="4"/>
    <x v="2"/>
    <x v="0"/>
    <x v="3"/>
    <x v="1"/>
    <x v="5"/>
    <x v="1"/>
  </r>
  <r>
    <x v="956"/>
    <x v="17"/>
    <x v="1"/>
    <n v="51.2"/>
    <x v="298"/>
    <x v="38"/>
    <x v="35"/>
    <x v="1"/>
    <x v="1"/>
    <x v="0"/>
    <x v="0"/>
    <x v="3"/>
    <x v="3"/>
    <x v="5"/>
    <x v="1"/>
  </r>
  <r>
    <x v="957"/>
    <x v="14"/>
    <x v="12"/>
    <n v="11.8"/>
    <x v="828"/>
    <x v="38"/>
    <x v="39"/>
    <x v="1"/>
    <x v="2"/>
    <x v="0"/>
    <x v="0"/>
    <x v="3"/>
    <x v="7"/>
    <x v="5"/>
    <x v="1"/>
  </r>
  <r>
    <x v="958"/>
    <x v="10"/>
    <x v="6"/>
    <n v="40.799999999999997"/>
    <x v="829"/>
    <x v="38"/>
    <x v="35"/>
    <x v="2"/>
    <x v="3"/>
    <x v="2"/>
    <x v="0"/>
    <x v="3"/>
    <x v="3"/>
    <x v="5"/>
    <x v="2"/>
  </r>
  <r>
    <x v="959"/>
    <x v="8"/>
    <x v="0"/>
    <n v="24.7"/>
    <x v="830"/>
    <x v="38"/>
    <x v="37"/>
    <x v="2"/>
    <x v="2"/>
    <x v="1"/>
    <x v="0"/>
    <x v="3"/>
    <x v="1"/>
    <x v="5"/>
    <x v="2"/>
  </r>
  <r>
    <x v="960"/>
    <x v="8"/>
    <x v="3"/>
    <n v="22.1"/>
    <x v="831"/>
    <x v="38"/>
    <x v="39"/>
    <x v="2"/>
    <x v="2"/>
    <x v="4"/>
    <x v="0"/>
    <x v="3"/>
    <x v="7"/>
    <x v="5"/>
    <x v="2"/>
  </r>
  <r>
    <x v="961"/>
    <x v="8"/>
    <x v="0"/>
    <n v="18.100000000000001"/>
    <x v="832"/>
    <x v="38"/>
    <x v="44"/>
    <x v="1"/>
    <x v="3"/>
    <x v="2"/>
    <x v="0"/>
    <x v="3"/>
    <x v="5"/>
    <x v="5"/>
    <x v="1"/>
  </r>
  <r>
    <x v="962"/>
    <x v="17"/>
    <x v="1"/>
    <n v="58.8"/>
    <x v="833"/>
    <x v="38"/>
    <x v="40"/>
    <x v="2"/>
    <x v="0"/>
    <x v="0"/>
    <x v="0"/>
    <x v="25"/>
    <x v="2"/>
    <x v="5"/>
    <x v="2"/>
  </r>
  <r>
    <x v="963"/>
    <x v="18"/>
    <x v="1"/>
    <n v="30.8"/>
    <x v="834"/>
    <x v="38"/>
    <x v="35"/>
    <x v="2"/>
    <x v="0"/>
    <x v="0"/>
    <x v="0"/>
    <x v="6"/>
    <x v="3"/>
    <x v="5"/>
    <x v="2"/>
  </r>
  <r>
    <x v="964"/>
    <x v="0"/>
    <x v="1"/>
    <n v="12"/>
    <x v="835"/>
    <x v="38"/>
    <x v="44"/>
    <x v="2"/>
    <x v="0"/>
    <x v="0"/>
    <x v="0"/>
    <x v="6"/>
    <x v="5"/>
    <x v="5"/>
    <x v="2"/>
  </r>
  <r>
    <x v="965"/>
    <x v="0"/>
    <x v="12"/>
    <n v="13.6"/>
    <x v="630"/>
    <x v="38"/>
    <x v="40"/>
    <x v="1"/>
    <x v="2"/>
    <x v="0"/>
    <x v="0"/>
    <x v="6"/>
    <x v="2"/>
    <x v="5"/>
    <x v="1"/>
  </r>
  <r>
    <x v="966"/>
    <x v="0"/>
    <x v="0"/>
    <n v="17.899999999999999"/>
    <x v="836"/>
    <x v="38"/>
    <x v="35"/>
    <x v="1"/>
    <x v="3"/>
    <x v="0"/>
    <x v="0"/>
    <x v="6"/>
    <x v="3"/>
    <x v="5"/>
    <x v="1"/>
  </r>
  <r>
    <x v="967"/>
    <x v="9"/>
    <x v="1"/>
    <n v="38.6"/>
    <x v="837"/>
    <x v="38"/>
    <x v="44"/>
    <x v="2"/>
    <x v="4"/>
    <x v="0"/>
    <x v="0"/>
    <x v="7"/>
    <x v="5"/>
    <x v="5"/>
    <x v="2"/>
  </r>
  <r>
    <x v="968"/>
    <x v="5"/>
    <x v="9"/>
    <n v="32.700000000000003"/>
    <x v="838"/>
    <x v="38"/>
    <x v="35"/>
    <x v="1"/>
    <x v="2"/>
    <x v="2"/>
    <x v="0"/>
    <x v="8"/>
    <x v="3"/>
    <x v="5"/>
    <x v="1"/>
  </r>
  <r>
    <x v="969"/>
    <x v="3"/>
    <x v="1"/>
    <n v="111.4"/>
    <x v="839"/>
    <x v="38"/>
    <x v="35"/>
    <x v="2"/>
    <x v="1"/>
    <x v="0"/>
    <x v="0"/>
    <x v="8"/>
    <x v="3"/>
    <x v="5"/>
    <x v="2"/>
  </r>
  <r>
    <x v="970"/>
    <x v="2"/>
    <x v="13"/>
    <n v="80.3"/>
    <x v="840"/>
    <x v="38"/>
    <x v="37"/>
    <x v="2"/>
    <x v="1"/>
    <x v="0"/>
    <x v="0"/>
    <x v="8"/>
    <x v="1"/>
    <x v="5"/>
    <x v="2"/>
  </r>
  <r>
    <x v="971"/>
    <x v="6"/>
    <x v="1"/>
    <n v="58.9"/>
    <x v="841"/>
    <x v="38"/>
    <x v="35"/>
    <x v="1"/>
    <x v="1"/>
    <x v="0"/>
    <x v="0"/>
    <x v="8"/>
    <x v="3"/>
    <x v="5"/>
    <x v="1"/>
  </r>
  <r>
    <x v="972"/>
    <x v="6"/>
    <x v="2"/>
    <n v="51.9"/>
    <x v="515"/>
    <x v="38"/>
    <x v="37"/>
    <x v="2"/>
    <x v="1"/>
    <x v="4"/>
    <x v="0"/>
    <x v="8"/>
    <x v="1"/>
    <x v="5"/>
    <x v="2"/>
  </r>
  <r>
    <x v="973"/>
    <x v="2"/>
    <x v="2"/>
    <n v="50.3"/>
    <x v="842"/>
    <x v="38"/>
    <x v="35"/>
    <x v="1"/>
    <x v="2"/>
    <x v="0"/>
    <x v="0"/>
    <x v="17"/>
    <x v="3"/>
    <x v="5"/>
    <x v="1"/>
  </r>
  <r>
    <x v="974"/>
    <x v="11"/>
    <x v="13"/>
    <n v="45"/>
    <x v="843"/>
    <x v="38"/>
    <x v="42"/>
    <x v="2"/>
    <x v="3"/>
    <x v="0"/>
    <x v="0"/>
    <x v="9"/>
    <x v="4"/>
    <x v="5"/>
    <x v="2"/>
  </r>
  <r>
    <x v="975"/>
    <x v="10"/>
    <x v="13"/>
    <n v="44.7"/>
    <x v="844"/>
    <x v="38"/>
    <x v="37"/>
    <x v="2"/>
    <x v="2"/>
    <x v="0"/>
    <x v="0"/>
    <x v="11"/>
    <x v="1"/>
    <x v="5"/>
    <x v="2"/>
  </r>
  <r>
    <x v="976"/>
    <x v="18"/>
    <x v="20"/>
    <n v="33"/>
    <x v="845"/>
    <x v="38"/>
    <x v="35"/>
    <x v="2"/>
    <x v="2"/>
    <x v="0"/>
    <x v="0"/>
    <x v="11"/>
    <x v="3"/>
    <x v="5"/>
    <x v="2"/>
  </r>
  <r>
    <x v="977"/>
    <x v="1"/>
    <x v="9"/>
    <n v="44.9"/>
    <x v="846"/>
    <x v="38"/>
    <x v="40"/>
    <x v="2"/>
    <x v="2"/>
    <x v="2"/>
    <x v="0"/>
    <x v="18"/>
    <x v="2"/>
    <x v="5"/>
    <x v="2"/>
  </r>
  <r>
    <x v="978"/>
    <x v="10"/>
    <x v="1"/>
    <n v="34.6"/>
    <x v="564"/>
    <x v="38"/>
    <x v="44"/>
    <x v="2"/>
    <x v="0"/>
    <x v="1"/>
    <x v="0"/>
    <x v="19"/>
    <x v="5"/>
    <x v="5"/>
    <x v="2"/>
  </r>
  <r>
    <x v="979"/>
    <x v="7"/>
    <x v="3"/>
    <n v="47.1"/>
    <x v="847"/>
    <x v="38"/>
    <x v="45"/>
    <x v="2"/>
    <x v="0"/>
    <x v="0"/>
    <x v="0"/>
    <x v="13"/>
    <x v="0"/>
    <x v="5"/>
    <x v="2"/>
  </r>
  <r>
    <x v="980"/>
    <x v="4"/>
    <x v="9"/>
    <n v="26.1"/>
    <x v="848"/>
    <x v="38"/>
    <x v="45"/>
    <x v="1"/>
    <x v="0"/>
    <x v="2"/>
    <x v="0"/>
    <x v="21"/>
    <x v="0"/>
    <x v="5"/>
    <x v="1"/>
  </r>
  <r>
    <x v="981"/>
    <x v="12"/>
    <x v="9"/>
    <n v="66.8"/>
    <x v="849"/>
    <x v="38"/>
    <x v="40"/>
    <x v="2"/>
    <x v="0"/>
    <x v="0"/>
    <x v="0"/>
    <x v="21"/>
    <x v="2"/>
    <x v="5"/>
    <x v="2"/>
  </r>
  <r>
    <x v="982"/>
    <x v="2"/>
    <x v="1"/>
    <n v="167.9"/>
    <x v="850"/>
    <x v="38"/>
    <x v="35"/>
    <x v="2"/>
    <x v="3"/>
    <x v="2"/>
    <x v="0"/>
    <x v="21"/>
    <x v="3"/>
    <x v="5"/>
    <x v="2"/>
  </r>
  <r>
    <x v="983"/>
    <x v="10"/>
    <x v="11"/>
    <n v="34.6"/>
    <x v="851"/>
    <x v="38"/>
    <x v="35"/>
    <x v="2"/>
    <x v="2"/>
    <x v="1"/>
    <x v="0"/>
    <x v="21"/>
    <x v="3"/>
    <x v="5"/>
    <x v="2"/>
  </r>
  <r>
    <x v="984"/>
    <x v="8"/>
    <x v="2"/>
    <n v="35.1"/>
    <x v="852"/>
    <x v="39"/>
    <x v="45"/>
    <x v="1"/>
    <x v="4"/>
    <x v="2"/>
    <x v="0"/>
    <x v="1"/>
    <x v="5"/>
    <x v="6"/>
    <x v="1"/>
  </r>
  <r>
    <x v="985"/>
    <x v="6"/>
    <x v="12"/>
    <n v="104.5"/>
    <x v="378"/>
    <x v="39"/>
    <x v="37"/>
    <x v="1"/>
    <x v="1"/>
    <x v="1"/>
    <x v="0"/>
    <x v="1"/>
    <x v="3"/>
    <x v="6"/>
    <x v="1"/>
  </r>
  <r>
    <x v="986"/>
    <x v="8"/>
    <x v="0"/>
    <n v="37.9"/>
    <x v="853"/>
    <x v="39"/>
    <x v="40"/>
    <x v="0"/>
    <x v="1"/>
    <x v="2"/>
    <x v="0"/>
    <x v="2"/>
    <x v="1"/>
    <x v="6"/>
    <x v="0"/>
  </r>
  <r>
    <x v="987"/>
    <x v="4"/>
    <x v="2"/>
    <n v="25.5"/>
    <x v="514"/>
    <x v="39"/>
    <x v="44"/>
    <x v="1"/>
    <x v="3"/>
    <x v="0"/>
    <x v="0"/>
    <x v="2"/>
    <x v="2"/>
    <x v="6"/>
    <x v="1"/>
  </r>
  <r>
    <x v="988"/>
    <x v="0"/>
    <x v="2"/>
    <n v="32"/>
    <x v="854"/>
    <x v="39"/>
    <x v="45"/>
    <x v="2"/>
    <x v="1"/>
    <x v="0"/>
    <x v="0"/>
    <x v="22"/>
    <x v="5"/>
    <x v="6"/>
    <x v="2"/>
  </r>
  <r>
    <x v="989"/>
    <x v="1"/>
    <x v="0"/>
    <n v="47.1"/>
    <x v="392"/>
    <x v="39"/>
    <x v="37"/>
    <x v="2"/>
    <x v="0"/>
    <x v="0"/>
    <x v="0"/>
    <x v="34"/>
    <x v="3"/>
    <x v="6"/>
    <x v="2"/>
  </r>
  <r>
    <x v="990"/>
    <x v="6"/>
    <x v="1"/>
    <n v="50.6"/>
    <x v="855"/>
    <x v="39"/>
    <x v="48"/>
    <x v="0"/>
    <x v="0"/>
    <x v="0"/>
    <x v="0"/>
    <x v="3"/>
    <x v="4"/>
    <x v="6"/>
    <x v="0"/>
  </r>
  <r>
    <x v="991"/>
    <x v="6"/>
    <x v="9"/>
    <n v="81.7"/>
    <x v="856"/>
    <x v="39"/>
    <x v="37"/>
    <x v="2"/>
    <x v="1"/>
    <x v="2"/>
    <x v="0"/>
    <x v="3"/>
    <x v="3"/>
    <x v="6"/>
    <x v="2"/>
  </r>
  <r>
    <x v="992"/>
    <x v="5"/>
    <x v="1"/>
    <n v="50.7"/>
    <x v="857"/>
    <x v="39"/>
    <x v="37"/>
    <x v="3"/>
    <x v="2"/>
    <x v="2"/>
    <x v="0"/>
    <x v="3"/>
    <x v="3"/>
    <x v="6"/>
    <x v="3"/>
  </r>
  <r>
    <x v="993"/>
    <x v="2"/>
    <x v="10"/>
    <n v="67.3"/>
    <x v="858"/>
    <x v="39"/>
    <x v="45"/>
    <x v="2"/>
    <x v="2"/>
    <x v="0"/>
    <x v="0"/>
    <x v="3"/>
    <x v="5"/>
    <x v="6"/>
    <x v="2"/>
  </r>
  <r>
    <x v="994"/>
    <x v="2"/>
    <x v="12"/>
    <n v="64.8"/>
    <x v="629"/>
    <x v="39"/>
    <x v="44"/>
    <x v="2"/>
    <x v="3"/>
    <x v="0"/>
    <x v="0"/>
    <x v="3"/>
    <x v="2"/>
    <x v="6"/>
    <x v="2"/>
  </r>
  <r>
    <x v="995"/>
    <x v="5"/>
    <x v="32"/>
    <n v="61.3"/>
    <x v="859"/>
    <x v="39"/>
    <x v="37"/>
    <x v="2"/>
    <x v="0"/>
    <x v="2"/>
    <x v="0"/>
    <x v="3"/>
    <x v="3"/>
    <x v="6"/>
    <x v="2"/>
  </r>
  <r>
    <x v="996"/>
    <x v="14"/>
    <x v="0"/>
    <n v="32.9"/>
    <x v="860"/>
    <x v="39"/>
    <x v="44"/>
    <x v="2"/>
    <x v="4"/>
    <x v="0"/>
    <x v="0"/>
    <x v="3"/>
    <x v="2"/>
    <x v="6"/>
    <x v="2"/>
  </r>
  <r>
    <x v="997"/>
    <x v="6"/>
    <x v="1"/>
    <n v="100.8"/>
    <x v="861"/>
    <x v="39"/>
    <x v="44"/>
    <x v="2"/>
    <x v="0"/>
    <x v="0"/>
    <x v="0"/>
    <x v="3"/>
    <x v="2"/>
    <x v="6"/>
    <x v="2"/>
  </r>
  <r>
    <x v="998"/>
    <x v="8"/>
    <x v="12"/>
    <n v="25.1"/>
    <x v="862"/>
    <x v="39"/>
    <x v="40"/>
    <x v="2"/>
    <x v="1"/>
    <x v="0"/>
    <x v="0"/>
    <x v="3"/>
    <x v="1"/>
    <x v="6"/>
    <x v="2"/>
  </r>
  <r>
    <x v="999"/>
    <x v="17"/>
    <x v="0"/>
    <n v="48.5"/>
    <x v="319"/>
    <x v="39"/>
    <x v="37"/>
    <x v="2"/>
    <x v="0"/>
    <x v="1"/>
    <x v="0"/>
    <x v="3"/>
    <x v="3"/>
    <x v="6"/>
    <x v="2"/>
  </r>
  <r>
    <x v="1000"/>
    <x v="7"/>
    <x v="1"/>
    <n v="33.6"/>
    <x v="863"/>
    <x v="39"/>
    <x v="45"/>
    <x v="2"/>
    <x v="2"/>
    <x v="2"/>
    <x v="0"/>
    <x v="3"/>
    <x v="5"/>
    <x v="6"/>
    <x v="2"/>
  </r>
  <r>
    <x v="1001"/>
    <x v="8"/>
    <x v="0"/>
    <n v="39.299999999999997"/>
    <x v="864"/>
    <x v="39"/>
    <x v="49"/>
    <x v="2"/>
    <x v="1"/>
    <x v="1"/>
    <x v="0"/>
    <x v="49"/>
    <x v="11"/>
    <x v="6"/>
    <x v="2"/>
  </r>
  <r>
    <x v="1002"/>
    <x v="4"/>
    <x v="7"/>
    <n v="48.8"/>
    <x v="865"/>
    <x v="39"/>
    <x v="40"/>
    <x v="2"/>
    <x v="3"/>
    <x v="1"/>
    <x v="0"/>
    <x v="25"/>
    <x v="1"/>
    <x v="6"/>
    <x v="2"/>
  </r>
  <r>
    <x v="1003"/>
    <x v="6"/>
    <x v="8"/>
    <n v="72.8"/>
    <x v="866"/>
    <x v="39"/>
    <x v="40"/>
    <x v="1"/>
    <x v="1"/>
    <x v="2"/>
    <x v="0"/>
    <x v="5"/>
    <x v="1"/>
    <x v="6"/>
    <x v="1"/>
  </r>
  <r>
    <x v="1004"/>
    <x v="10"/>
    <x v="8"/>
    <n v="46.2"/>
    <x v="867"/>
    <x v="39"/>
    <x v="37"/>
    <x v="1"/>
    <x v="3"/>
    <x v="4"/>
    <x v="0"/>
    <x v="5"/>
    <x v="3"/>
    <x v="6"/>
    <x v="1"/>
  </r>
  <r>
    <x v="1005"/>
    <x v="4"/>
    <x v="1"/>
    <n v="20.7"/>
    <x v="50"/>
    <x v="39"/>
    <x v="37"/>
    <x v="2"/>
    <x v="2"/>
    <x v="3"/>
    <x v="0"/>
    <x v="6"/>
    <x v="3"/>
    <x v="6"/>
    <x v="2"/>
  </r>
  <r>
    <x v="1006"/>
    <x v="0"/>
    <x v="0"/>
    <n v="35.700000000000003"/>
    <x v="519"/>
    <x v="39"/>
    <x v="40"/>
    <x v="2"/>
    <x v="3"/>
    <x v="0"/>
    <x v="0"/>
    <x v="6"/>
    <x v="1"/>
    <x v="6"/>
    <x v="2"/>
  </r>
  <r>
    <x v="1007"/>
    <x v="2"/>
    <x v="27"/>
    <n v="166.2"/>
    <x v="868"/>
    <x v="39"/>
    <x v="40"/>
    <x v="0"/>
    <x v="2"/>
    <x v="0"/>
    <x v="0"/>
    <x v="7"/>
    <x v="1"/>
    <x v="6"/>
    <x v="0"/>
  </r>
  <r>
    <x v="1008"/>
    <x v="6"/>
    <x v="12"/>
    <n v="85.8"/>
    <x v="869"/>
    <x v="39"/>
    <x v="37"/>
    <x v="2"/>
    <x v="1"/>
    <x v="1"/>
    <x v="0"/>
    <x v="7"/>
    <x v="3"/>
    <x v="6"/>
    <x v="2"/>
  </r>
  <r>
    <x v="1009"/>
    <x v="8"/>
    <x v="2"/>
    <n v="26"/>
    <x v="292"/>
    <x v="39"/>
    <x v="40"/>
    <x v="3"/>
    <x v="1"/>
    <x v="0"/>
    <x v="0"/>
    <x v="7"/>
    <x v="1"/>
    <x v="6"/>
    <x v="3"/>
  </r>
  <r>
    <x v="1010"/>
    <x v="2"/>
    <x v="15"/>
    <n v="116.6"/>
    <x v="870"/>
    <x v="39"/>
    <x v="44"/>
    <x v="2"/>
    <x v="0"/>
    <x v="0"/>
    <x v="0"/>
    <x v="8"/>
    <x v="2"/>
    <x v="6"/>
    <x v="2"/>
  </r>
  <r>
    <x v="1011"/>
    <x v="9"/>
    <x v="3"/>
    <n v="53.9"/>
    <x v="871"/>
    <x v="39"/>
    <x v="44"/>
    <x v="3"/>
    <x v="0"/>
    <x v="2"/>
    <x v="0"/>
    <x v="8"/>
    <x v="2"/>
    <x v="6"/>
    <x v="3"/>
  </r>
  <r>
    <x v="1012"/>
    <x v="12"/>
    <x v="9"/>
    <n v="72.3"/>
    <x v="785"/>
    <x v="39"/>
    <x v="40"/>
    <x v="0"/>
    <x v="2"/>
    <x v="2"/>
    <x v="0"/>
    <x v="8"/>
    <x v="1"/>
    <x v="6"/>
    <x v="0"/>
  </r>
  <r>
    <x v="1013"/>
    <x v="5"/>
    <x v="1"/>
    <n v="31.4"/>
    <x v="143"/>
    <x v="39"/>
    <x v="40"/>
    <x v="2"/>
    <x v="0"/>
    <x v="0"/>
    <x v="0"/>
    <x v="8"/>
    <x v="1"/>
    <x v="6"/>
    <x v="2"/>
  </r>
  <r>
    <x v="1014"/>
    <x v="13"/>
    <x v="1"/>
    <n v="53.1"/>
    <x v="872"/>
    <x v="39"/>
    <x v="44"/>
    <x v="1"/>
    <x v="1"/>
    <x v="0"/>
    <x v="0"/>
    <x v="8"/>
    <x v="2"/>
    <x v="6"/>
    <x v="1"/>
  </r>
  <r>
    <x v="1015"/>
    <x v="2"/>
    <x v="12"/>
    <n v="56.2"/>
    <x v="873"/>
    <x v="39"/>
    <x v="37"/>
    <x v="2"/>
    <x v="0"/>
    <x v="0"/>
    <x v="0"/>
    <x v="8"/>
    <x v="3"/>
    <x v="6"/>
    <x v="2"/>
  </r>
  <r>
    <x v="1016"/>
    <x v="1"/>
    <x v="7"/>
    <n v="77.3"/>
    <x v="874"/>
    <x v="39"/>
    <x v="37"/>
    <x v="2"/>
    <x v="2"/>
    <x v="0"/>
    <x v="0"/>
    <x v="11"/>
    <x v="3"/>
    <x v="6"/>
    <x v="2"/>
  </r>
  <r>
    <x v="1017"/>
    <x v="6"/>
    <x v="15"/>
    <n v="57.8"/>
    <x v="875"/>
    <x v="39"/>
    <x v="37"/>
    <x v="0"/>
    <x v="0"/>
    <x v="0"/>
    <x v="0"/>
    <x v="53"/>
    <x v="3"/>
    <x v="6"/>
    <x v="0"/>
  </r>
  <r>
    <x v="1018"/>
    <x v="12"/>
    <x v="20"/>
    <n v="42.1"/>
    <x v="876"/>
    <x v="39"/>
    <x v="40"/>
    <x v="2"/>
    <x v="1"/>
    <x v="1"/>
    <x v="0"/>
    <x v="53"/>
    <x v="1"/>
    <x v="6"/>
    <x v="2"/>
  </r>
  <r>
    <x v="1019"/>
    <x v="8"/>
    <x v="11"/>
    <n v="22.8"/>
    <x v="877"/>
    <x v="39"/>
    <x v="45"/>
    <x v="1"/>
    <x v="2"/>
    <x v="2"/>
    <x v="0"/>
    <x v="19"/>
    <x v="5"/>
    <x v="6"/>
    <x v="1"/>
  </r>
  <r>
    <x v="1020"/>
    <x v="2"/>
    <x v="2"/>
    <n v="171.1"/>
    <x v="878"/>
    <x v="40"/>
    <x v="43"/>
    <x v="2"/>
    <x v="2"/>
    <x v="1"/>
    <x v="0"/>
    <x v="19"/>
    <x v="6"/>
    <x v="6"/>
    <x v="2"/>
  </r>
  <r>
    <x v="1021"/>
    <x v="8"/>
    <x v="0"/>
    <n v="28"/>
    <x v="879"/>
    <x v="40"/>
    <x v="44"/>
    <x v="1"/>
    <x v="2"/>
    <x v="2"/>
    <x v="0"/>
    <x v="21"/>
    <x v="1"/>
    <x v="6"/>
    <x v="1"/>
  </r>
  <r>
    <x v="1022"/>
    <x v="6"/>
    <x v="3"/>
    <n v="50.2"/>
    <x v="880"/>
    <x v="40"/>
    <x v="44"/>
    <x v="1"/>
    <x v="2"/>
    <x v="0"/>
    <x v="0"/>
    <x v="21"/>
    <x v="1"/>
    <x v="6"/>
    <x v="1"/>
  </r>
  <r>
    <x v="1023"/>
    <x v="6"/>
    <x v="1"/>
    <n v="56"/>
    <x v="881"/>
    <x v="40"/>
    <x v="37"/>
    <x v="1"/>
    <x v="0"/>
    <x v="2"/>
    <x v="0"/>
    <x v="22"/>
    <x v="7"/>
    <x v="6"/>
    <x v="1"/>
  </r>
  <r>
    <x v="1024"/>
    <x v="1"/>
    <x v="1"/>
    <n v="38.299999999999997"/>
    <x v="882"/>
    <x v="40"/>
    <x v="40"/>
    <x v="2"/>
    <x v="1"/>
    <x v="0"/>
    <x v="0"/>
    <x v="3"/>
    <x v="3"/>
    <x v="6"/>
    <x v="2"/>
  </r>
  <r>
    <x v="1025"/>
    <x v="0"/>
    <x v="9"/>
    <n v="22.3"/>
    <x v="883"/>
    <x v="40"/>
    <x v="42"/>
    <x v="2"/>
    <x v="2"/>
    <x v="1"/>
    <x v="0"/>
    <x v="3"/>
    <x v="5"/>
    <x v="6"/>
    <x v="2"/>
  </r>
  <r>
    <x v="1026"/>
    <x v="0"/>
    <x v="2"/>
    <n v="22.3"/>
    <x v="884"/>
    <x v="40"/>
    <x v="45"/>
    <x v="2"/>
    <x v="2"/>
    <x v="0"/>
    <x v="0"/>
    <x v="3"/>
    <x v="2"/>
    <x v="6"/>
    <x v="2"/>
  </r>
  <r>
    <x v="1027"/>
    <x v="1"/>
    <x v="0"/>
    <n v="32.9"/>
    <x v="860"/>
    <x v="40"/>
    <x v="48"/>
    <x v="2"/>
    <x v="0"/>
    <x v="0"/>
    <x v="0"/>
    <x v="3"/>
    <x v="0"/>
    <x v="6"/>
    <x v="2"/>
  </r>
  <r>
    <x v="1028"/>
    <x v="10"/>
    <x v="2"/>
    <n v="31.9"/>
    <x v="802"/>
    <x v="40"/>
    <x v="48"/>
    <x v="2"/>
    <x v="0"/>
    <x v="0"/>
    <x v="0"/>
    <x v="3"/>
    <x v="0"/>
    <x v="6"/>
    <x v="2"/>
  </r>
  <r>
    <x v="1029"/>
    <x v="6"/>
    <x v="1"/>
    <n v="94"/>
    <x v="885"/>
    <x v="40"/>
    <x v="40"/>
    <x v="1"/>
    <x v="2"/>
    <x v="2"/>
    <x v="0"/>
    <x v="3"/>
    <x v="3"/>
    <x v="6"/>
    <x v="1"/>
  </r>
  <r>
    <x v="1030"/>
    <x v="10"/>
    <x v="1"/>
    <n v="30.7"/>
    <x v="886"/>
    <x v="40"/>
    <x v="40"/>
    <x v="2"/>
    <x v="0"/>
    <x v="1"/>
    <x v="0"/>
    <x v="3"/>
    <x v="3"/>
    <x v="6"/>
    <x v="2"/>
  </r>
  <r>
    <x v="1031"/>
    <x v="5"/>
    <x v="9"/>
    <n v="90.5"/>
    <x v="887"/>
    <x v="40"/>
    <x v="43"/>
    <x v="1"/>
    <x v="0"/>
    <x v="2"/>
    <x v="0"/>
    <x v="3"/>
    <x v="6"/>
    <x v="6"/>
    <x v="1"/>
  </r>
  <r>
    <x v="1032"/>
    <x v="8"/>
    <x v="9"/>
    <n v="25.3"/>
    <x v="888"/>
    <x v="40"/>
    <x v="42"/>
    <x v="2"/>
    <x v="0"/>
    <x v="2"/>
    <x v="0"/>
    <x v="3"/>
    <x v="5"/>
    <x v="6"/>
    <x v="2"/>
  </r>
  <r>
    <x v="1033"/>
    <x v="6"/>
    <x v="2"/>
    <n v="58.1"/>
    <x v="889"/>
    <x v="40"/>
    <x v="42"/>
    <x v="0"/>
    <x v="0"/>
    <x v="2"/>
    <x v="0"/>
    <x v="3"/>
    <x v="5"/>
    <x v="6"/>
    <x v="0"/>
  </r>
  <r>
    <x v="1034"/>
    <x v="2"/>
    <x v="2"/>
    <n v="74.900000000000006"/>
    <x v="890"/>
    <x v="40"/>
    <x v="40"/>
    <x v="2"/>
    <x v="4"/>
    <x v="0"/>
    <x v="0"/>
    <x v="3"/>
    <x v="3"/>
    <x v="6"/>
    <x v="2"/>
  </r>
  <r>
    <x v="1035"/>
    <x v="4"/>
    <x v="1"/>
    <n v="32.5"/>
    <x v="891"/>
    <x v="40"/>
    <x v="40"/>
    <x v="1"/>
    <x v="2"/>
    <x v="2"/>
    <x v="0"/>
    <x v="43"/>
    <x v="3"/>
    <x v="6"/>
    <x v="1"/>
  </r>
  <r>
    <x v="1036"/>
    <x v="4"/>
    <x v="9"/>
    <n v="62"/>
    <x v="892"/>
    <x v="40"/>
    <x v="40"/>
    <x v="1"/>
    <x v="4"/>
    <x v="2"/>
    <x v="0"/>
    <x v="25"/>
    <x v="3"/>
    <x v="6"/>
    <x v="1"/>
  </r>
  <r>
    <x v="1037"/>
    <x v="13"/>
    <x v="13"/>
    <n v="28.9"/>
    <x v="893"/>
    <x v="40"/>
    <x v="45"/>
    <x v="2"/>
    <x v="0"/>
    <x v="1"/>
    <x v="0"/>
    <x v="6"/>
    <x v="2"/>
    <x v="6"/>
    <x v="2"/>
  </r>
  <r>
    <x v="1038"/>
    <x v="6"/>
    <x v="8"/>
    <n v="42.8"/>
    <x v="894"/>
    <x v="40"/>
    <x v="44"/>
    <x v="2"/>
    <x v="0"/>
    <x v="2"/>
    <x v="0"/>
    <x v="6"/>
    <x v="1"/>
    <x v="6"/>
    <x v="2"/>
  </r>
  <r>
    <x v="1039"/>
    <x v="8"/>
    <x v="8"/>
    <n v="39.4"/>
    <x v="895"/>
    <x v="40"/>
    <x v="44"/>
    <x v="1"/>
    <x v="0"/>
    <x v="0"/>
    <x v="0"/>
    <x v="36"/>
    <x v="1"/>
    <x v="6"/>
    <x v="1"/>
  </r>
  <r>
    <x v="1040"/>
    <x v="18"/>
    <x v="2"/>
    <n v="66.400000000000006"/>
    <x v="896"/>
    <x v="40"/>
    <x v="40"/>
    <x v="0"/>
    <x v="2"/>
    <x v="1"/>
    <x v="0"/>
    <x v="7"/>
    <x v="3"/>
    <x v="6"/>
    <x v="0"/>
  </r>
  <r>
    <x v="1041"/>
    <x v="17"/>
    <x v="12"/>
    <n v="35.9"/>
    <x v="897"/>
    <x v="40"/>
    <x v="43"/>
    <x v="2"/>
    <x v="1"/>
    <x v="0"/>
    <x v="0"/>
    <x v="7"/>
    <x v="6"/>
    <x v="6"/>
    <x v="2"/>
  </r>
  <r>
    <x v="1042"/>
    <x v="0"/>
    <x v="12"/>
    <n v="26.9"/>
    <x v="799"/>
    <x v="40"/>
    <x v="40"/>
    <x v="1"/>
    <x v="1"/>
    <x v="0"/>
    <x v="0"/>
    <x v="7"/>
    <x v="3"/>
    <x v="6"/>
    <x v="1"/>
  </r>
  <r>
    <x v="1043"/>
    <x v="2"/>
    <x v="0"/>
    <n v="55.1"/>
    <x v="898"/>
    <x v="40"/>
    <x v="40"/>
    <x v="2"/>
    <x v="0"/>
    <x v="0"/>
    <x v="0"/>
    <x v="7"/>
    <x v="3"/>
    <x v="6"/>
    <x v="2"/>
  </r>
  <r>
    <x v="1044"/>
    <x v="4"/>
    <x v="1"/>
    <n v="23.9"/>
    <x v="538"/>
    <x v="40"/>
    <x v="40"/>
    <x v="1"/>
    <x v="0"/>
    <x v="2"/>
    <x v="0"/>
    <x v="8"/>
    <x v="3"/>
    <x v="6"/>
    <x v="1"/>
  </r>
  <r>
    <x v="1045"/>
    <x v="9"/>
    <x v="15"/>
    <n v="21.1"/>
    <x v="899"/>
    <x v="40"/>
    <x v="50"/>
    <x v="2"/>
    <x v="0"/>
    <x v="1"/>
    <x v="0"/>
    <x v="8"/>
    <x v="9"/>
    <x v="6"/>
    <x v="2"/>
  </r>
  <r>
    <x v="1046"/>
    <x v="8"/>
    <x v="9"/>
    <n v="33.799999999999997"/>
    <x v="900"/>
    <x v="40"/>
    <x v="44"/>
    <x v="2"/>
    <x v="0"/>
    <x v="0"/>
    <x v="0"/>
    <x v="8"/>
    <x v="1"/>
    <x v="6"/>
    <x v="2"/>
  </r>
  <r>
    <x v="1047"/>
    <x v="2"/>
    <x v="12"/>
    <n v="56.1"/>
    <x v="901"/>
    <x v="40"/>
    <x v="37"/>
    <x v="2"/>
    <x v="3"/>
    <x v="2"/>
    <x v="0"/>
    <x v="9"/>
    <x v="7"/>
    <x v="6"/>
    <x v="2"/>
  </r>
  <r>
    <x v="1048"/>
    <x v="3"/>
    <x v="0"/>
    <n v="58.5"/>
    <x v="902"/>
    <x v="41"/>
    <x v="48"/>
    <x v="2"/>
    <x v="1"/>
    <x v="2"/>
    <x v="0"/>
    <x v="9"/>
    <x v="5"/>
    <x v="6"/>
    <x v="2"/>
  </r>
  <r>
    <x v="1049"/>
    <x v="6"/>
    <x v="0"/>
    <n v="84.2"/>
    <x v="903"/>
    <x v="41"/>
    <x v="45"/>
    <x v="1"/>
    <x v="3"/>
    <x v="0"/>
    <x v="0"/>
    <x v="11"/>
    <x v="1"/>
    <x v="6"/>
    <x v="1"/>
  </r>
  <r>
    <x v="1050"/>
    <x v="11"/>
    <x v="12"/>
    <n v="52"/>
    <x v="904"/>
    <x v="41"/>
    <x v="42"/>
    <x v="1"/>
    <x v="0"/>
    <x v="0"/>
    <x v="0"/>
    <x v="11"/>
    <x v="2"/>
    <x v="6"/>
    <x v="1"/>
  </r>
  <r>
    <x v="1051"/>
    <x v="4"/>
    <x v="9"/>
    <n v="31.5"/>
    <x v="905"/>
    <x v="41"/>
    <x v="44"/>
    <x v="2"/>
    <x v="0"/>
    <x v="2"/>
    <x v="0"/>
    <x v="11"/>
    <x v="3"/>
    <x v="6"/>
    <x v="2"/>
  </r>
  <r>
    <x v="1052"/>
    <x v="16"/>
    <x v="2"/>
    <n v="46.2"/>
    <x v="209"/>
    <x v="41"/>
    <x v="44"/>
    <x v="1"/>
    <x v="0"/>
    <x v="0"/>
    <x v="0"/>
    <x v="53"/>
    <x v="3"/>
    <x v="6"/>
    <x v="1"/>
  </r>
  <r>
    <x v="1053"/>
    <x v="2"/>
    <x v="13"/>
    <n v="135"/>
    <x v="906"/>
    <x v="41"/>
    <x v="44"/>
    <x v="2"/>
    <x v="1"/>
    <x v="2"/>
    <x v="0"/>
    <x v="18"/>
    <x v="3"/>
    <x v="6"/>
    <x v="2"/>
  </r>
  <r>
    <x v="1054"/>
    <x v="12"/>
    <x v="2"/>
    <n v="92.2"/>
    <x v="907"/>
    <x v="41"/>
    <x v="48"/>
    <x v="1"/>
    <x v="0"/>
    <x v="0"/>
    <x v="0"/>
    <x v="21"/>
    <x v="5"/>
    <x v="6"/>
    <x v="1"/>
  </r>
  <r>
    <x v="1055"/>
    <x v="8"/>
    <x v="0"/>
    <n v="36.6"/>
    <x v="547"/>
    <x v="41"/>
    <x v="45"/>
    <x v="1"/>
    <x v="2"/>
    <x v="2"/>
    <x v="0"/>
    <x v="21"/>
    <x v="1"/>
    <x v="6"/>
    <x v="1"/>
  </r>
  <r>
    <x v="1056"/>
    <x v="9"/>
    <x v="1"/>
    <n v="50.6"/>
    <x v="855"/>
    <x v="41"/>
    <x v="42"/>
    <x v="2"/>
    <x v="0"/>
    <x v="0"/>
    <x v="0"/>
    <x v="2"/>
    <x v="2"/>
    <x v="6"/>
    <x v="2"/>
  </r>
  <r>
    <x v="1057"/>
    <x v="18"/>
    <x v="3"/>
    <n v="56.7"/>
    <x v="908"/>
    <x v="41"/>
    <x v="42"/>
    <x v="2"/>
    <x v="0"/>
    <x v="0"/>
    <x v="0"/>
    <x v="2"/>
    <x v="2"/>
    <x v="6"/>
    <x v="2"/>
  </r>
  <r>
    <x v="1058"/>
    <x v="9"/>
    <x v="15"/>
    <n v="22.9"/>
    <x v="909"/>
    <x v="41"/>
    <x v="44"/>
    <x v="2"/>
    <x v="0"/>
    <x v="1"/>
    <x v="0"/>
    <x v="44"/>
    <x v="3"/>
    <x v="6"/>
    <x v="2"/>
  </r>
  <r>
    <x v="1059"/>
    <x v="15"/>
    <x v="10"/>
    <n v="53.6"/>
    <x v="910"/>
    <x v="41"/>
    <x v="44"/>
    <x v="1"/>
    <x v="0"/>
    <x v="0"/>
    <x v="0"/>
    <x v="22"/>
    <x v="3"/>
    <x v="6"/>
    <x v="1"/>
  </r>
  <r>
    <x v="1060"/>
    <x v="18"/>
    <x v="1"/>
    <n v="30.2"/>
    <x v="266"/>
    <x v="41"/>
    <x v="45"/>
    <x v="0"/>
    <x v="2"/>
    <x v="2"/>
    <x v="0"/>
    <x v="3"/>
    <x v="1"/>
    <x v="6"/>
    <x v="0"/>
  </r>
  <r>
    <x v="1061"/>
    <x v="15"/>
    <x v="13"/>
    <n v="83.4"/>
    <x v="911"/>
    <x v="41"/>
    <x v="44"/>
    <x v="1"/>
    <x v="1"/>
    <x v="2"/>
    <x v="0"/>
    <x v="3"/>
    <x v="3"/>
    <x v="6"/>
    <x v="1"/>
  </r>
  <r>
    <x v="1062"/>
    <x v="13"/>
    <x v="4"/>
    <n v="16.600000000000001"/>
    <x v="896"/>
    <x v="41"/>
    <x v="45"/>
    <x v="1"/>
    <x v="1"/>
    <x v="0"/>
    <x v="0"/>
    <x v="3"/>
    <x v="1"/>
    <x v="6"/>
    <x v="1"/>
  </r>
  <r>
    <x v="1063"/>
    <x v="8"/>
    <x v="14"/>
    <n v="21.9"/>
    <x v="912"/>
    <x v="41"/>
    <x v="45"/>
    <x v="2"/>
    <x v="4"/>
    <x v="1"/>
    <x v="0"/>
    <x v="3"/>
    <x v="1"/>
    <x v="6"/>
    <x v="2"/>
  </r>
  <r>
    <x v="1064"/>
    <x v="8"/>
    <x v="31"/>
    <n v="33.799999999999997"/>
    <x v="913"/>
    <x v="41"/>
    <x v="45"/>
    <x v="1"/>
    <x v="2"/>
    <x v="4"/>
    <x v="0"/>
    <x v="3"/>
    <x v="1"/>
    <x v="6"/>
    <x v="1"/>
  </r>
  <r>
    <x v="1065"/>
    <x v="18"/>
    <x v="1"/>
    <n v="53.2"/>
    <x v="793"/>
    <x v="41"/>
    <x v="40"/>
    <x v="1"/>
    <x v="1"/>
    <x v="0"/>
    <x v="0"/>
    <x v="3"/>
    <x v="7"/>
    <x v="6"/>
    <x v="1"/>
  </r>
  <r>
    <x v="1066"/>
    <x v="2"/>
    <x v="1"/>
    <n v="176.7"/>
    <x v="914"/>
    <x v="41"/>
    <x v="42"/>
    <x v="2"/>
    <x v="2"/>
    <x v="0"/>
    <x v="0"/>
    <x v="3"/>
    <x v="2"/>
    <x v="6"/>
    <x v="2"/>
  </r>
  <r>
    <x v="1067"/>
    <x v="12"/>
    <x v="2"/>
    <n v="54"/>
    <x v="915"/>
    <x v="41"/>
    <x v="42"/>
    <x v="1"/>
    <x v="0"/>
    <x v="1"/>
    <x v="0"/>
    <x v="3"/>
    <x v="2"/>
    <x v="6"/>
    <x v="1"/>
  </r>
  <r>
    <x v="1068"/>
    <x v="9"/>
    <x v="1"/>
    <n v="70.099999999999994"/>
    <x v="634"/>
    <x v="41"/>
    <x v="46"/>
    <x v="2"/>
    <x v="3"/>
    <x v="2"/>
    <x v="0"/>
    <x v="3"/>
    <x v="9"/>
    <x v="6"/>
    <x v="2"/>
  </r>
  <r>
    <x v="1069"/>
    <x v="8"/>
    <x v="0"/>
    <n v="26.5"/>
    <x v="38"/>
    <x v="41"/>
    <x v="45"/>
    <x v="2"/>
    <x v="1"/>
    <x v="0"/>
    <x v="0"/>
    <x v="3"/>
    <x v="1"/>
    <x v="6"/>
    <x v="2"/>
  </r>
  <r>
    <x v="1070"/>
    <x v="7"/>
    <x v="9"/>
    <n v="89"/>
    <x v="916"/>
    <x v="41"/>
    <x v="45"/>
    <x v="1"/>
    <x v="2"/>
    <x v="4"/>
    <x v="0"/>
    <x v="3"/>
    <x v="1"/>
    <x v="6"/>
    <x v="1"/>
  </r>
  <r>
    <x v="1071"/>
    <x v="1"/>
    <x v="13"/>
    <n v="47"/>
    <x v="917"/>
    <x v="41"/>
    <x v="42"/>
    <x v="2"/>
    <x v="3"/>
    <x v="0"/>
    <x v="0"/>
    <x v="24"/>
    <x v="2"/>
    <x v="6"/>
    <x v="2"/>
  </r>
  <r>
    <x v="1072"/>
    <x v="3"/>
    <x v="1"/>
    <n v="55.2"/>
    <x v="918"/>
    <x v="41"/>
    <x v="42"/>
    <x v="1"/>
    <x v="1"/>
    <x v="1"/>
    <x v="0"/>
    <x v="6"/>
    <x v="2"/>
    <x v="6"/>
    <x v="1"/>
  </r>
  <r>
    <x v="1073"/>
    <x v="8"/>
    <x v="39"/>
    <n v="33.299999999999997"/>
    <x v="919"/>
    <x v="41"/>
    <x v="51"/>
    <x v="1"/>
    <x v="1"/>
    <x v="2"/>
    <x v="0"/>
    <x v="6"/>
    <x v="12"/>
    <x v="6"/>
    <x v="1"/>
  </r>
  <r>
    <x v="1074"/>
    <x v="2"/>
    <x v="12"/>
    <n v="110.9"/>
    <x v="920"/>
    <x v="42"/>
    <x v="44"/>
    <x v="1"/>
    <x v="2"/>
    <x v="4"/>
    <x v="0"/>
    <x v="6"/>
    <x v="7"/>
    <x v="6"/>
    <x v="1"/>
  </r>
  <r>
    <x v="1075"/>
    <x v="2"/>
    <x v="13"/>
    <n v="67.3"/>
    <x v="921"/>
    <x v="42"/>
    <x v="45"/>
    <x v="1"/>
    <x v="0"/>
    <x v="0"/>
    <x v="0"/>
    <x v="8"/>
    <x v="3"/>
    <x v="6"/>
    <x v="1"/>
  </r>
  <r>
    <x v="1076"/>
    <x v="6"/>
    <x v="2"/>
    <n v="69.7"/>
    <x v="922"/>
    <x v="42"/>
    <x v="45"/>
    <x v="1"/>
    <x v="2"/>
    <x v="1"/>
    <x v="0"/>
    <x v="8"/>
    <x v="3"/>
    <x v="6"/>
    <x v="1"/>
  </r>
  <r>
    <x v="1077"/>
    <x v="5"/>
    <x v="0"/>
    <n v="39.1"/>
    <x v="923"/>
    <x v="42"/>
    <x v="43"/>
    <x v="1"/>
    <x v="0"/>
    <x v="1"/>
    <x v="0"/>
    <x v="17"/>
    <x v="0"/>
    <x v="6"/>
    <x v="1"/>
  </r>
  <r>
    <x v="1078"/>
    <x v="2"/>
    <x v="2"/>
    <n v="208.6"/>
    <x v="924"/>
    <x v="42"/>
    <x v="44"/>
    <x v="1"/>
    <x v="4"/>
    <x v="2"/>
    <x v="0"/>
    <x v="17"/>
    <x v="7"/>
    <x v="6"/>
    <x v="1"/>
  </r>
  <r>
    <x v="1079"/>
    <x v="15"/>
    <x v="2"/>
    <n v="27.8"/>
    <x v="925"/>
    <x v="42"/>
    <x v="45"/>
    <x v="1"/>
    <x v="3"/>
    <x v="1"/>
    <x v="0"/>
    <x v="11"/>
    <x v="3"/>
    <x v="6"/>
    <x v="1"/>
  </r>
  <r>
    <x v="1080"/>
    <x v="10"/>
    <x v="9"/>
    <n v="29.4"/>
    <x v="926"/>
    <x v="42"/>
    <x v="42"/>
    <x v="2"/>
    <x v="0"/>
    <x v="0"/>
    <x v="0"/>
    <x v="11"/>
    <x v="1"/>
    <x v="6"/>
    <x v="2"/>
  </r>
  <r>
    <x v="1081"/>
    <x v="9"/>
    <x v="1"/>
    <n v="29.2"/>
    <x v="305"/>
    <x v="42"/>
    <x v="42"/>
    <x v="2"/>
    <x v="1"/>
    <x v="2"/>
    <x v="0"/>
    <x v="20"/>
    <x v="1"/>
    <x v="6"/>
    <x v="2"/>
  </r>
  <r>
    <x v="1082"/>
    <x v="10"/>
    <x v="9"/>
    <n v="26.5"/>
    <x v="927"/>
    <x v="42"/>
    <x v="42"/>
    <x v="2"/>
    <x v="0"/>
    <x v="0"/>
    <x v="0"/>
    <x v="52"/>
    <x v="1"/>
    <x v="6"/>
    <x v="2"/>
  </r>
  <r>
    <x v="1083"/>
    <x v="5"/>
    <x v="0"/>
    <n v="30.3"/>
    <x v="928"/>
    <x v="42"/>
    <x v="45"/>
    <x v="2"/>
    <x v="4"/>
    <x v="1"/>
    <x v="0"/>
    <x v="13"/>
    <x v="3"/>
    <x v="6"/>
    <x v="2"/>
  </r>
  <r>
    <x v="1084"/>
    <x v="16"/>
    <x v="4"/>
    <n v="39.700000000000003"/>
    <x v="929"/>
    <x v="42"/>
    <x v="45"/>
    <x v="2"/>
    <x v="0"/>
    <x v="0"/>
    <x v="0"/>
    <x v="21"/>
    <x v="3"/>
    <x v="6"/>
    <x v="2"/>
  </r>
  <r>
    <x v="1085"/>
    <x v="7"/>
    <x v="7"/>
    <n v="58.9"/>
    <x v="930"/>
    <x v="42"/>
    <x v="42"/>
    <x v="2"/>
    <x v="1"/>
    <x v="4"/>
    <x v="0"/>
    <x v="21"/>
    <x v="1"/>
    <x v="6"/>
    <x v="2"/>
  </r>
  <r>
    <x v="1086"/>
    <x v="2"/>
    <x v="1"/>
    <n v="174.1"/>
    <x v="931"/>
    <x v="42"/>
    <x v="42"/>
    <x v="2"/>
    <x v="0"/>
    <x v="1"/>
    <x v="0"/>
    <x v="46"/>
    <x v="1"/>
    <x v="6"/>
    <x v="2"/>
  </r>
  <r>
    <x v="1087"/>
    <x v="6"/>
    <x v="1"/>
    <n v="70.8"/>
    <x v="932"/>
    <x v="42"/>
    <x v="48"/>
    <x v="1"/>
    <x v="2"/>
    <x v="0"/>
    <x v="0"/>
    <x v="22"/>
    <x v="2"/>
    <x v="6"/>
    <x v="1"/>
  </r>
  <r>
    <x v="1088"/>
    <x v="7"/>
    <x v="1"/>
    <n v="57.4"/>
    <x v="311"/>
    <x v="42"/>
    <x v="42"/>
    <x v="2"/>
    <x v="1"/>
    <x v="1"/>
    <x v="0"/>
    <x v="34"/>
    <x v="1"/>
    <x v="6"/>
    <x v="2"/>
  </r>
  <r>
    <x v="1089"/>
    <x v="0"/>
    <x v="1"/>
    <n v="28.5"/>
    <x v="933"/>
    <x v="42"/>
    <x v="42"/>
    <x v="1"/>
    <x v="3"/>
    <x v="1"/>
    <x v="0"/>
    <x v="3"/>
    <x v="1"/>
    <x v="6"/>
    <x v="1"/>
  </r>
  <r>
    <x v="1090"/>
    <x v="2"/>
    <x v="28"/>
    <n v="106.6"/>
    <x v="934"/>
    <x v="42"/>
    <x v="45"/>
    <x v="0"/>
    <x v="1"/>
    <x v="4"/>
    <x v="0"/>
    <x v="3"/>
    <x v="3"/>
    <x v="6"/>
    <x v="0"/>
  </r>
  <r>
    <x v="1091"/>
    <x v="2"/>
    <x v="2"/>
    <n v="119.7"/>
    <x v="935"/>
    <x v="42"/>
    <x v="45"/>
    <x v="2"/>
    <x v="1"/>
    <x v="4"/>
    <x v="0"/>
    <x v="3"/>
    <x v="3"/>
    <x v="6"/>
    <x v="2"/>
  </r>
  <r>
    <x v="1092"/>
    <x v="18"/>
    <x v="0"/>
    <n v="73.3"/>
    <x v="936"/>
    <x v="42"/>
    <x v="43"/>
    <x v="2"/>
    <x v="0"/>
    <x v="2"/>
    <x v="0"/>
    <x v="3"/>
    <x v="0"/>
    <x v="6"/>
    <x v="2"/>
  </r>
  <r>
    <x v="1093"/>
    <x v="0"/>
    <x v="1"/>
    <n v="25.8"/>
    <x v="937"/>
    <x v="42"/>
    <x v="52"/>
    <x v="1"/>
    <x v="2"/>
    <x v="0"/>
    <x v="0"/>
    <x v="3"/>
    <x v="12"/>
    <x v="6"/>
    <x v="1"/>
  </r>
  <r>
    <x v="1094"/>
    <x v="17"/>
    <x v="2"/>
    <n v="49.1"/>
    <x v="824"/>
    <x v="42"/>
    <x v="42"/>
    <x v="2"/>
    <x v="0"/>
    <x v="0"/>
    <x v="0"/>
    <x v="24"/>
    <x v="1"/>
    <x v="6"/>
    <x v="2"/>
  </r>
  <r>
    <x v="1095"/>
    <x v="1"/>
    <x v="0"/>
    <n v="44.9"/>
    <x v="938"/>
    <x v="42"/>
    <x v="48"/>
    <x v="2"/>
    <x v="3"/>
    <x v="2"/>
    <x v="0"/>
    <x v="6"/>
    <x v="2"/>
    <x v="6"/>
    <x v="2"/>
  </r>
  <r>
    <x v="1096"/>
    <x v="15"/>
    <x v="3"/>
    <n v="29.9"/>
    <x v="549"/>
    <x v="42"/>
    <x v="45"/>
    <x v="2"/>
    <x v="0"/>
    <x v="0"/>
    <x v="0"/>
    <x v="6"/>
    <x v="3"/>
    <x v="6"/>
    <x v="2"/>
  </r>
  <r>
    <x v="1097"/>
    <x v="7"/>
    <x v="1"/>
    <n v="54.3"/>
    <x v="939"/>
    <x v="43"/>
    <x v="42"/>
    <x v="1"/>
    <x v="3"/>
    <x v="0"/>
    <x v="0"/>
    <x v="36"/>
    <x v="3"/>
    <x v="6"/>
    <x v="1"/>
  </r>
  <r>
    <x v="1098"/>
    <x v="9"/>
    <x v="12"/>
    <n v="57"/>
    <x v="416"/>
    <x v="43"/>
    <x v="48"/>
    <x v="2"/>
    <x v="0"/>
    <x v="0"/>
    <x v="0"/>
    <x v="8"/>
    <x v="1"/>
    <x v="6"/>
    <x v="2"/>
  </r>
  <r>
    <x v="1099"/>
    <x v="2"/>
    <x v="0"/>
    <n v="139.19999999999999"/>
    <x v="388"/>
    <x v="43"/>
    <x v="42"/>
    <x v="2"/>
    <x v="3"/>
    <x v="2"/>
    <x v="0"/>
    <x v="8"/>
    <x v="3"/>
    <x v="6"/>
    <x v="2"/>
  </r>
  <r>
    <x v="1100"/>
    <x v="10"/>
    <x v="0"/>
    <n v="33"/>
    <x v="940"/>
    <x v="43"/>
    <x v="41"/>
    <x v="2"/>
    <x v="0"/>
    <x v="2"/>
    <x v="0"/>
    <x v="8"/>
    <x v="2"/>
    <x v="6"/>
    <x v="2"/>
  </r>
  <r>
    <x v="1101"/>
    <x v="11"/>
    <x v="13"/>
    <n v="80.2"/>
    <x v="941"/>
    <x v="43"/>
    <x v="48"/>
    <x v="1"/>
    <x v="1"/>
    <x v="4"/>
    <x v="0"/>
    <x v="8"/>
    <x v="1"/>
    <x v="6"/>
    <x v="1"/>
  </r>
  <r>
    <x v="1102"/>
    <x v="18"/>
    <x v="8"/>
    <n v="49"/>
    <x v="942"/>
    <x v="43"/>
    <x v="42"/>
    <x v="0"/>
    <x v="2"/>
    <x v="1"/>
    <x v="0"/>
    <x v="9"/>
    <x v="3"/>
    <x v="6"/>
    <x v="0"/>
  </r>
  <r>
    <x v="1103"/>
    <x v="1"/>
    <x v="12"/>
    <n v="104.4"/>
    <x v="943"/>
    <x v="43"/>
    <x v="45"/>
    <x v="2"/>
    <x v="0"/>
    <x v="0"/>
    <x v="0"/>
    <x v="9"/>
    <x v="7"/>
    <x v="6"/>
    <x v="2"/>
  </r>
  <r>
    <x v="1104"/>
    <x v="3"/>
    <x v="0"/>
    <n v="41.6"/>
    <x v="480"/>
    <x v="43"/>
    <x v="41"/>
    <x v="1"/>
    <x v="3"/>
    <x v="0"/>
    <x v="0"/>
    <x v="11"/>
    <x v="2"/>
    <x v="6"/>
    <x v="1"/>
  </r>
  <r>
    <x v="1105"/>
    <x v="19"/>
    <x v="1"/>
    <n v="16.399999999999999"/>
    <x v="944"/>
    <x v="43"/>
    <x v="42"/>
    <x v="3"/>
    <x v="0"/>
    <x v="2"/>
    <x v="0"/>
    <x v="11"/>
    <x v="3"/>
    <x v="6"/>
    <x v="3"/>
  </r>
  <r>
    <x v="1106"/>
    <x v="8"/>
    <x v="1"/>
    <n v="22"/>
    <x v="945"/>
    <x v="43"/>
    <x v="42"/>
    <x v="1"/>
    <x v="2"/>
    <x v="2"/>
    <x v="0"/>
    <x v="53"/>
    <x v="3"/>
    <x v="6"/>
    <x v="1"/>
  </r>
  <r>
    <x v="1107"/>
    <x v="15"/>
    <x v="1"/>
    <n v="33.6"/>
    <x v="863"/>
    <x v="43"/>
    <x v="50"/>
    <x v="2"/>
    <x v="0"/>
    <x v="0"/>
    <x v="0"/>
    <x v="21"/>
    <x v="0"/>
    <x v="6"/>
    <x v="2"/>
  </r>
  <r>
    <x v="1108"/>
    <x v="11"/>
    <x v="13"/>
    <n v="43"/>
    <x v="946"/>
    <x v="43"/>
    <x v="42"/>
    <x v="2"/>
    <x v="2"/>
    <x v="0"/>
    <x v="0"/>
    <x v="21"/>
    <x v="3"/>
    <x v="6"/>
    <x v="2"/>
  </r>
  <r>
    <x v="1109"/>
    <x v="6"/>
    <x v="9"/>
    <n v="108.8"/>
    <x v="947"/>
    <x v="43"/>
    <x v="41"/>
    <x v="2"/>
    <x v="4"/>
    <x v="2"/>
    <x v="0"/>
    <x v="21"/>
    <x v="2"/>
    <x v="6"/>
    <x v="2"/>
  </r>
  <r>
    <x v="1110"/>
    <x v="0"/>
    <x v="11"/>
    <n v="29.3"/>
    <x v="948"/>
    <x v="43"/>
    <x v="48"/>
    <x v="1"/>
    <x v="4"/>
    <x v="2"/>
    <x v="0"/>
    <x v="21"/>
    <x v="1"/>
    <x v="6"/>
    <x v="1"/>
  </r>
  <r>
    <x v="1111"/>
    <x v="2"/>
    <x v="0"/>
    <n v="122.7"/>
    <x v="949"/>
    <x v="43"/>
    <x v="41"/>
    <x v="3"/>
    <x v="0"/>
    <x v="2"/>
    <x v="0"/>
    <x v="1"/>
    <x v="2"/>
    <x v="6"/>
    <x v="3"/>
  </r>
  <r>
    <x v="1112"/>
    <x v="4"/>
    <x v="3"/>
    <n v="22.9"/>
    <x v="950"/>
    <x v="43"/>
    <x v="42"/>
    <x v="2"/>
    <x v="0"/>
    <x v="0"/>
    <x v="0"/>
    <x v="42"/>
    <x v="3"/>
    <x v="6"/>
    <x v="2"/>
  </r>
  <r>
    <x v="1113"/>
    <x v="8"/>
    <x v="7"/>
    <n v="25.5"/>
    <x v="951"/>
    <x v="43"/>
    <x v="49"/>
    <x v="2"/>
    <x v="0"/>
    <x v="0"/>
    <x v="0"/>
    <x v="33"/>
    <x v="6"/>
    <x v="6"/>
    <x v="2"/>
  </r>
  <r>
    <x v="1114"/>
    <x v="17"/>
    <x v="2"/>
    <n v="23.4"/>
    <x v="952"/>
    <x v="43"/>
    <x v="43"/>
    <x v="2"/>
    <x v="0"/>
    <x v="2"/>
    <x v="0"/>
    <x v="3"/>
    <x v="5"/>
    <x v="6"/>
    <x v="2"/>
  </r>
  <r>
    <x v="1115"/>
    <x v="5"/>
    <x v="8"/>
    <n v="27.4"/>
    <x v="77"/>
    <x v="43"/>
    <x v="41"/>
    <x v="2"/>
    <x v="2"/>
    <x v="0"/>
    <x v="0"/>
    <x v="3"/>
    <x v="2"/>
    <x v="6"/>
    <x v="2"/>
  </r>
  <r>
    <x v="1116"/>
    <x v="5"/>
    <x v="9"/>
    <n v="68.400000000000006"/>
    <x v="953"/>
    <x v="43"/>
    <x v="42"/>
    <x v="2"/>
    <x v="0"/>
    <x v="0"/>
    <x v="0"/>
    <x v="3"/>
    <x v="3"/>
    <x v="6"/>
    <x v="2"/>
  </r>
  <r>
    <x v="1117"/>
    <x v="6"/>
    <x v="0"/>
    <n v="51.9"/>
    <x v="954"/>
    <x v="43"/>
    <x v="45"/>
    <x v="2"/>
    <x v="0"/>
    <x v="0"/>
    <x v="0"/>
    <x v="3"/>
    <x v="7"/>
    <x v="6"/>
    <x v="2"/>
  </r>
  <r>
    <x v="1118"/>
    <x v="0"/>
    <x v="9"/>
    <n v="26.4"/>
    <x v="955"/>
    <x v="43"/>
    <x v="41"/>
    <x v="2"/>
    <x v="0"/>
    <x v="2"/>
    <x v="0"/>
    <x v="3"/>
    <x v="2"/>
    <x v="6"/>
    <x v="2"/>
  </r>
  <r>
    <x v="1119"/>
    <x v="12"/>
    <x v="1"/>
    <n v="117"/>
    <x v="540"/>
    <x v="43"/>
    <x v="42"/>
    <x v="2"/>
    <x v="1"/>
    <x v="1"/>
    <x v="0"/>
    <x v="3"/>
    <x v="3"/>
    <x v="6"/>
    <x v="2"/>
  </r>
  <r>
    <x v="1120"/>
    <x v="7"/>
    <x v="2"/>
    <n v="49.6"/>
    <x v="956"/>
    <x v="44"/>
    <x v="41"/>
    <x v="2"/>
    <x v="0"/>
    <x v="0"/>
    <x v="0"/>
    <x v="3"/>
    <x v="1"/>
    <x v="6"/>
    <x v="2"/>
  </r>
  <r>
    <x v="1121"/>
    <x v="4"/>
    <x v="2"/>
    <n v="38"/>
    <x v="717"/>
    <x v="44"/>
    <x v="43"/>
    <x v="1"/>
    <x v="2"/>
    <x v="4"/>
    <x v="0"/>
    <x v="3"/>
    <x v="2"/>
    <x v="6"/>
    <x v="1"/>
  </r>
  <r>
    <x v="1122"/>
    <x v="0"/>
    <x v="2"/>
    <n v="20.6"/>
    <x v="957"/>
    <x v="44"/>
    <x v="41"/>
    <x v="2"/>
    <x v="4"/>
    <x v="2"/>
    <x v="0"/>
    <x v="3"/>
    <x v="1"/>
    <x v="6"/>
    <x v="2"/>
  </r>
  <r>
    <x v="1123"/>
    <x v="0"/>
    <x v="1"/>
    <n v="16"/>
    <x v="109"/>
    <x v="44"/>
    <x v="48"/>
    <x v="1"/>
    <x v="1"/>
    <x v="1"/>
    <x v="0"/>
    <x v="49"/>
    <x v="3"/>
    <x v="6"/>
    <x v="1"/>
  </r>
  <r>
    <x v="1124"/>
    <x v="15"/>
    <x v="12"/>
    <n v="49.3"/>
    <x v="958"/>
    <x v="44"/>
    <x v="48"/>
    <x v="2"/>
    <x v="2"/>
    <x v="0"/>
    <x v="0"/>
    <x v="23"/>
    <x v="3"/>
    <x v="6"/>
    <x v="2"/>
  </r>
  <r>
    <x v="1125"/>
    <x v="9"/>
    <x v="1"/>
    <n v="24.1"/>
    <x v="959"/>
    <x v="44"/>
    <x v="50"/>
    <x v="2"/>
    <x v="0"/>
    <x v="0"/>
    <x v="0"/>
    <x v="6"/>
    <x v="5"/>
    <x v="6"/>
    <x v="2"/>
  </r>
  <r>
    <x v="1126"/>
    <x v="15"/>
    <x v="8"/>
    <n v="32.700000000000003"/>
    <x v="960"/>
    <x v="44"/>
    <x v="48"/>
    <x v="2"/>
    <x v="1"/>
    <x v="0"/>
    <x v="0"/>
    <x v="6"/>
    <x v="3"/>
    <x v="6"/>
    <x v="2"/>
  </r>
  <r>
    <x v="1127"/>
    <x v="6"/>
    <x v="2"/>
    <n v="74.400000000000006"/>
    <x v="961"/>
    <x v="44"/>
    <x v="48"/>
    <x v="2"/>
    <x v="3"/>
    <x v="2"/>
    <x v="0"/>
    <x v="8"/>
    <x v="3"/>
    <x v="6"/>
    <x v="2"/>
  </r>
  <r>
    <x v="1128"/>
    <x v="12"/>
    <x v="0"/>
    <n v="45.6"/>
    <x v="962"/>
    <x v="44"/>
    <x v="50"/>
    <x v="2"/>
    <x v="4"/>
    <x v="0"/>
    <x v="0"/>
    <x v="8"/>
    <x v="5"/>
    <x v="6"/>
    <x v="2"/>
  </r>
  <r>
    <x v="1129"/>
    <x v="8"/>
    <x v="8"/>
    <n v="19.600000000000001"/>
    <x v="963"/>
    <x v="44"/>
    <x v="53"/>
    <x v="2"/>
    <x v="0"/>
    <x v="0"/>
    <x v="0"/>
    <x v="8"/>
    <x v="10"/>
    <x v="6"/>
    <x v="2"/>
  </r>
  <r>
    <x v="1130"/>
    <x v="9"/>
    <x v="0"/>
    <n v="51.8"/>
    <x v="964"/>
    <x v="44"/>
    <x v="48"/>
    <x v="2"/>
    <x v="1"/>
    <x v="0"/>
    <x v="0"/>
    <x v="8"/>
    <x v="3"/>
    <x v="6"/>
    <x v="2"/>
  </r>
  <r>
    <x v="1131"/>
    <x v="6"/>
    <x v="0"/>
    <n v="74.7"/>
    <x v="965"/>
    <x v="44"/>
    <x v="48"/>
    <x v="1"/>
    <x v="0"/>
    <x v="1"/>
    <x v="0"/>
    <x v="8"/>
    <x v="3"/>
    <x v="6"/>
    <x v="1"/>
  </r>
  <r>
    <x v="1132"/>
    <x v="19"/>
    <x v="2"/>
    <n v="22.4"/>
    <x v="966"/>
    <x v="44"/>
    <x v="48"/>
    <x v="2"/>
    <x v="1"/>
    <x v="2"/>
    <x v="0"/>
    <x v="9"/>
    <x v="3"/>
    <x v="6"/>
    <x v="2"/>
  </r>
  <r>
    <x v="1133"/>
    <x v="1"/>
    <x v="12"/>
    <n v="31.4"/>
    <x v="967"/>
    <x v="44"/>
    <x v="48"/>
    <x v="2"/>
    <x v="1"/>
    <x v="0"/>
    <x v="0"/>
    <x v="9"/>
    <x v="3"/>
    <x v="6"/>
    <x v="2"/>
  </r>
  <r>
    <x v="1134"/>
    <x v="6"/>
    <x v="0"/>
    <n v="94"/>
    <x v="255"/>
    <x v="44"/>
    <x v="42"/>
    <x v="2"/>
    <x v="1"/>
    <x v="2"/>
    <x v="0"/>
    <x v="10"/>
    <x v="7"/>
    <x v="6"/>
    <x v="2"/>
  </r>
  <r>
    <x v="1135"/>
    <x v="10"/>
    <x v="0"/>
    <n v="22.3"/>
    <x v="968"/>
    <x v="44"/>
    <x v="48"/>
    <x v="1"/>
    <x v="4"/>
    <x v="0"/>
    <x v="0"/>
    <x v="20"/>
    <x v="3"/>
    <x v="6"/>
    <x v="1"/>
  </r>
  <r>
    <x v="1136"/>
    <x v="0"/>
    <x v="0"/>
    <n v="21.9"/>
    <x v="731"/>
    <x v="44"/>
    <x v="43"/>
    <x v="2"/>
    <x v="2"/>
    <x v="0"/>
    <x v="0"/>
    <x v="21"/>
    <x v="2"/>
    <x v="6"/>
    <x v="2"/>
  </r>
  <r>
    <x v="1137"/>
    <x v="17"/>
    <x v="2"/>
    <n v="27"/>
    <x v="969"/>
    <x v="44"/>
    <x v="41"/>
    <x v="2"/>
    <x v="4"/>
    <x v="2"/>
    <x v="0"/>
    <x v="2"/>
    <x v="1"/>
    <x v="6"/>
    <x v="2"/>
  </r>
  <r>
    <x v="1138"/>
    <x v="2"/>
    <x v="12"/>
    <n v="149.6"/>
    <x v="970"/>
    <x v="44"/>
    <x v="42"/>
    <x v="2"/>
    <x v="4"/>
    <x v="0"/>
    <x v="0"/>
    <x v="22"/>
    <x v="7"/>
    <x v="6"/>
    <x v="2"/>
  </r>
  <r>
    <x v="1139"/>
    <x v="2"/>
    <x v="12"/>
    <n v="129.1"/>
    <x v="971"/>
    <x v="44"/>
    <x v="54"/>
    <x v="1"/>
    <x v="0"/>
    <x v="1"/>
    <x v="0"/>
    <x v="3"/>
    <x v="14"/>
    <x v="6"/>
    <x v="1"/>
  </r>
  <r>
    <x v="1140"/>
    <x v="1"/>
    <x v="4"/>
    <n v="40.4"/>
    <x v="972"/>
    <x v="44"/>
    <x v="48"/>
    <x v="1"/>
    <x v="1"/>
    <x v="1"/>
    <x v="0"/>
    <x v="3"/>
    <x v="3"/>
    <x v="6"/>
    <x v="1"/>
  </r>
  <r>
    <x v="1141"/>
    <x v="4"/>
    <x v="2"/>
    <n v="48.5"/>
    <x v="973"/>
    <x v="44"/>
    <x v="41"/>
    <x v="2"/>
    <x v="0"/>
    <x v="4"/>
    <x v="0"/>
    <x v="3"/>
    <x v="1"/>
    <x v="6"/>
    <x v="2"/>
  </r>
  <r>
    <x v="1142"/>
    <x v="9"/>
    <x v="1"/>
    <n v="37.6"/>
    <x v="495"/>
    <x v="44"/>
    <x v="41"/>
    <x v="2"/>
    <x v="1"/>
    <x v="2"/>
    <x v="0"/>
    <x v="3"/>
    <x v="1"/>
    <x v="6"/>
    <x v="2"/>
  </r>
  <r>
    <x v="1143"/>
    <x v="8"/>
    <x v="1"/>
    <n v="19.600000000000001"/>
    <x v="496"/>
    <x v="44"/>
    <x v="48"/>
    <x v="1"/>
    <x v="3"/>
    <x v="4"/>
    <x v="0"/>
    <x v="43"/>
    <x v="3"/>
    <x v="6"/>
    <x v="1"/>
  </r>
  <r>
    <x v="1144"/>
    <x v="8"/>
    <x v="9"/>
    <n v="18.5"/>
    <x v="974"/>
    <x v="44"/>
    <x v="48"/>
    <x v="2"/>
    <x v="2"/>
    <x v="1"/>
    <x v="0"/>
    <x v="6"/>
    <x v="3"/>
    <x v="6"/>
    <x v="2"/>
  </r>
  <r>
    <x v="1145"/>
    <x v="5"/>
    <x v="2"/>
    <n v="25.5"/>
    <x v="514"/>
    <x v="44"/>
    <x v="41"/>
    <x v="2"/>
    <x v="4"/>
    <x v="1"/>
    <x v="0"/>
    <x v="6"/>
    <x v="1"/>
    <x v="6"/>
    <x v="2"/>
  </r>
  <r>
    <x v="1146"/>
    <x v="2"/>
    <x v="1"/>
    <n v="94.7"/>
    <x v="975"/>
    <x v="44"/>
    <x v="48"/>
    <x v="2"/>
    <x v="2"/>
    <x v="0"/>
    <x v="0"/>
    <x v="36"/>
    <x v="3"/>
    <x v="6"/>
    <x v="2"/>
  </r>
  <r>
    <x v="1147"/>
    <x v="1"/>
    <x v="13"/>
    <n v="38.799999999999997"/>
    <x v="976"/>
    <x v="44"/>
    <x v="46"/>
    <x v="2"/>
    <x v="2"/>
    <x v="2"/>
    <x v="0"/>
    <x v="8"/>
    <x v="0"/>
    <x v="6"/>
    <x v="2"/>
  </r>
  <r>
    <x v="1148"/>
    <x v="9"/>
    <x v="1"/>
    <n v="49.4"/>
    <x v="197"/>
    <x v="45"/>
    <x v="55"/>
    <x v="1"/>
    <x v="4"/>
    <x v="1"/>
    <x v="0"/>
    <x v="8"/>
    <x v="9"/>
    <x v="6"/>
    <x v="1"/>
  </r>
  <r>
    <x v="1149"/>
    <x v="7"/>
    <x v="2"/>
    <n v="68"/>
    <x v="977"/>
    <x v="45"/>
    <x v="50"/>
    <x v="1"/>
    <x v="0"/>
    <x v="2"/>
    <x v="0"/>
    <x v="8"/>
    <x v="2"/>
    <x v="6"/>
    <x v="1"/>
  </r>
  <r>
    <x v="1150"/>
    <x v="15"/>
    <x v="3"/>
    <n v="63.7"/>
    <x v="978"/>
    <x v="45"/>
    <x v="41"/>
    <x v="2"/>
    <x v="2"/>
    <x v="2"/>
    <x v="0"/>
    <x v="8"/>
    <x v="3"/>
    <x v="6"/>
    <x v="2"/>
  </r>
  <r>
    <x v="1151"/>
    <x v="10"/>
    <x v="1"/>
    <n v="66.2"/>
    <x v="979"/>
    <x v="45"/>
    <x v="41"/>
    <x v="2"/>
    <x v="4"/>
    <x v="2"/>
    <x v="0"/>
    <x v="17"/>
    <x v="3"/>
    <x v="6"/>
    <x v="2"/>
  </r>
  <r>
    <x v="1152"/>
    <x v="12"/>
    <x v="2"/>
    <n v="32.299999999999997"/>
    <x v="980"/>
    <x v="45"/>
    <x v="41"/>
    <x v="3"/>
    <x v="2"/>
    <x v="1"/>
    <x v="0"/>
    <x v="9"/>
    <x v="3"/>
    <x v="6"/>
    <x v="3"/>
  </r>
  <r>
    <x v="1153"/>
    <x v="4"/>
    <x v="1"/>
    <n v="66.900000000000006"/>
    <x v="981"/>
    <x v="45"/>
    <x v="50"/>
    <x v="1"/>
    <x v="1"/>
    <x v="0"/>
    <x v="0"/>
    <x v="11"/>
    <x v="2"/>
    <x v="6"/>
    <x v="1"/>
  </r>
  <r>
    <x v="1154"/>
    <x v="4"/>
    <x v="4"/>
    <n v="25.2"/>
    <x v="982"/>
    <x v="45"/>
    <x v="46"/>
    <x v="2"/>
    <x v="0"/>
    <x v="1"/>
    <x v="0"/>
    <x v="11"/>
    <x v="5"/>
    <x v="6"/>
    <x v="2"/>
  </r>
  <r>
    <x v="1155"/>
    <x v="10"/>
    <x v="13"/>
    <n v="29.5"/>
    <x v="983"/>
    <x v="45"/>
    <x v="41"/>
    <x v="1"/>
    <x v="2"/>
    <x v="0"/>
    <x v="0"/>
    <x v="11"/>
    <x v="3"/>
    <x v="6"/>
    <x v="1"/>
  </r>
  <r>
    <x v="1156"/>
    <x v="8"/>
    <x v="9"/>
    <n v="21.6"/>
    <x v="807"/>
    <x v="45"/>
    <x v="43"/>
    <x v="2"/>
    <x v="0"/>
    <x v="2"/>
    <x v="0"/>
    <x v="32"/>
    <x v="1"/>
    <x v="6"/>
    <x v="2"/>
  </r>
  <r>
    <x v="1157"/>
    <x v="12"/>
    <x v="2"/>
    <n v="69"/>
    <x v="461"/>
    <x v="45"/>
    <x v="41"/>
    <x v="2"/>
    <x v="0"/>
    <x v="0"/>
    <x v="0"/>
    <x v="18"/>
    <x v="3"/>
    <x v="6"/>
    <x v="2"/>
  </r>
  <r>
    <x v="1158"/>
    <x v="7"/>
    <x v="1"/>
    <n v="115"/>
    <x v="984"/>
    <x v="45"/>
    <x v="46"/>
    <x v="1"/>
    <x v="0"/>
    <x v="2"/>
    <x v="0"/>
    <x v="18"/>
    <x v="5"/>
    <x v="6"/>
    <x v="1"/>
  </r>
  <r>
    <x v="1159"/>
    <x v="2"/>
    <x v="1"/>
    <n v="109.3"/>
    <x v="985"/>
    <x v="45"/>
    <x v="43"/>
    <x v="0"/>
    <x v="3"/>
    <x v="1"/>
    <x v="0"/>
    <x v="19"/>
    <x v="1"/>
    <x v="6"/>
    <x v="0"/>
  </r>
  <r>
    <x v="1160"/>
    <x v="9"/>
    <x v="1"/>
    <n v="66.599999999999994"/>
    <x v="986"/>
    <x v="45"/>
    <x v="50"/>
    <x v="0"/>
    <x v="4"/>
    <x v="1"/>
    <x v="0"/>
    <x v="19"/>
    <x v="2"/>
    <x v="6"/>
    <x v="0"/>
  </r>
  <r>
    <x v="1161"/>
    <x v="12"/>
    <x v="9"/>
    <n v="47.7"/>
    <x v="987"/>
    <x v="45"/>
    <x v="41"/>
    <x v="1"/>
    <x v="3"/>
    <x v="2"/>
    <x v="0"/>
    <x v="21"/>
    <x v="3"/>
    <x v="6"/>
    <x v="1"/>
  </r>
  <r>
    <x v="1162"/>
    <x v="8"/>
    <x v="1"/>
    <n v="46"/>
    <x v="988"/>
    <x v="45"/>
    <x v="41"/>
    <x v="2"/>
    <x v="4"/>
    <x v="4"/>
    <x v="0"/>
    <x v="22"/>
    <x v="3"/>
    <x v="6"/>
    <x v="2"/>
  </r>
  <r>
    <x v="1163"/>
    <x v="1"/>
    <x v="13"/>
    <n v="39.299999999999997"/>
    <x v="989"/>
    <x v="45"/>
    <x v="43"/>
    <x v="1"/>
    <x v="3"/>
    <x v="2"/>
    <x v="0"/>
    <x v="3"/>
    <x v="1"/>
    <x v="6"/>
    <x v="1"/>
  </r>
  <r>
    <x v="1164"/>
    <x v="9"/>
    <x v="0"/>
    <n v="70.2"/>
    <x v="474"/>
    <x v="45"/>
    <x v="41"/>
    <x v="2"/>
    <x v="0"/>
    <x v="4"/>
    <x v="0"/>
    <x v="3"/>
    <x v="3"/>
    <x v="6"/>
    <x v="2"/>
  </r>
  <r>
    <x v="1165"/>
    <x v="3"/>
    <x v="12"/>
    <n v="71.5"/>
    <x v="990"/>
    <x v="45"/>
    <x v="48"/>
    <x v="2"/>
    <x v="1"/>
    <x v="2"/>
    <x v="0"/>
    <x v="3"/>
    <x v="7"/>
    <x v="6"/>
    <x v="2"/>
  </r>
  <r>
    <x v="1166"/>
    <x v="10"/>
    <x v="3"/>
    <n v="31"/>
    <x v="991"/>
    <x v="45"/>
    <x v="56"/>
    <x v="2"/>
    <x v="3"/>
    <x v="2"/>
    <x v="0"/>
    <x v="3"/>
    <x v="6"/>
    <x v="6"/>
    <x v="2"/>
  </r>
  <r>
    <x v="1167"/>
    <x v="2"/>
    <x v="9"/>
    <n v="68.2"/>
    <x v="992"/>
    <x v="45"/>
    <x v="49"/>
    <x v="2"/>
    <x v="0"/>
    <x v="2"/>
    <x v="0"/>
    <x v="3"/>
    <x v="0"/>
    <x v="6"/>
    <x v="2"/>
  </r>
  <r>
    <x v="1168"/>
    <x v="2"/>
    <x v="0"/>
    <n v="91.4"/>
    <x v="411"/>
    <x v="45"/>
    <x v="46"/>
    <x v="2"/>
    <x v="1"/>
    <x v="2"/>
    <x v="0"/>
    <x v="6"/>
    <x v="5"/>
    <x v="6"/>
    <x v="2"/>
  </r>
  <r>
    <x v="1169"/>
    <x v="6"/>
    <x v="7"/>
    <n v="112.9"/>
    <x v="993"/>
    <x v="45"/>
    <x v="41"/>
    <x v="2"/>
    <x v="0"/>
    <x v="0"/>
    <x v="0"/>
    <x v="6"/>
    <x v="3"/>
    <x v="6"/>
    <x v="2"/>
  </r>
  <r>
    <x v="1170"/>
    <x v="17"/>
    <x v="11"/>
    <n v="33.700000000000003"/>
    <x v="994"/>
    <x v="45"/>
    <x v="41"/>
    <x v="2"/>
    <x v="1"/>
    <x v="2"/>
    <x v="0"/>
    <x v="8"/>
    <x v="3"/>
    <x v="6"/>
    <x v="2"/>
  </r>
  <r>
    <x v="1171"/>
    <x v="15"/>
    <x v="7"/>
    <n v="35.299999999999997"/>
    <x v="995"/>
    <x v="45"/>
    <x v="43"/>
    <x v="1"/>
    <x v="2"/>
    <x v="0"/>
    <x v="0"/>
    <x v="8"/>
    <x v="1"/>
    <x v="6"/>
    <x v="1"/>
  </r>
  <r>
    <x v="1172"/>
    <x v="18"/>
    <x v="2"/>
    <n v="45.6"/>
    <x v="996"/>
    <x v="45"/>
    <x v="46"/>
    <x v="1"/>
    <x v="3"/>
    <x v="0"/>
    <x v="0"/>
    <x v="8"/>
    <x v="5"/>
    <x v="6"/>
    <x v="1"/>
  </r>
  <r>
    <x v="1173"/>
    <x v="7"/>
    <x v="3"/>
    <n v="47.1"/>
    <x v="847"/>
    <x v="45"/>
    <x v="41"/>
    <x v="2"/>
    <x v="4"/>
    <x v="2"/>
    <x v="0"/>
    <x v="9"/>
    <x v="3"/>
    <x v="6"/>
    <x v="2"/>
  </r>
  <r>
    <x v="1174"/>
    <x v="8"/>
    <x v="9"/>
    <n v="16.2"/>
    <x v="969"/>
    <x v="45"/>
    <x v="43"/>
    <x v="2"/>
    <x v="3"/>
    <x v="2"/>
    <x v="0"/>
    <x v="19"/>
    <x v="1"/>
    <x v="6"/>
    <x v="2"/>
  </r>
  <r>
    <x v="1175"/>
    <x v="1"/>
    <x v="1"/>
    <n v="159.69999999999999"/>
    <x v="997"/>
    <x v="46"/>
    <x v="43"/>
    <x v="1"/>
    <x v="4"/>
    <x v="0"/>
    <x v="0"/>
    <x v="13"/>
    <x v="3"/>
    <x v="7"/>
    <x v="1"/>
  </r>
  <r>
    <x v="1176"/>
    <x v="8"/>
    <x v="12"/>
    <n v="19"/>
    <x v="998"/>
    <x v="46"/>
    <x v="55"/>
    <x v="2"/>
    <x v="2"/>
    <x v="2"/>
    <x v="0"/>
    <x v="21"/>
    <x v="6"/>
    <x v="7"/>
    <x v="2"/>
  </r>
  <r>
    <x v="1177"/>
    <x v="6"/>
    <x v="13"/>
    <n v="91.1"/>
    <x v="999"/>
    <x v="46"/>
    <x v="51"/>
    <x v="2"/>
    <x v="4"/>
    <x v="0"/>
    <x v="0"/>
    <x v="21"/>
    <x v="8"/>
    <x v="7"/>
    <x v="2"/>
  </r>
  <r>
    <x v="1178"/>
    <x v="2"/>
    <x v="9"/>
    <n v="94.1"/>
    <x v="1000"/>
    <x v="46"/>
    <x v="46"/>
    <x v="0"/>
    <x v="1"/>
    <x v="1"/>
    <x v="0"/>
    <x v="21"/>
    <x v="2"/>
    <x v="7"/>
    <x v="0"/>
  </r>
  <r>
    <x v="1179"/>
    <x v="9"/>
    <x v="11"/>
    <n v="21.1"/>
    <x v="1001"/>
    <x v="46"/>
    <x v="43"/>
    <x v="2"/>
    <x v="4"/>
    <x v="2"/>
    <x v="0"/>
    <x v="51"/>
    <x v="3"/>
    <x v="7"/>
    <x v="2"/>
  </r>
  <r>
    <x v="1180"/>
    <x v="8"/>
    <x v="3"/>
    <n v="15.3"/>
    <x v="1002"/>
    <x v="46"/>
    <x v="54"/>
    <x v="2"/>
    <x v="2"/>
    <x v="0"/>
    <x v="0"/>
    <x v="1"/>
    <x v="9"/>
    <x v="7"/>
    <x v="2"/>
  </r>
  <r>
    <x v="1181"/>
    <x v="15"/>
    <x v="12"/>
    <n v="21.3"/>
    <x v="464"/>
    <x v="46"/>
    <x v="46"/>
    <x v="1"/>
    <x v="1"/>
    <x v="0"/>
    <x v="0"/>
    <x v="3"/>
    <x v="2"/>
    <x v="7"/>
    <x v="1"/>
  </r>
  <r>
    <x v="1182"/>
    <x v="0"/>
    <x v="1"/>
    <n v="23.2"/>
    <x v="434"/>
    <x v="46"/>
    <x v="41"/>
    <x v="0"/>
    <x v="3"/>
    <x v="1"/>
    <x v="0"/>
    <x v="3"/>
    <x v="7"/>
    <x v="7"/>
    <x v="0"/>
  </r>
  <r>
    <x v="1183"/>
    <x v="4"/>
    <x v="2"/>
    <n v="25.7"/>
    <x v="1003"/>
    <x v="46"/>
    <x v="43"/>
    <x v="1"/>
    <x v="4"/>
    <x v="0"/>
    <x v="0"/>
    <x v="3"/>
    <x v="3"/>
    <x v="7"/>
    <x v="1"/>
  </r>
  <r>
    <x v="1184"/>
    <x v="0"/>
    <x v="11"/>
    <n v="31.6"/>
    <x v="1004"/>
    <x v="46"/>
    <x v="50"/>
    <x v="2"/>
    <x v="0"/>
    <x v="0"/>
    <x v="0"/>
    <x v="3"/>
    <x v="1"/>
    <x v="7"/>
    <x v="2"/>
  </r>
  <r>
    <x v="1185"/>
    <x v="6"/>
    <x v="0"/>
    <n v="64.2"/>
    <x v="1005"/>
    <x v="46"/>
    <x v="47"/>
    <x v="1"/>
    <x v="0"/>
    <x v="0"/>
    <x v="0"/>
    <x v="3"/>
    <x v="0"/>
    <x v="7"/>
    <x v="1"/>
  </r>
  <r>
    <x v="1186"/>
    <x v="8"/>
    <x v="1"/>
    <n v="55.8"/>
    <x v="1006"/>
    <x v="46"/>
    <x v="50"/>
    <x v="0"/>
    <x v="0"/>
    <x v="0"/>
    <x v="0"/>
    <x v="3"/>
    <x v="1"/>
    <x v="7"/>
    <x v="0"/>
  </r>
  <r>
    <x v="1187"/>
    <x v="8"/>
    <x v="1"/>
    <n v="28.1"/>
    <x v="1007"/>
    <x v="46"/>
    <x v="43"/>
    <x v="2"/>
    <x v="4"/>
    <x v="1"/>
    <x v="0"/>
    <x v="3"/>
    <x v="3"/>
    <x v="7"/>
    <x v="2"/>
  </r>
  <r>
    <x v="1188"/>
    <x v="0"/>
    <x v="1"/>
    <n v="11.6"/>
    <x v="772"/>
    <x v="46"/>
    <x v="50"/>
    <x v="2"/>
    <x v="1"/>
    <x v="0"/>
    <x v="0"/>
    <x v="24"/>
    <x v="1"/>
    <x v="7"/>
    <x v="2"/>
  </r>
  <r>
    <x v="1189"/>
    <x v="5"/>
    <x v="2"/>
    <n v="50.4"/>
    <x v="277"/>
    <x v="46"/>
    <x v="43"/>
    <x v="1"/>
    <x v="4"/>
    <x v="2"/>
    <x v="0"/>
    <x v="25"/>
    <x v="3"/>
    <x v="7"/>
    <x v="1"/>
  </r>
  <r>
    <x v="1190"/>
    <x v="6"/>
    <x v="13"/>
    <n v="48.3"/>
    <x v="1008"/>
    <x v="46"/>
    <x v="49"/>
    <x v="2"/>
    <x v="0"/>
    <x v="0"/>
    <x v="0"/>
    <x v="25"/>
    <x v="5"/>
    <x v="7"/>
    <x v="2"/>
  </r>
  <r>
    <x v="1191"/>
    <x v="17"/>
    <x v="3"/>
    <n v="32.200000000000003"/>
    <x v="1009"/>
    <x v="46"/>
    <x v="50"/>
    <x v="2"/>
    <x v="2"/>
    <x v="0"/>
    <x v="0"/>
    <x v="25"/>
    <x v="1"/>
    <x v="7"/>
    <x v="2"/>
  </r>
  <r>
    <x v="1192"/>
    <x v="7"/>
    <x v="31"/>
    <n v="48.5"/>
    <x v="1010"/>
    <x v="46"/>
    <x v="43"/>
    <x v="1"/>
    <x v="0"/>
    <x v="0"/>
    <x v="0"/>
    <x v="5"/>
    <x v="3"/>
    <x v="7"/>
    <x v="1"/>
  </r>
  <r>
    <x v="1193"/>
    <x v="2"/>
    <x v="9"/>
    <n v="62"/>
    <x v="892"/>
    <x v="46"/>
    <x v="46"/>
    <x v="2"/>
    <x v="1"/>
    <x v="0"/>
    <x v="0"/>
    <x v="6"/>
    <x v="2"/>
    <x v="7"/>
    <x v="2"/>
  </r>
  <r>
    <x v="1194"/>
    <x v="8"/>
    <x v="2"/>
    <n v="32.1"/>
    <x v="219"/>
    <x v="47"/>
    <x v="46"/>
    <x v="1"/>
    <x v="0"/>
    <x v="0"/>
    <x v="0"/>
    <x v="6"/>
    <x v="1"/>
    <x v="7"/>
    <x v="1"/>
  </r>
  <r>
    <x v="1195"/>
    <x v="12"/>
    <x v="2"/>
    <n v="106.1"/>
    <x v="1011"/>
    <x v="47"/>
    <x v="46"/>
    <x v="1"/>
    <x v="0"/>
    <x v="1"/>
    <x v="0"/>
    <x v="7"/>
    <x v="1"/>
    <x v="7"/>
    <x v="1"/>
  </r>
  <r>
    <x v="1196"/>
    <x v="10"/>
    <x v="2"/>
    <n v="23.5"/>
    <x v="1012"/>
    <x v="47"/>
    <x v="49"/>
    <x v="1"/>
    <x v="0"/>
    <x v="4"/>
    <x v="0"/>
    <x v="7"/>
    <x v="2"/>
    <x v="7"/>
    <x v="1"/>
  </r>
  <r>
    <x v="1197"/>
    <x v="1"/>
    <x v="1"/>
    <n v="35.6"/>
    <x v="1013"/>
    <x v="47"/>
    <x v="56"/>
    <x v="1"/>
    <x v="4"/>
    <x v="0"/>
    <x v="0"/>
    <x v="8"/>
    <x v="0"/>
    <x v="7"/>
    <x v="1"/>
  </r>
  <r>
    <x v="1198"/>
    <x v="1"/>
    <x v="1"/>
    <n v="63.5"/>
    <x v="520"/>
    <x v="47"/>
    <x v="43"/>
    <x v="2"/>
    <x v="1"/>
    <x v="2"/>
    <x v="0"/>
    <x v="8"/>
    <x v="7"/>
    <x v="7"/>
    <x v="2"/>
  </r>
  <r>
    <x v="1199"/>
    <x v="6"/>
    <x v="3"/>
    <n v="82.9"/>
    <x v="1014"/>
    <x v="47"/>
    <x v="56"/>
    <x v="2"/>
    <x v="4"/>
    <x v="0"/>
    <x v="0"/>
    <x v="9"/>
    <x v="0"/>
    <x v="7"/>
    <x v="2"/>
  </r>
  <r>
    <x v="1200"/>
    <x v="6"/>
    <x v="1"/>
    <n v="83.6"/>
    <x v="762"/>
    <x v="47"/>
    <x v="56"/>
    <x v="2"/>
    <x v="0"/>
    <x v="0"/>
    <x v="0"/>
    <x v="11"/>
    <x v="0"/>
    <x v="7"/>
    <x v="2"/>
  </r>
  <r>
    <x v="1201"/>
    <x v="4"/>
    <x v="1"/>
    <n v="29.4"/>
    <x v="572"/>
    <x v="47"/>
    <x v="43"/>
    <x v="2"/>
    <x v="0"/>
    <x v="1"/>
    <x v="0"/>
    <x v="30"/>
    <x v="7"/>
    <x v="7"/>
    <x v="2"/>
  </r>
  <r>
    <x v="1202"/>
    <x v="2"/>
    <x v="2"/>
    <n v="107.1"/>
    <x v="1015"/>
    <x v="47"/>
    <x v="47"/>
    <x v="2"/>
    <x v="2"/>
    <x v="0"/>
    <x v="0"/>
    <x v="20"/>
    <x v="5"/>
    <x v="7"/>
    <x v="2"/>
  </r>
  <r>
    <x v="1203"/>
    <x v="2"/>
    <x v="0"/>
    <n v="62.7"/>
    <x v="1016"/>
    <x v="47"/>
    <x v="47"/>
    <x v="1"/>
    <x v="1"/>
    <x v="0"/>
    <x v="0"/>
    <x v="21"/>
    <x v="5"/>
    <x v="7"/>
    <x v="1"/>
  </r>
  <r>
    <x v="1204"/>
    <x v="11"/>
    <x v="0"/>
    <n v="41.6"/>
    <x v="480"/>
    <x v="47"/>
    <x v="50"/>
    <x v="1"/>
    <x v="0"/>
    <x v="1"/>
    <x v="0"/>
    <x v="1"/>
    <x v="3"/>
    <x v="7"/>
    <x v="1"/>
  </r>
  <r>
    <x v="1205"/>
    <x v="6"/>
    <x v="0"/>
    <n v="44.2"/>
    <x v="573"/>
    <x v="47"/>
    <x v="50"/>
    <x v="3"/>
    <x v="0"/>
    <x v="1"/>
    <x v="0"/>
    <x v="1"/>
    <x v="3"/>
    <x v="7"/>
    <x v="3"/>
  </r>
  <r>
    <x v="1206"/>
    <x v="4"/>
    <x v="13"/>
    <n v="40.4"/>
    <x v="1017"/>
    <x v="47"/>
    <x v="57"/>
    <x v="2"/>
    <x v="2"/>
    <x v="0"/>
    <x v="0"/>
    <x v="22"/>
    <x v="10"/>
    <x v="7"/>
    <x v="2"/>
  </r>
  <r>
    <x v="1207"/>
    <x v="15"/>
    <x v="13"/>
    <n v="59.6"/>
    <x v="1018"/>
    <x v="47"/>
    <x v="50"/>
    <x v="2"/>
    <x v="4"/>
    <x v="0"/>
    <x v="0"/>
    <x v="34"/>
    <x v="3"/>
    <x v="7"/>
    <x v="2"/>
  </r>
  <r>
    <x v="1208"/>
    <x v="17"/>
    <x v="4"/>
    <n v="63.8"/>
    <x v="1019"/>
    <x v="47"/>
    <x v="50"/>
    <x v="1"/>
    <x v="1"/>
    <x v="0"/>
    <x v="0"/>
    <x v="3"/>
    <x v="3"/>
    <x v="7"/>
    <x v="1"/>
  </r>
  <r>
    <x v="1209"/>
    <x v="9"/>
    <x v="13"/>
    <n v="30.8"/>
    <x v="827"/>
    <x v="47"/>
    <x v="46"/>
    <x v="1"/>
    <x v="4"/>
    <x v="0"/>
    <x v="0"/>
    <x v="3"/>
    <x v="1"/>
    <x v="7"/>
    <x v="1"/>
  </r>
  <r>
    <x v="1210"/>
    <x v="1"/>
    <x v="1"/>
    <n v="41.5"/>
    <x v="470"/>
    <x v="47"/>
    <x v="49"/>
    <x v="3"/>
    <x v="0"/>
    <x v="0"/>
    <x v="0"/>
    <x v="3"/>
    <x v="2"/>
    <x v="7"/>
    <x v="3"/>
  </r>
  <r>
    <x v="1211"/>
    <x v="10"/>
    <x v="12"/>
    <n v="44.7"/>
    <x v="1020"/>
    <x v="47"/>
    <x v="46"/>
    <x v="2"/>
    <x v="2"/>
    <x v="1"/>
    <x v="0"/>
    <x v="3"/>
    <x v="1"/>
    <x v="7"/>
    <x v="2"/>
  </r>
  <r>
    <x v="1212"/>
    <x v="12"/>
    <x v="1"/>
    <n v="64.099999999999994"/>
    <x v="618"/>
    <x v="47"/>
    <x v="47"/>
    <x v="2"/>
    <x v="1"/>
    <x v="4"/>
    <x v="0"/>
    <x v="3"/>
    <x v="5"/>
    <x v="7"/>
    <x v="2"/>
  </r>
  <r>
    <x v="1213"/>
    <x v="8"/>
    <x v="0"/>
    <n v="15.9"/>
    <x v="1021"/>
    <x v="47"/>
    <x v="49"/>
    <x v="0"/>
    <x v="1"/>
    <x v="0"/>
    <x v="0"/>
    <x v="3"/>
    <x v="2"/>
    <x v="7"/>
    <x v="0"/>
  </r>
  <r>
    <x v="1214"/>
    <x v="6"/>
    <x v="1"/>
    <n v="78.7"/>
    <x v="1022"/>
    <x v="47"/>
    <x v="43"/>
    <x v="2"/>
    <x v="2"/>
    <x v="1"/>
    <x v="0"/>
    <x v="3"/>
    <x v="7"/>
    <x v="7"/>
    <x v="2"/>
  </r>
  <r>
    <x v="1215"/>
    <x v="5"/>
    <x v="4"/>
    <n v="29.6"/>
    <x v="1023"/>
    <x v="47"/>
    <x v="47"/>
    <x v="1"/>
    <x v="2"/>
    <x v="4"/>
    <x v="0"/>
    <x v="3"/>
    <x v="5"/>
    <x v="7"/>
    <x v="1"/>
  </r>
  <r>
    <x v="1216"/>
    <x v="8"/>
    <x v="12"/>
    <n v="21.5"/>
    <x v="1024"/>
    <x v="47"/>
    <x v="49"/>
    <x v="1"/>
    <x v="1"/>
    <x v="0"/>
    <x v="0"/>
    <x v="3"/>
    <x v="2"/>
    <x v="7"/>
    <x v="1"/>
  </r>
  <r>
    <x v="1217"/>
    <x v="9"/>
    <x v="2"/>
    <n v="74.900000000000006"/>
    <x v="890"/>
    <x v="47"/>
    <x v="52"/>
    <x v="1"/>
    <x v="3"/>
    <x v="1"/>
    <x v="0"/>
    <x v="3"/>
    <x v="8"/>
    <x v="7"/>
    <x v="1"/>
  </r>
  <r>
    <x v="1218"/>
    <x v="10"/>
    <x v="13"/>
    <n v="45"/>
    <x v="843"/>
    <x v="47"/>
    <x v="56"/>
    <x v="2"/>
    <x v="2"/>
    <x v="0"/>
    <x v="0"/>
    <x v="3"/>
    <x v="0"/>
    <x v="7"/>
    <x v="2"/>
  </r>
  <r>
    <x v="1219"/>
    <x v="7"/>
    <x v="33"/>
    <n v="37.9"/>
    <x v="1025"/>
    <x v="47"/>
    <x v="50"/>
    <x v="1"/>
    <x v="0"/>
    <x v="0"/>
    <x v="0"/>
    <x v="3"/>
    <x v="3"/>
    <x v="7"/>
    <x v="1"/>
  </r>
  <r>
    <x v="1220"/>
    <x v="6"/>
    <x v="2"/>
    <n v="56.6"/>
    <x v="1026"/>
    <x v="47"/>
    <x v="50"/>
    <x v="1"/>
    <x v="3"/>
    <x v="0"/>
    <x v="0"/>
    <x v="3"/>
    <x v="3"/>
    <x v="7"/>
    <x v="1"/>
  </r>
  <r>
    <x v="1221"/>
    <x v="3"/>
    <x v="15"/>
    <n v="84.5"/>
    <x v="1027"/>
    <x v="47"/>
    <x v="49"/>
    <x v="2"/>
    <x v="1"/>
    <x v="4"/>
    <x v="0"/>
    <x v="3"/>
    <x v="2"/>
    <x v="7"/>
    <x v="2"/>
  </r>
  <r>
    <x v="1222"/>
    <x v="2"/>
    <x v="9"/>
    <n v="105.4"/>
    <x v="1028"/>
    <x v="47"/>
    <x v="46"/>
    <x v="2"/>
    <x v="1"/>
    <x v="1"/>
    <x v="0"/>
    <x v="3"/>
    <x v="1"/>
    <x v="7"/>
    <x v="2"/>
  </r>
  <r>
    <x v="1223"/>
    <x v="18"/>
    <x v="3"/>
    <n v="39.4"/>
    <x v="1029"/>
    <x v="48"/>
    <x v="50"/>
    <x v="1"/>
    <x v="1"/>
    <x v="0"/>
    <x v="0"/>
    <x v="37"/>
    <x v="7"/>
    <x v="7"/>
    <x v="1"/>
  </r>
  <r>
    <x v="1224"/>
    <x v="19"/>
    <x v="2"/>
    <n v="38"/>
    <x v="717"/>
    <x v="48"/>
    <x v="47"/>
    <x v="1"/>
    <x v="4"/>
    <x v="1"/>
    <x v="0"/>
    <x v="6"/>
    <x v="2"/>
    <x v="7"/>
    <x v="1"/>
  </r>
  <r>
    <x v="1225"/>
    <x v="17"/>
    <x v="12"/>
    <n v="42.5"/>
    <x v="393"/>
    <x v="48"/>
    <x v="49"/>
    <x v="0"/>
    <x v="0"/>
    <x v="0"/>
    <x v="0"/>
    <x v="6"/>
    <x v="1"/>
    <x v="7"/>
    <x v="0"/>
  </r>
  <r>
    <x v="1226"/>
    <x v="15"/>
    <x v="0"/>
    <n v="62.3"/>
    <x v="1030"/>
    <x v="48"/>
    <x v="53"/>
    <x v="1"/>
    <x v="0"/>
    <x v="2"/>
    <x v="0"/>
    <x v="6"/>
    <x v="8"/>
    <x v="7"/>
    <x v="1"/>
  </r>
  <r>
    <x v="1227"/>
    <x v="6"/>
    <x v="9"/>
    <n v="49.1"/>
    <x v="1031"/>
    <x v="48"/>
    <x v="49"/>
    <x v="2"/>
    <x v="1"/>
    <x v="2"/>
    <x v="0"/>
    <x v="7"/>
    <x v="1"/>
    <x v="7"/>
    <x v="2"/>
  </r>
  <r>
    <x v="1228"/>
    <x v="3"/>
    <x v="1"/>
    <n v="30.5"/>
    <x v="170"/>
    <x v="48"/>
    <x v="47"/>
    <x v="1"/>
    <x v="0"/>
    <x v="2"/>
    <x v="0"/>
    <x v="8"/>
    <x v="2"/>
    <x v="7"/>
    <x v="1"/>
  </r>
  <r>
    <x v="1229"/>
    <x v="2"/>
    <x v="1"/>
    <n v="154.80000000000001"/>
    <x v="141"/>
    <x v="48"/>
    <x v="47"/>
    <x v="2"/>
    <x v="1"/>
    <x v="4"/>
    <x v="0"/>
    <x v="8"/>
    <x v="2"/>
    <x v="7"/>
    <x v="2"/>
  </r>
  <r>
    <x v="1230"/>
    <x v="6"/>
    <x v="0"/>
    <n v="45"/>
    <x v="583"/>
    <x v="48"/>
    <x v="56"/>
    <x v="1"/>
    <x v="3"/>
    <x v="1"/>
    <x v="0"/>
    <x v="8"/>
    <x v="5"/>
    <x v="7"/>
    <x v="1"/>
  </r>
  <r>
    <x v="1231"/>
    <x v="0"/>
    <x v="3"/>
    <n v="15.3"/>
    <x v="1002"/>
    <x v="48"/>
    <x v="46"/>
    <x v="1"/>
    <x v="0"/>
    <x v="2"/>
    <x v="0"/>
    <x v="8"/>
    <x v="3"/>
    <x v="7"/>
    <x v="1"/>
  </r>
  <r>
    <x v="1232"/>
    <x v="2"/>
    <x v="5"/>
    <n v="88.6"/>
    <x v="1032"/>
    <x v="48"/>
    <x v="47"/>
    <x v="2"/>
    <x v="0"/>
    <x v="4"/>
    <x v="0"/>
    <x v="17"/>
    <x v="2"/>
    <x v="7"/>
    <x v="2"/>
  </r>
  <r>
    <x v="1233"/>
    <x v="9"/>
    <x v="1"/>
    <n v="49.7"/>
    <x v="1033"/>
    <x v="48"/>
    <x v="49"/>
    <x v="3"/>
    <x v="4"/>
    <x v="0"/>
    <x v="0"/>
    <x v="10"/>
    <x v="1"/>
    <x v="7"/>
    <x v="3"/>
  </r>
  <r>
    <x v="1234"/>
    <x v="10"/>
    <x v="0"/>
    <n v="29"/>
    <x v="1034"/>
    <x v="48"/>
    <x v="46"/>
    <x v="1"/>
    <x v="0"/>
    <x v="0"/>
    <x v="0"/>
    <x v="11"/>
    <x v="3"/>
    <x v="7"/>
    <x v="1"/>
  </r>
  <r>
    <x v="1235"/>
    <x v="1"/>
    <x v="0"/>
    <n v="60.7"/>
    <x v="1035"/>
    <x v="48"/>
    <x v="46"/>
    <x v="3"/>
    <x v="0"/>
    <x v="1"/>
    <x v="0"/>
    <x v="11"/>
    <x v="3"/>
    <x v="7"/>
    <x v="3"/>
  </r>
  <r>
    <x v="1236"/>
    <x v="17"/>
    <x v="12"/>
    <n v="87.4"/>
    <x v="1036"/>
    <x v="48"/>
    <x v="49"/>
    <x v="0"/>
    <x v="0"/>
    <x v="0"/>
    <x v="0"/>
    <x v="11"/>
    <x v="1"/>
    <x v="7"/>
    <x v="0"/>
  </r>
  <r>
    <x v="1237"/>
    <x v="4"/>
    <x v="3"/>
    <n v="44.5"/>
    <x v="1037"/>
    <x v="48"/>
    <x v="56"/>
    <x v="2"/>
    <x v="2"/>
    <x v="2"/>
    <x v="0"/>
    <x v="19"/>
    <x v="5"/>
    <x v="7"/>
    <x v="2"/>
  </r>
  <r>
    <x v="1238"/>
    <x v="2"/>
    <x v="0"/>
    <n v="141"/>
    <x v="1038"/>
    <x v="48"/>
    <x v="46"/>
    <x v="1"/>
    <x v="4"/>
    <x v="2"/>
    <x v="0"/>
    <x v="19"/>
    <x v="3"/>
    <x v="7"/>
    <x v="1"/>
  </r>
  <r>
    <x v="1239"/>
    <x v="0"/>
    <x v="2"/>
    <n v="16.7"/>
    <x v="1039"/>
    <x v="48"/>
    <x v="52"/>
    <x v="2"/>
    <x v="0"/>
    <x v="0"/>
    <x v="0"/>
    <x v="20"/>
    <x v="9"/>
    <x v="7"/>
    <x v="2"/>
  </r>
  <r>
    <x v="1240"/>
    <x v="1"/>
    <x v="1"/>
    <n v="77.5"/>
    <x v="1040"/>
    <x v="48"/>
    <x v="46"/>
    <x v="0"/>
    <x v="2"/>
    <x v="2"/>
    <x v="0"/>
    <x v="13"/>
    <x v="3"/>
    <x v="7"/>
    <x v="0"/>
  </r>
  <r>
    <x v="1241"/>
    <x v="2"/>
    <x v="1"/>
    <n v="163"/>
    <x v="1041"/>
    <x v="48"/>
    <x v="54"/>
    <x v="2"/>
    <x v="4"/>
    <x v="0"/>
    <x v="0"/>
    <x v="21"/>
    <x v="4"/>
    <x v="7"/>
    <x v="2"/>
  </r>
  <r>
    <x v="1242"/>
    <x v="4"/>
    <x v="11"/>
    <n v="21.4"/>
    <x v="1042"/>
    <x v="48"/>
    <x v="47"/>
    <x v="2"/>
    <x v="0"/>
    <x v="0"/>
    <x v="0"/>
    <x v="51"/>
    <x v="2"/>
    <x v="7"/>
    <x v="2"/>
  </r>
  <r>
    <x v="1243"/>
    <x v="10"/>
    <x v="5"/>
    <n v="31"/>
    <x v="992"/>
    <x v="48"/>
    <x v="49"/>
    <x v="2"/>
    <x v="3"/>
    <x v="2"/>
    <x v="0"/>
    <x v="1"/>
    <x v="1"/>
    <x v="7"/>
    <x v="2"/>
  </r>
  <r>
    <x v="1244"/>
    <x v="7"/>
    <x v="1"/>
    <n v="34.299999999999997"/>
    <x v="1043"/>
    <x v="48"/>
    <x v="49"/>
    <x v="2"/>
    <x v="0"/>
    <x v="3"/>
    <x v="0"/>
    <x v="1"/>
    <x v="1"/>
    <x v="7"/>
    <x v="2"/>
  </r>
  <r>
    <x v="1245"/>
    <x v="17"/>
    <x v="9"/>
    <n v="48.2"/>
    <x v="1044"/>
    <x v="48"/>
    <x v="46"/>
    <x v="1"/>
    <x v="1"/>
    <x v="1"/>
    <x v="0"/>
    <x v="2"/>
    <x v="3"/>
    <x v="7"/>
    <x v="1"/>
  </r>
  <r>
    <x v="1246"/>
    <x v="10"/>
    <x v="0"/>
    <n v="51.4"/>
    <x v="1045"/>
    <x v="48"/>
    <x v="46"/>
    <x v="1"/>
    <x v="0"/>
    <x v="0"/>
    <x v="0"/>
    <x v="3"/>
    <x v="3"/>
    <x v="7"/>
    <x v="1"/>
  </r>
  <r>
    <x v="1247"/>
    <x v="2"/>
    <x v="9"/>
    <n v="117.2"/>
    <x v="1046"/>
    <x v="48"/>
    <x v="47"/>
    <x v="2"/>
    <x v="4"/>
    <x v="4"/>
    <x v="0"/>
    <x v="3"/>
    <x v="2"/>
    <x v="7"/>
    <x v="2"/>
  </r>
  <r>
    <x v="1248"/>
    <x v="8"/>
    <x v="0"/>
    <n v="38.1"/>
    <x v="220"/>
    <x v="48"/>
    <x v="50"/>
    <x v="1"/>
    <x v="4"/>
    <x v="1"/>
    <x v="0"/>
    <x v="3"/>
    <x v="7"/>
    <x v="7"/>
    <x v="1"/>
  </r>
  <r>
    <x v="1249"/>
    <x v="0"/>
    <x v="1"/>
    <n v="44.1"/>
    <x v="1047"/>
    <x v="48"/>
    <x v="49"/>
    <x v="2"/>
    <x v="2"/>
    <x v="0"/>
    <x v="0"/>
    <x v="3"/>
    <x v="1"/>
    <x v="7"/>
    <x v="2"/>
  </r>
  <r>
    <x v="1250"/>
    <x v="15"/>
    <x v="12"/>
    <n v="80.5"/>
    <x v="310"/>
    <x v="48"/>
    <x v="55"/>
    <x v="1"/>
    <x v="0"/>
    <x v="0"/>
    <x v="0"/>
    <x v="3"/>
    <x v="0"/>
    <x v="7"/>
    <x v="1"/>
  </r>
  <r>
    <x v="1251"/>
    <x v="18"/>
    <x v="12"/>
    <n v="33.6"/>
    <x v="1048"/>
    <x v="48"/>
    <x v="55"/>
    <x v="0"/>
    <x v="0"/>
    <x v="2"/>
    <x v="0"/>
    <x v="3"/>
    <x v="0"/>
    <x v="7"/>
    <x v="0"/>
  </r>
  <r>
    <x v="1252"/>
    <x v="9"/>
    <x v="11"/>
    <n v="41.8"/>
    <x v="82"/>
    <x v="48"/>
    <x v="46"/>
    <x v="2"/>
    <x v="0"/>
    <x v="1"/>
    <x v="0"/>
    <x v="3"/>
    <x v="3"/>
    <x v="7"/>
    <x v="2"/>
  </r>
  <r>
    <x v="1253"/>
    <x v="1"/>
    <x v="1"/>
    <n v="106.2"/>
    <x v="230"/>
    <x v="48"/>
    <x v="50"/>
    <x v="2"/>
    <x v="4"/>
    <x v="2"/>
    <x v="0"/>
    <x v="3"/>
    <x v="7"/>
    <x v="7"/>
    <x v="2"/>
  </r>
  <r>
    <x v="1254"/>
    <x v="1"/>
    <x v="1"/>
    <n v="52.6"/>
    <x v="1049"/>
    <x v="48"/>
    <x v="46"/>
    <x v="2"/>
    <x v="0"/>
    <x v="2"/>
    <x v="0"/>
    <x v="5"/>
    <x v="3"/>
    <x v="7"/>
    <x v="2"/>
  </r>
  <r>
    <x v="1255"/>
    <x v="11"/>
    <x v="3"/>
    <n v="68.5"/>
    <x v="1050"/>
    <x v="48"/>
    <x v="46"/>
    <x v="2"/>
    <x v="1"/>
    <x v="0"/>
    <x v="0"/>
    <x v="5"/>
    <x v="3"/>
    <x v="7"/>
    <x v="2"/>
  </r>
  <r>
    <x v="1256"/>
    <x v="1"/>
    <x v="1"/>
    <n v="55.6"/>
    <x v="622"/>
    <x v="48"/>
    <x v="49"/>
    <x v="1"/>
    <x v="1"/>
    <x v="2"/>
    <x v="0"/>
    <x v="6"/>
    <x v="1"/>
    <x v="7"/>
    <x v="1"/>
  </r>
  <r>
    <x v="1257"/>
    <x v="2"/>
    <x v="2"/>
    <n v="134.9"/>
    <x v="1051"/>
    <x v="48"/>
    <x v="46"/>
    <x v="1"/>
    <x v="1"/>
    <x v="1"/>
    <x v="0"/>
    <x v="6"/>
    <x v="3"/>
    <x v="7"/>
    <x v="1"/>
  </r>
  <r>
    <x v="1258"/>
    <x v="10"/>
    <x v="9"/>
    <n v="42.6"/>
    <x v="226"/>
    <x v="48"/>
    <x v="46"/>
    <x v="1"/>
    <x v="0"/>
    <x v="0"/>
    <x v="0"/>
    <x v="6"/>
    <x v="3"/>
    <x v="7"/>
    <x v="1"/>
  </r>
  <r>
    <x v="1259"/>
    <x v="7"/>
    <x v="9"/>
    <n v="60.6"/>
    <x v="1052"/>
    <x v="48"/>
    <x v="49"/>
    <x v="1"/>
    <x v="4"/>
    <x v="0"/>
    <x v="0"/>
    <x v="6"/>
    <x v="1"/>
    <x v="7"/>
    <x v="1"/>
  </r>
  <r>
    <x v="1260"/>
    <x v="8"/>
    <x v="1"/>
    <n v="43.5"/>
    <x v="1053"/>
    <x v="48"/>
    <x v="46"/>
    <x v="1"/>
    <x v="4"/>
    <x v="0"/>
    <x v="0"/>
    <x v="7"/>
    <x v="3"/>
    <x v="7"/>
    <x v="1"/>
  </r>
  <r>
    <x v="1261"/>
    <x v="2"/>
    <x v="1"/>
    <n v="187.1"/>
    <x v="1054"/>
    <x v="48"/>
    <x v="46"/>
    <x v="1"/>
    <x v="1"/>
    <x v="2"/>
    <x v="0"/>
    <x v="8"/>
    <x v="3"/>
    <x v="7"/>
    <x v="1"/>
  </r>
  <r>
    <x v="1262"/>
    <x v="9"/>
    <x v="2"/>
    <n v="32"/>
    <x v="854"/>
    <x v="48"/>
    <x v="49"/>
    <x v="1"/>
    <x v="0"/>
    <x v="0"/>
    <x v="0"/>
    <x v="8"/>
    <x v="1"/>
    <x v="7"/>
    <x v="1"/>
  </r>
  <r>
    <x v="1263"/>
    <x v="9"/>
    <x v="1"/>
    <n v="110.8"/>
    <x v="1055"/>
    <x v="48"/>
    <x v="50"/>
    <x v="1"/>
    <x v="0"/>
    <x v="2"/>
    <x v="0"/>
    <x v="8"/>
    <x v="7"/>
    <x v="7"/>
    <x v="1"/>
  </r>
  <r>
    <x v="1264"/>
    <x v="10"/>
    <x v="15"/>
    <n v="36.1"/>
    <x v="1056"/>
    <x v="48"/>
    <x v="47"/>
    <x v="2"/>
    <x v="0"/>
    <x v="1"/>
    <x v="0"/>
    <x v="8"/>
    <x v="2"/>
    <x v="7"/>
    <x v="2"/>
  </r>
  <r>
    <x v="1265"/>
    <x v="0"/>
    <x v="0"/>
    <n v="24.1"/>
    <x v="1057"/>
    <x v="48"/>
    <x v="49"/>
    <x v="2"/>
    <x v="4"/>
    <x v="2"/>
    <x v="0"/>
    <x v="8"/>
    <x v="1"/>
    <x v="7"/>
    <x v="2"/>
  </r>
  <r>
    <x v="1266"/>
    <x v="19"/>
    <x v="2"/>
    <n v="30.5"/>
    <x v="1058"/>
    <x v="48"/>
    <x v="49"/>
    <x v="1"/>
    <x v="1"/>
    <x v="0"/>
    <x v="0"/>
    <x v="8"/>
    <x v="1"/>
    <x v="7"/>
    <x v="1"/>
  </r>
  <r>
    <x v="1267"/>
    <x v="18"/>
    <x v="13"/>
    <n v="68.3"/>
    <x v="1059"/>
    <x v="48"/>
    <x v="47"/>
    <x v="1"/>
    <x v="0"/>
    <x v="0"/>
    <x v="0"/>
    <x v="8"/>
    <x v="2"/>
    <x v="7"/>
    <x v="1"/>
  </r>
  <r>
    <x v="1268"/>
    <x v="7"/>
    <x v="2"/>
    <n v="43.3"/>
    <x v="1060"/>
    <x v="48"/>
    <x v="56"/>
    <x v="2"/>
    <x v="0"/>
    <x v="0"/>
    <x v="0"/>
    <x v="17"/>
    <x v="5"/>
    <x v="7"/>
    <x v="2"/>
  </r>
  <r>
    <x v="1269"/>
    <x v="3"/>
    <x v="0"/>
    <n v="101.7"/>
    <x v="530"/>
    <x v="48"/>
    <x v="47"/>
    <x v="2"/>
    <x v="0"/>
    <x v="1"/>
    <x v="0"/>
    <x v="17"/>
    <x v="2"/>
    <x v="7"/>
    <x v="2"/>
  </r>
  <r>
    <x v="1270"/>
    <x v="11"/>
    <x v="1"/>
    <n v="54.2"/>
    <x v="1061"/>
    <x v="48"/>
    <x v="46"/>
    <x v="2"/>
    <x v="0"/>
    <x v="1"/>
    <x v="0"/>
    <x v="17"/>
    <x v="3"/>
    <x v="7"/>
    <x v="2"/>
  </r>
  <r>
    <x v="1271"/>
    <x v="16"/>
    <x v="1"/>
    <n v="51"/>
    <x v="1062"/>
    <x v="48"/>
    <x v="50"/>
    <x v="1"/>
    <x v="1"/>
    <x v="0"/>
    <x v="0"/>
    <x v="26"/>
    <x v="7"/>
    <x v="7"/>
    <x v="1"/>
  </r>
  <r>
    <x v="1272"/>
    <x v="4"/>
    <x v="1"/>
    <n v="23.1"/>
    <x v="1063"/>
    <x v="48"/>
    <x v="47"/>
    <x v="1"/>
    <x v="1"/>
    <x v="0"/>
    <x v="0"/>
    <x v="10"/>
    <x v="2"/>
    <x v="7"/>
    <x v="1"/>
  </r>
  <r>
    <x v="1273"/>
    <x v="12"/>
    <x v="13"/>
    <n v="60.1"/>
    <x v="116"/>
    <x v="48"/>
    <x v="50"/>
    <x v="2"/>
    <x v="3"/>
    <x v="0"/>
    <x v="0"/>
    <x v="11"/>
    <x v="7"/>
    <x v="7"/>
    <x v="2"/>
  </r>
  <r>
    <x v="1274"/>
    <x v="2"/>
    <x v="3"/>
    <n v="87.5"/>
    <x v="1064"/>
    <x v="48"/>
    <x v="49"/>
    <x v="2"/>
    <x v="0"/>
    <x v="1"/>
    <x v="0"/>
    <x v="11"/>
    <x v="1"/>
    <x v="7"/>
    <x v="2"/>
  </r>
  <r>
    <x v="1275"/>
    <x v="1"/>
    <x v="2"/>
    <n v="51"/>
    <x v="1065"/>
    <x v="48"/>
    <x v="46"/>
    <x v="2"/>
    <x v="1"/>
    <x v="0"/>
    <x v="0"/>
    <x v="11"/>
    <x v="3"/>
    <x v="7"/>
    <x v="2"/>
  </r>
  <r>
    <x v="1276"/>
    <x v="8"/>
    <x v="12"/>
    <n v="19.2"/>
    <x v="714"/>
    <x v="48"/>
    <x v="49"/>
    <x v="2"/>
    <x v="0"/>
    <x v="0"/>
    <x v="0"/>
    <x v="11"/>
    <x v="1"/>
    <x v="7"/>
    <x v="2"/>
  </r>
  <r>
    <x v="1277"/>
    <x v="5"/>
    <x v="8"/>
    <n v="26.5"/>
    <x v="1066"/>
    <x v="48"/>
    <x v="46"/>
    <x v="0"/>
    <x v="3"/>
    <x v="2"/>
    <x v="0"/>
    <x v="11"/>
    <x v="3"/>
    <x v="7"/>
    <x v="0"/>
  </r>
  <r>
    <x v="1278"/>
    <x v="2"/>
    <x v="1"/>
    <n v="220.3"/>
    <x v="1067"/>
    <x v="48"/>
    <x v="46"/>
    <x v="2"/>
    <x v="1"/>
    <x v="4"/>
    <x v="0"/>
    <x v="53"/>
    <x v="3"/>
    <x v="7"/>
    <x v="2"/>
  </r>
  <r>
    <x v="1279"/>
    <x v="8"/>
    <x v="2"/>
    <n v="45.7"/>
    <x v="1068"/>
    <x v="48"/>
    <x v="46"/>
    <x v="2"/>
    <x v="4"/>
    <x v="0"/>
    <x v="0"/>
    <x v="30"/>
    <x v="3"/>
    <x v="7"/>
    <x v="2"/>
  </r>
  <r>
    <x v="1280"/>
    <x v="5"/>
    <x v="9"/>
    <n v="47.1"/>
    <x v="1069"/>
    <x v="48"/>
    <x v="56"/>
    <x v="2"/>
    <x v="3"/>
    <x v="0"/>
    <x v="0"/>
    <x v="13"/>
    <x v="5"/>
    <x v="7"/>
    <x v="2"/>
  </r>
  <r>
    <x v="1281"/>
    <x v="1"/>
    <x v="9"/>
    <n v="81.7"/>
    <x v="856"/>
    <x v="48"/>
    <x v="46"/>
    <x v="2"/>
    <x v="0"/>
    <x v="2"/>
    <x v="0"/>
    <x v="21"/>
    <x v="3"/>
    <x v="7"/>
    <x v="2"/>
  </r>
  <r>
    <x v="1282"/>
    <x v="6"/>
    <x v="7"/>
    <n v="97.8"/>
    <x v="1070"/>
    <x v="48"/>
    <x v="50"/>
    <x v="1"/>
    <x v="1"/>
    <x v="1"/>
    <x v="0"/>
    <x v="21"/>
    <x v="7"/>
    <x v="7"/>
    <x v="1"/>
  </r>
  <r>
    <x v="1283"/>
    <x v="6"/>
    <x v="2"/>
    <n v="42.4"/>
    <x v="1071"/>
    <x v="48"/>
    <x v="46"/>
    <x v="2"/>
    <x v="0"/>
    <x v="2"/>
    <x v="0"/>
    <x v="54"/>
    <x v="3"/>
    <x v="7"/>
    <x v="2"/>
  </r>
  <r>
    <x v="1284"/>
    <x v="2"/>
    <x v="7"/>
    <n v="74.5"/>
    <x v="1072"/>
    <x v="48"/>
    <x v="46"/>
    <x v="1"/>
    <x v="2"/>
    <x v="1"/>
    <x v="0"/>
    <x v="1"/>
    <x v="3"/>
    <x v="7"/>
    <x v="1"/>
  </r>
  <r>
    <x v="1285"/>
    <x v="17"/>
    <x v="13"/>
    <n v="47.4"/>
    <x v="1073"/>
    <x v="48"/>
    <x v="46"/>
    <x v="1"/>
    <x v="1"/>
    <x v="0"/>
    <x v="0"/>
    <x v="1"/>
    <x v="3"/>
    <x v="7"/>
    <x v="1"/>
  </r>
  <r>
    <x v="1286"/>
    <x v="14"/>
    <x v="2"/>
    <n v="17.3"/>
    <x v="1074"/>
    <x v="49"/>
    <x v="56"/>
    <x v="1"/>
    <x v="2"/>
    <x v="2"/>
    <x v="0"/>
    <x v="1"/>
    <x v="2"/>
    <x v="7"/>
    <x v="1"/>
  </r>
  <r>
    <x v="1287"/>
    <x v="12"/>
    <x v="12"/>
    <n v="77.900000000000006"/>
    <x v="1075"/>
    <x v="49"/>
    <x v="49"/>
    <x v="1"/>
    <x v="1"/>
    <x v="0"/>
    <x v="0"/>
    <x v="2"/>
    <x v="3"/>
    <x v="7"/>
    <x v="1"/>
  </r>
  <r>
    <x v="1288"/>
    <x v="8"/>
    <x v="0"/>
    <n v="29.1"/>
    <x v="1076"/>
    <x v="49"/>
    <x v="56"/>
    <x v="1"/>
    <x v="0"/>
    <x v="2"/>
    <x v="0"/>
    <x v="50"/>
    <x v="2"/>
    <x v="7"/>
    <x v="1"/>
  </r>
  <r>
    <x v="1289"/>
    <x v="8"/>
    <x v="0"/>
    <n v="49"/>
    <x v="268"/>
    <x v="49"/>
    <x v="49"/>
    <x v="1"/>
    <x v="1"/>
    <x v="0"/>
    <x v="0"/>
    <x v="3"/>
    <x v="3"/>
    <x v="7"/>
    <x v="1"/>
  </r>
  <r>
    <x v="1290"/>
    <x v="8"/>
    <x v="13"/>
    <n v="21.1"/>
    <x v="1077"/>
    <x v="49"/>
    <x v="52"/>
    <x v="1"/>
    <x v="0"/>
    <x v="2"/>
    <x v="0"/>
    <x v="3"/>
    <x v="6"/>
    <x v="7"/>
    <x v="1"/>
  </r>
  <r>
    <x v="1291"/>
    <x v="4"/>
    <x v="10"/>
    <n v="36.9"/>
    <x v="1078"/>
    <x v="49"/>
    <x v="46"/>
    <x v="2"/>
    <x v="0"/>
    <x v="0"/>
    <x v="0"/>
    <x v="3"/>
    <x v="7"/>
    <x v="7"/>
    <x v="2"/>
  </r>
  <r>
    <x v="1292"/>
    <x v="1"/>
    <x v="7"/>
    <n v="92.6"/>
    <x v="1079"/>
    <x v="49"/>
    <x v="54"/>
    <x v="1"/>
    <x v="4"/>
    <x v="2"/>
    <x v="0"/>
    <x v="3"/>
    <x v="0"/>
    <x v="7"/>
    <x v="1"/>
  </r>
  <r>
    <x v="1293"/>
    <x v="10"/>
    <x v="1"/>
    <n v="38"/>
    <x v="998"/>
    <x v="49"/>
    <x v="49"/>
    <x v="1"/>
    <x v="1"/>
    <x v="1"/>
    <x v="0"/>
    <x v="3"/>
    <x v="3"/>
    <x v="7"/>
    <x v="1"/>
  </r>
  <r>
    <x v="1294"/>
    <x v="5"/>
    <x v="2"/>
    <n v="54.8"/>
    <x v="1080"/>
    <x v="49"/>
    <x v="55"/>
    <x v="0"/>
    <x v="0"/>
    <x v="1"/>
    <x v="0"/>
    <x v="3"/>
    <x v="5"/>
    <x v="7"/>
    <x v="0"/>
  </r>
  <r>
    <x v="1295"/>
    <x v="10"/>
    <x v="4"/>
    <n v="56.8"/>
    <x v="1081"/>
    <x v="49"/>
    <x v="47"/>
    <x v="1"/>
    <x v="1"/>
    <x v="0"/>
    <x v="0"/>
    <x v="3"/>
    <x v="1"/>
    <x v="7"/>
    <x v="1"/>
  </r>
  <r>
    <x v="1296"/>
    <x v="11"/>
    <x v="40"/>
    <n v="47.2"/>
    <x v="1082"/>
    <x v="49"/>
    <x v="56"/>
    <x v="2"/>
    <x v="1"/>
    <x v="0"/>
    <x v="0"/>
    <x v="3"/>
    <x v="2"/>
    <x v="7"/>
    <x v="2"/>
  </r>
  <r>
    <x v="1297"/>
    <x v="7"/>
    <x v="13"/>
    <n v="45.1"/>
    <x v="1083"/>
    <x v="49"/>
    <x v="49"/>
    <x v="2"/>
    <x v="2"/>
    <x v="0"/>
    <x v="0"/>
    <x v="43"/>
    <x v="3"/>
    <x v="7"/>
    <x v="2"/>
  </r>
  <r>
    <x v="1298"/>
    <x v="4"/>
    <x v="4"/>
    <n v="25.2"/>
    <x v="982"/>
    <x v="49"/>
    <x v="54"/>
    <x v="2"/>
    <x v="2"/>
    <x v="0"/>
    <x v="0"/>
    <x v="16"/>
    <x v="0"/>
    <x v="7"/>
    <x v="2"/>
  </r>
  <r>
    <x v="1299"/>
    <x v="8"/>
    <x v="0"/>
    <n v="22"/>
    <x v="1084"/>
    <x v="49"/>
    <x v="49"/>
    <x v="2"/>
    <x v="0"/>
    <x v="0"/>
    <x v="0"/>
    <x v="5"/>
    <x v="3"/>
    <x v="7"/>
    <x v="2"/>
  </r>
  <r>
    <x v="1300"/>
    <x v="6"/>
    <x v="1"/>
    <n v="42.2"/>
    <x v="533"/>
    <x v="49"/>
    <x v="49"/>
    <x v="2"/>
    <x v="1"/>
    <x v="1"/>
    <x v="0"/>
    <x v="23"/>
    <x v="3"/>
    <x v="7"/>
    <x v="2"/>
  </r>
  <r>
    <x v="1301"/>
    <x v="13"/>
    <x v="2"/>
    <n v="20.5"/>
    <x v="1085"/>
    <x v="49"/>
    <x v="49"/>
    <x v="1"/>
    <x v="0"/>
    <x v="1"/>
    <x v="0"/>
    <x v="6"/>
    <x v="3"/>
    <x v="7"/>
    <x v="1"/>
  </r>
  <r>
    <x v="1302"/>
    <x v="2"/>
    <x v="0"/>
    <n v="190.4"/>
    <x v="1086"/>
    <x v="49"/>
    <x v="54"/>
    <x v="1"/>
    <x v="1"/>
    <x v="4"/>
    <x v="0"/>
    <x v="6"/>
    <x v="0"/>
    <x v="7"/>
    <x v="1"/>
  </r>
  <r>
    <x v="1303"/>
    <x v="2"/>
    <x v="0"/>
    <n v="121.9"/>
    <x v="1087"/>
    <x v="49"/>
    <x v="47"/>
    <x v="2"/>
    <x v="1"/>
    <x v="2"/>
    <x v="0"/>
    <x v="6"/>
    <x v="1"/>
    <x v="7"/>
    <x v="2"/>
  </r>
  <r>
    <x v="1304"/>
    <x v="2"/>
    <x v="13"/>
    <n v="149.19999999999999"/>
    <x v="1088"/>
    <x v="49"/>
    <x v="49"/>
    <x v="2"/>
    <x v="2"/>
    <x v="2"/>
    <x v="0"/>
    <x v="7"/>
    <x v="3"/>
    <x v="7"/>
    <x v="2"/>
  </r>
  <r>
    <x v="1305"/>
    <x v="2"/>
    <x v="0"/>
    <n v="54.1"/>
    <x v="1089"/>
    <x v="49"/>
    <x v="58"/>
    <x v="2"/>
    <x v="2"/>
    <x v="2"/>
    <x v="0"/>
    <x v="7"/>
    <x v="8"/>
    <x v="7"/>
    <x v="2"/>
  </r>
  <r>
    <x v="1306"/>
    <x v="5"/>
    <x v="1"/>
    <n v="27.4"/>
    <x v="1090"/>
    <x v="49"/>
    <x v="47"/>
    <x v="1"/>
    <x v="1"/>
    <x v="0"/>
    <x v="0"/>
    <x v="8"/>
    <x v="1"/>
    <x v="7"/>
    <x v="1"/>
  </r>
  <r>
    <x v="1307"/>
    <x v="0"/>
    <x v="15"/>
    <n v="30.4"/>
    <x v="1091"/>
    <x v="49"/>
    <x v="49"/>
    <x v="2"/>
    <x v="0"/>
    <x v="2"/>
    <x v="0"/>
    <x v="8"/>
    <x v="3"/>
    <x v="7"/>
    <x v="2"/>
  </r>
  <r>
    <x v="1308"/>
    <x v="12"/>
    <x v="2"/>
    <n v="46.2"/>
    <x v="209"/>
    <x v="49"/>
    <x v="47"/>
    <x v="1"/>
    <x v="2"/>
    <x v="1"/>
    <x v="0"/>
    <x v="17"/>
    <x v="1"/>
    <x v="7"/>
    <x v="1"/>
  </r>
  <r>
    <x v="1309"/>
    <x v="7"/>
    <x v="8"/>
    <n v="78.599999999999994"/>
    <x v="1092"/>
    <x v="49"/>
    <x v="55"/>
    <x v="1"/>
    <x v="3"/>
    <x v="0"/>
    <x v="0"/>
    <x v="17"/>
    <x v="5"/>
    <x v="7"/>
    <x v="1"/>
  </r>
  <r>
    <x v="1310"/>
    <x v="17"/>
    <x v="7"/>
    <n v="25.9"/>
    <x v="155"/>
    <x v="49"/>
    <x v="51"/>
    <x v="1"/>
    <x v="4"/>
    <x v="0"/>
    <x v="0"/>
    <x v="9"/>
    <x v="4"/>
    <x v="7"/>
    <x v="1"/>
  </r>
  <r>
    <x v="1311"/>
    <x v="6"/>
    <x v="0"/>
    <n v="134.80000000000001"/>
    <x v="1093"/>
    <x v="49"/>
    <x v="47"/>
    <x v="1"/>
    <x v="2"/>
    <x v="2"/>
    <x v="0"/>
    <x v="9"/>
    <x v="1"/>
    <x v="7"/>
    <x v="1"/>
  </r>
  <r>
    <x v="1312"/>
    <x v="15"/>
    <x v="9"/>
    <n v="43.1"/>
    <x v="1094"/>
    <x v="49"/>
    <x v="47"/>
    <x v="2"/>
    <x v="0"/>
    <x v="0"/>
    <x v="0"/>
    <x v="11"/>
    <x v="1"/>
    <x v="7"/>
    <x v="2"/>
  </r>
  <r>
    <x v="1313"/>
    <x v="2"/>
    <x v="1"/>
    <n v="215.6"/>
    <x v="348"/>
    <x v="49"/>
    <x v="49"/>
    <x v="2"/>
    <x v="2"/>
    <x v="0"/>
    <x v="0"/>
    <x v="18"/>
    <x v="3"/>
    <x v="7"/>
    <x v="2"/>
  </r>
  <r>
    <x v="1314"/>
    <x v="6"/>
    <x v="1"/>
    <n v="80.7"/>
    <x v="1095"/>
    <x v="49"/>
    <x v="56"/>
    <x v="2"/>
    <x v="3"/>
    <x v="0"/>
    <x v="0"/>
    <x v="18"/>
    <x v="2"/>
    <x v="7"/>
    <x v="2"/>
  </r>
  <r>
    <x v="1315"/>
    <x v="10"/>
    <x v="3"/>
    <n v="20.6"/>
    <x v="1096"/>
    <x v="49"/>
    <x v="54"/>
    <x v="0"/>
    <x v="2"/>
    <x v="1"/>
    <x v="0"/>
    <x v="19"/>
    <x v="0"/>
    <x v="7"/>
    <x v="0"/>
  </r>
  <r>
    <x v="1316"/>
    <x v="12"/>
    <x v="2"/>
    <n v="37.1"/>
    <x v="1097"/>
    <x v="49"/>
    <x v="49"/>
    <x v="2"/>
    <x v="0"/>
    <x v="0"/>
    <x v="0"/>
    <x v="52"/>
    <x v="3"/>
    <x v="7"/>
    <x v="2"/>
  </r>
  <r>
    <x v="1317"/>
    <x v="12"/>
    <x v="0"/>
    <n v="104.8"/>
    <x v="661"/>
    <x v="50"/>
    <x v="56"/>
    <x v="2"/>
    <x v="0"/>
    <x v="0"/>
    <x v="0"/>
    <x v="13"/>
    <x v="1"/>
    <x v="7"/>
    <x v="2"/>
  </r>
  <r>
    <x v="1318"/>
    <x v="8"/>
    <x v="1"/>
    <n v="59"/>
    <x v="1098"/>
    <x v="50"/>
    <x v="47"/>
    <x v="1"/>
    <x v="1"/>
    <x v="0"/>
    <x v="0"/>
    <x v="21"/>
    <x v="3"/>
    <x v="7"/>
    <x v="1"/>
  </r>
  <r>
    <x v="1319"/>
    <x v="8"/>
    <x v="1"/>
    <n v="32.299999999999997"/>
    <x v="1099"/>
    <x v="50"/>
    <x v="47"/>
    <x v="1"/>
    <x v="0"/>
    <x v="2"/>
    <x v="0"/>
    <x v="21"/>
    <x v="3"/>
    <x v="7"/>
    <x v="1"/>
  </r>
  <r>
    <x v="1320"/>
    <x v="8"/>
    <x v="12"/>
    <n v="28.9"/>
    <x v="446"/>
    <x v="50"/>
    <x v="53"/>
    <x v="1"/>
    <x v="0"/>
    <x v="0"/>
    <x v="0"/>
    <x v="1"/>
    <x v="6"/>
    <x v="7"/>
    <x v="1"/>
  </r>
  <r>
    <x v="1321"/>
    <x v="0"/>
    <x v="1"/>
    <n v="29.6"/>
    <x v="1100"/>
    <x v="50"/>
    <x v="56"/>
    <x v="1"/>
    <x v="0"/>
    <x v="0"/>
    <x v="0"/>
    <x v="1"/>
    <x v="1"/>
    <x v="7"/>
    <x v="1"/>
  </r>
  <r>
    <x v="1322"/>
    <x v="0"/>
    <x v="9"/>
    <n v="29.4"/>
    <x v="926"/>
    <x v="50"/>
    <x v="55"/>
    <x v="2"/>
    <x v="0"/>
    <x v="0"/>
    <x v="0"/>
    <x v="1"/>
    <x v="2"/>
    <x v="7"/>
    <x v="2"/>
  </r>
  <r>
    <x v="1323"/>
    <x v="1"/>
    <x v="1"/>
    <n v="40.6"/>
    <x v="1101"/>
    <x v="50"/>
    <x v="47"/>
    <x v="1"/>
    <x v="0"/>
    <x v="4"/>
    <x v="0"/>
    <x v="2"/>
    <x v="3"/>
    <x v="7"/>
    <x v="1"/>
  </r>
  <r>
    <x v="1324"/>
    <x v="0"/>
    <x v="2"/>
    <n v="32.5"/>
    <x v="647"/>
    <x v="50"/>
    <x v="47"/>
    <x v="1"/>
    <x v="3"/>
    <x v="2"/>
    <x v="0"/>
    <x v="22"/>
    <x v="3"/>
    <x v="7"/>
    <x v="1"/>
  </r>
  <r>
    <x v="1325"/>
    <x v="15"/>
    <x v="0"/>
    <n v="26.2"/>
    <x v="1102"/>
    <x v="50"/>
    <x v="56"/>
    <x v="1"/>
    <x v="2"/>
    <x v="0"/>
    <x v="0"/>
    <x v="55"/>
    <x v="1"/>
    <x v="7"/>
    <x v="1"/>
  </r>
  <r>
    <x v="1326"/>
    <x v="10"/>
    <x v="17"/>
    <n v="44"/>
    <x v="1103"/>
    <x v="50"/>
    <x v="52"/>
    <x v="1"/>
    <x v="4"/>
    <x v="0"/>
    <x v="0"/>
    <x v="3"/>
    <x v="4"/>
    <x v="7"/>
    <x v="1"/>
  </r>
  <r>
    <x v="1327"/>
    <x v="7"/>
    <x v="12"/>
    <n v="65.599999999999994"/>
    <x v="1104"/>
    <x v="50"/>
    <x v="47"/>
    <x v="2"/>
    <x v="1"/>
    <x v="1"/>
    <x v="0"/>
    <x v="3"/>
    <x v="3"/>
    <x v="7"/>
    <x v="2"/>
  </r>
  <r>
    <x v="1328"/>
    <x v="5"/>
    <x v="4"/>
    <n v="32.6"/>
    <x v="1105"/>
    <x v="50"/>
    <x v="47"/>
    <x v="1"/>
    <x v="4"/>
    <x v="0"/>
    <x v="0"/>
    <x v="3"/>
    <x v="3"/>
    <x v="7"/>
    <x v="1"/>
  </r>
  <r>
    <x v="1329"/>
    <x v="16"/>
    <x v="1"/>
    <n v="88.7"/>
    <x v="633"/>
    <x v="50"/>
    <x v="47"/>
    <x v="0"/>
    <x v="3"/>
    <x v="2"/>
    <x v="0"/>
    <x v="3"/>
    <x v="3"/>
    <x v="7"/>
    <x v="0"/>
  </r>
  <r>
    <x v="1330"/>
    <x v="4"/>
    <x v="1"/>
    <n v="21.3"/>
    <x v="440"/>
    <x v="50"/>
    <x v="47"/>
    <x v="1"/>
    <x v="0"/>
    <x v="0"/>
    <x v="0"/>
    <x v="3"/>
    <x v="3"/>
    <x v="7"/>
    <x v="1"/>
  </r>
  <r>
    <x v="1331"/>
    <x v="4"/>
    <x v="13"/>
    <n v="50.6"/>
    <x v="80"/>
    <x v="50"/>
    <x v="54"/>
    <x v="2"/>
    <x v="2"/>
    <x v="0"/>
    <x v="0"/>
    <x v="3"/>
    <x v="5"/>
    <x v="7"/>
    <x v="2"/>
  </r>
  <r>
    <x v="1332"/>
    <x v="9"/>
    <x v="38"/>
    <n v="86.9"/>
    <x v="1106"/>
    <x v="50"/>
    <x v="55"/>
    <x v="2"/>
    <x v="0"/>
    <x v="1"/>
    <x v="0"/>
    <x v="3"/>
    <x v="2"/>
    <x v="7"/>
    <x v="2"/>
  </r>
  <r>
    <x v="1333"/>
    <x v="11"/>
    <x v="2"/>
    <n v="31.8"/>
    <x v="233"/>
    <x v="50"/>
    <x v="56"/>
    <x v="1"/>
    <x v="0"/>
    <x v="2"/>
    <x v="0"/>
    <x v="3"/>
    <x v="1"/>
    <x v="7"/>
    <x v="1"/>
  </r>
  <r>
    <x v="1334"/>
    <x v="8"/>
    <x v="0"/>
    <n v="19"/>
    <x v="134"/>
    <x v="50"/>
    <x v="47"/>
    <x v="2"/>
    <x v="0"/>
    <x v="2"/>
    <x v="0"/>
    <x v="3"/>
    <x v="3"/>
    <x v="7"/>
    <x v="2"/>
  </r>
  <r>
    <x v="1335"/>
    <x v="5"/>
    <x v="0"/>
    <n v="54.5"/>
    <x v="1107"/>
    <x v="50"/>
    <x v="56"/>
    <x v="1"/>
    <x v="0"/>
    <x v="0"/>
    <x v="0"/>
    <x v="3"/>
    <x v="1"/>
    <x v="7"/>
    <x v="1"/>
  </r>
  <r>
    <x v="1336"/>
    <x v="9"/>
    <x v="9"/>
    <n v="68.900000000000006"/>
    <x v="1108"/>
    <x v="50"/>
    <x v="56"/>
    <x v="1"/>
    <x v="4"/>
    <x v="1"/>
    <x v="0"/>
    <x v="3"/>
    <x v="1"/>
    <x v="7"/>
    <x v="1"/>
  </r>
  <r>
    <x v="1337"/>
    <x v="6"/>
    <x v="2"/>
    <n v="84"/>
    <x v="816"/>
    <x v="50"/>
    <x v="47"/>
    <x v="1"/>
    <x v="1"/>
    <x v="4"/>
    <x v="0"/>
    <x v="16"/>
    <x v="3"/>
    <x v="7"/>
    <x v="1"/>
  </r>
  <r>
    <x v="1338"/>
    <x v="15"/>
    <x v="8"/>
    <n v="23.1"/>
    <x v="827"/>
    <x v="50"/>
    <x v="51"/>
    <x v="1"/>
    <x v="0"/>
    <x v="2"/>
    <x v="0"/>
    <x v="23"/>
    <x v="0"/>
    <x v="7"/>
    <x v="1"/>
  </r>
  <r>
    <x v="1339"/>
    <x v="7"/>
    <x v="1"/>
    <n v="62.4"/>
    <x v="1109"/>
    <x v="50"/>
    <x v="47"/>
    <x v="2"/>
    <x v="0"/>
    <x v="1"/>
    <x v="0"/>
    <x v="6"/>
    <x v="3"/>
    <x v="7"/>
    <x v="2"/>
  </r>
  <r>
    <x v="1340"/>
    <x v="6"/>
    <x v="4"/>
    <n v="40.700000000000003"/>
    <x v="1110"/>
    <x v="50"/>
    <x v="56"/>
    <x v="1"/>
    <x v="1"/>
    <x v="2"/>
    <x v="0"/>
    <x v="6"/>
    <x v="1"/>
    <x v="7"/>
    <x v="1"/>
  </r>
  <r>
    <x v="1341"/>
    <x v="6"/>
    <x v="0"/>
    <n v="49.6"/>
    <x v="1111"/>
    <x v="50"/>
    <x v="55"/>
    <x v="1"/>
    <x v="2"/>
    <x v="0"/>
    <x v="0"/>
    <x v="7"/>
    <x v="2"/>
    <x v="7"/>
    <x v="1"/>
  </r>
  <r>
    <x v="1342"/>
    <x v="7"/>
    <x v="41"/>
    <n v="66.599999999999994"/>
    <x v="1112"/>
    <x v="50"/>
    <x v="55"/>
    <x v="1"/>
    <x v="2"/>
    <x v="0"/>
    <x v="0"/>
    <x v="8"/>
    <x v="2"/>
    <x v="7"/>
    <x v="1"/>
  </r>
  <r>
    <x v="1343"/>
    <x v="8"/>
    <x v="2"/>
    <n v="26.4"/>
    <x v="1113"/>
    <x v="50"/>
    <x v="47"/>
    <x v="2"/>
    <x v="1"/>
    <x v="1"/>
    <x v="0"/>
    <x v="8"/>
    <x v="3"/>
    <x v="7"/>
    <x v="2"/>
  </r>
  <r>
    <x v="1344"/>
    <x v="0"/>
    <x v="1"/>
    <n v="17.2"/>
    <x v="1114"/>
    <x v="50"/>
    <x v="55"/>
    <x v="1"/>
    <x v="2"/>
    <x v="1"/>
    <x v="0"/>
    <x v="8"/>
    <x v="2"/>
    <x v="7"/>
    <x v="1"/>
  </r>
  <r>
    <x v="1345"/>
    <x v="5"/>
    <x v="8"/>
    <n v="58.1"/>
    <x v="1115"/>
    <x v="50"/>
    <x v="55"/>
    <x v="2"/>
    <x v="4"/>
    <x v="0"/>
    <x v="0"/>
    <x v="8"/>
    <x v="2"/>
    <x v="7"/>
    <x v="2"/>
  </r>
  <r>
    <x v="1346"/>
    <x v="15"/>
    <x v="12"/>
    <n v="31.5"/>
    <x v="624"/>
    <x v="50"/>
    <x v="55"/>
    <x v="2"/>
    <x v="4"/>
    <x v="4"/>
    <x v="0"/>
    <x v="8"/>
    <x v="2"/>
    <x v="7"/>
    <x v="2"/>
  </r>
  <r>
    <x v="1347"/>
    <x v="0"/>
    <x v="0"/>
    <n v="27.1"/>
    <x v="1116"/>
    <x v="50"/>
    <x v="56"/>
    <x v="2"/>
    <x v="0"/>
    <x v="1"/>
    <x v="0"/>
    <x v="17"/>
    <x v="1"/>
    <x v="7"/>
    <x v="2"/>
  </r>
  <r>
    <x v="1348"/>
    <x v="18"/>
    <x v="12"/>
    <n v="28.5"/>
    <x v="717"/>
    <x v="50"/>
    <x v="56"/>
    <x v="1"/>
    <x v="1"/>
    <x v="2"/>
    <x v="0"/>
    <x v="9"/>
    <x v="1"/>
    <x v="7"/>
    <x v="1"/>
  </r>
  <r>
    <x v="1349"/>
    <x v="10"/>
    <x v="0"/>
    <n v="40.5"/>
    <x v="1117"/>
    <x v="51"/>
    <x v="55"/>
    <x v="3"/>
    <x v="2"/>
    <x v="0"/>
    <x v="0"/>
    <x v="9"/>
    <x v="1"/>
    <x v="7"/>
    <x v="3"/>
  </r>
  <r>
    <x v="1350"/>
    <x v="2"/>
    <x v="2"/>
    <n v="77.900000000000006"/>
    <x v="1118"/>
    <x v="51"/>
    <x v="51"/>
    <x v="2"/>
    <x v="1"/>
    <x v="2"/>
    <x v="0"/>
    <x v="19"/>
    <x v="5"/>
    <x v="7"/>
    <x v="2"/>
  </r>
  <r>
    <x v="1351"/>
    <x v="18"/>
    <x v="12"/>
    <n v="37.1"/>
    <x v="1119"/>
    <x v="51"/>
    <x v="55"/>
    <x v="1"/>
    <x v="4"/>
    <x v="2"/>
    <x v="0"/>
    <x v="19"/>
    <x v="1"/>
    <x v="7"/>
    <x v="1"/>
  </r>
  <r>
    <x v="1352"/>
    <x v="16"/>
    <x v="2"/>
    <n v="51.6"/>
    <x v="1120"/>
    <x v="51"/>
    <x v="59"/>
    <x v="2"/>
    <x v="0"/>
    <x v="4"/>
    <x v="0"/>
    <x v="19"/>
    <x v="9"/>
    <x v="7"/>
    <x v="2"/>
  </r>
  <r>
    <x v="1353"/>
    <x v="7"/>
    <x v="2"/>
    <n v="98"/>
    <x v="1121"/>
    <x v="51"/>
    <x v="56"/>
    <x v="1"/>
    <x v="1"/>
    <x v="1"/>
    <x v="0"/>
    <x v="19"/>
    <x v="3"/>
    <x v="7"/>
    <x v="1"/>
  </r>
  <r>
    <x v="1354"/>
    <x v="6"/>
    <x v="3"/>
    <n v="41.4"/>
    <x v="1122"/>
    <x v="51"/>
    <x v="56"/>
    <x v="1"/>
    <x v="1"/>
    <x v="0"/>
    <x v="0"/>
    <x v="20"/>
    <x v="3"/>
    <x v="7"/>
    <x v="1"/>
  </r>
  <r>
    <x v="1355"/>
    <x v="11"/>
    <x v="8"/>
    <n v="34"/>
    <x v="1123"/>
    <x v="51"/>
    <x v="52"/>
    <x v="2"/>
    <x v="0"/>
    <x v="2"/>
    <x v="0"/>
    <x v="52"/>
    <x v="0"/>
    <x v="7"/>
    <x v="2"/>
  </r>
  <r>
    <x v="1356"/>
    <x v="6"/>
    <x v="0"/>
    <n v="66.3"/>
    <x v="1124"/>
    <x v="51"/>
    <x v="56"/>
    <x v="2"/>
    <x v="1"/>
    <x v="0"/>
    <x v="0"/>
    <x v="13"/>
    <x v="3"/>
    <x v="7"/>
    <x v="2"/>
  </r>
  <r>
    <x v="1357"/>
    <x v="7"/>
    <x v="0"/>
    <n v="33.5"/>
    <x v="253"/>
    <x v="51"/>
    <x v="51"/>
    <x v="1"/>
    <x v="2"/>
    <x v="0"/>
    <x v="0"/>
    <x v="13"/>
    <x v="5"/>
    <x v="7"/>
    <x v="1"/>
  </r>
  <r>
    <x v="1358"/>
    <x v="12"/>
    <x v="1"/>
    <n v="70.8"/>
    <x v="932"/>
    <x v="51"/>
    <x v="56"/>
    <x v="0"/>
    <x v="0"/>
    <x v="0"/>
    <x v="0"/>
    <x v="28"/>
    <x v="3"/>
    <x v="7"/>
    <x v="0"/>
  </r>
  <r>
    <x v="1359"/>
    <x v="6"/>
    <x v="1"/>
    <n v="127.6"/>
    <x v="281"/>
    <x v="51"/>
    <x v="56"/>
    <x v="1"/>
    <x v="0"/>
    <x v="0"/>
    <x v="0"/>
    <x v="21"/>
    <x v="3"/>
    <x v="7"/>
    <x v="1"/>
  </r>
  <r>
    <x v="1360"/>
    <x v="6"/>
    <x v="2"/>
    <n v="95.9"/>
    <x v="1125"/>
    <x v="51"/>
    <x v="56"/>
    <x v="2"/>
    <x v="1"/>
    <x v="1"/>
    <x v="0"/>
    <x v="21"/>
    <x v="3"/>
    <x v="7"/>
    <x v="2"/>
  </r>
  <r>
    <x v="1361"/>
    <x v="2"/>
    <x v="1"/>
    <n v="78.099999999999994"/>
    <x v="1126"/>
    <x v="51"/>
    <x v="56"/>
    <x v="1"/>
    <x v="0"/>
    <x v="0"/>
    <x v="0"/>
    <x v="1"/>
    <x v="3"/>
    <x v="7"/>
    <x v="1"/>
  </r>
  <r>
    <x v="1362"/>
    <x v="13"/>
    <x v="1"/>
    <n v="43.2"/>
    <x v="781"/>
    <x v="51"/>
    <x v="56"/>
    <x v="0"/>
    <x v="1"/>
    <x v="1"/>
    <x v="0"/>
    <x v="1"/>
    <x v="3"/>
    <x v="7"/>
    <x v="0"/>
  </r>
  <r>
    <x v="1363"/>
    <x v="8"/>
    <x v="12"/>
    <n v="28.4"/>
    <x v="1127"/>
    <x v="51"/>
    <x v="53"/>
    <x v="1"/>
    <x v="2"/>
    <x v="0"/>
    <x v="0"/>
    <x v="3"/>
    <x v="4"/>
    <x v="7"/>
    <x v="1"/>
  </r>
  <r>
    <x v="1364"/>
    <x v="2"/>
    <x v="1"/>
    <n v="81.7"/>
    <x v="1128"/>
    <x v="51"/>
    <x v="47"/>
    <x v="1"/>
    <x v="0"/>
    <x v="0"/>
    <x v="0"/>
    <x v="3"/>
    <x v="7"/>
    <x v="7"/>
    <x v="1"/>
  </r>
  <r>
    <x v="1365"/>
    <x v="18"/>
    <x v="1"/>
    <n v="56.7"/>
    <x v="1129"/>
    <x v="51"/>
    <x v="55"/>
    <x v="0"/>
    <x v="0"/>
    <x v="2"/>
    <x v="0"/>
    <x v="3"/>
    <x v="1"/>
    <x v="7"/>
    <x v="0"/>
  </r>
  <r>
    <x v="1366"/>
    <x v="3"/>
    <x v="12"/>
    <n v="66.5"/>
    <x v="751"/>
    <x v="51"/>
    <x v="47"/>
    <x v="2"/>
    <x v="0"/>
    <x v="2"/>
    <x v="0"/>
    <x v="3"/>
    <x v="7"/>
    <x v="7"/>
    <x v="2"/>
  </r>
  <r>
    <x v="1367"/>
    <x v="1"/>
    <x v="1"/>
    <n v="105.3"/>
    <x v="1130"/>
    <x v="51"/>
    <x v="51"/>
    <x v="1"/>
    <x v="0"/>
    <x v="1"/>
    <x v="0"/>
    <x v="3"/>
    <x v="5"/>
    <x v="7"/>
    <x v="1"/>
  </r>
  <r>
    <x v="1368"/>
    <x v="10"/>
    <x v="9"/>
    <n v="33.799999999999997"/>
    <x v="900"/>
    <x v="51"/>
    <x v="52"/>
    <x v="1"/>
    <x v="0"/>
    <x v="0"/>
    <x v="0"/>
    <x v="3"/>
    <x v="0"/>
    <x v="7"/>
    <x v="1"/>
  </r>
  <r>
    <x v="1369"/>
    <x v="6"/>
    <x v="2"/>
    <n v="63.4"/>
    <x v="1131"/>
    <x v="51"/>
    <x v="52"/>
    <x v="1"/>
    <x v="3"/>
    <x v="1"/>
    <x v="0"/>
    <x v="24"/>
    <x v="0"/>
    <x v="7"/>
    <x v="1"/>
  </r>
  <r>
    <x v="1370"/>
    <x v="6"/>
    <x v="2"/>
    <n v="49"/>
    <x v="926"/>
    <x v="51"/>
    <x v="51"/>
    <x v="1"/>
    <x v="3"/>
    <x v="0"/>
    <x v="0"/>
    <x v="49"/>
    <x v="5"/>
    <x v="7"/>
    <x v="1"/>
  </r>
  <r>
    <x v="1371"/>
    <x v="1"/>
    <x v="1"/>
    <n v="40"/>
    <x v="479"/>
    <x v="51"/>
    <x v="56"/>
    <x v="2"/>
    <x v="4"/>
    <x v="1"/>
    <x v="0"/>
    <x v="23"/>
    <x v="3"/>
    <x v="7"/>
    <x v="2"/>
  </r>
  <r>
    <x v="1372"/>
    <x v="6"/>
    <x v="12"/>
    <n v="86.3"/>
    <x v="1132"/>
    <x v="51"/>
    <x v="56"/>
    <x v="3"/>
    <x v="0"/>
    <x v="0"/>
    <x v="0"/>
    <x v="6"/>
    <x v="3"/>
    <x v="7"/>
    <x v="3"/>
  </r>
  <r>
    <x v="1373"/>
    <x v="6"/>
    <x v="0"/>
    <n v="51.6"/>
    <x v="937"/>
    <x v="51"/>
    <x v="55"/>
    <x v="2"/>
    <x v="2"/>
    <x v="2"/>
    <x v="0"/>
    <x v="6"/>
    <x v="1"/>
    <x v="7"/>
    <x v="2"/>
  </r>
  <r>
    <x v="1374"/>
    <x v="10"/>
    <x v="2"/>
    <n v="26.7"/>
    <x v="1133"/>
    <x v="51"/>
    <x v="52"/>
    <x v="2"/>
    <x v="2"/>
    <x v="1"/>
    <x v="0"/>
    <x v="6"/>
    <x v="0"/>
    <x v="7"/>
    <x v="2"/>
  </r>
  <r>
    <x v="1375"/>
    <x v="18"/>
    <x v="1"/>
    <n v="68.099999999999994"/>
    <x v="1134"/>
    <x v="51"/>
    <x v="56"/>
    <x v="1"/>
    <x v="0"/>
    <x v="1"/>
    <x v="0"/>
    <x v="6"/>
    <x v="3"/>
    <x v="7"/>
    <x v="1"/>
  </r>
  <r>
    <x v="1376"/>
    <x v="1"/>
    <x v="0"/>
    <n v="81.7"/>
    <x v="1135"/>
    <x v="51"/>
    <x v="56"/>
    <x v="1"/>
    <x v="0"/>
    <x v="0"/>
    <x v="0"/>
    <x v="7"/>
    <x v="3"/>
    <x v="7"/>
    <x v="1"/>
  </r>
  <r>
    <x v="1377"/>
    <x v="18"/>
    <x v="7"/>
    <n v="25.1"/>
    <x v="1136"/>
    <x v="51"/>
    <x v="54"/>
    <x v="1"/>
    <x v="3"/>
    <x v="1"/>
    <x v="0"/>
    <x v="8"/>
    <x v="2"/>
    <x v="7"/>
    <x v="1"/>
  </r>
  <r>
    <x v="1378"/>
    <x v="8"/>
    <x v="0"/>
    <n v="20.2"/>
    <x v="1137"/>
    <x v="51"/>
    <x v="51"/>
    <x v="2"/>
    <x v="0"/>
    <x v="0"/>
    <x v="0"/>
    <x v="8"/>
    <x v="5"/>
    <x v="7"/>
    <x v="2"/>
  </r>
  <r>
    <x v="1379"/>
    <x v="8"/>
    <x v="2"/>
    <n v="15.4"/>
    <x v="1063"/>
    <x v="51"/>
    <x v="56"/>
    <x v="1"/>
    <x v="1"/>
    <x v="2"/>
    <x v="0"/>
    <x v="8"/>
    <x v="3"/>
    <x v="7"/>
    <x v="1"/>
  </r>
  <r>
    <x v="1380"/>
    <x v="10"/>
    <x v="0"/>
    <n v="59.2"/>
    <x v="1100"/>
    <x v="51"/>
    <x v="56"/>
    <x v="1"/>
    <x v="2"/>
    <x v="2"/>
    <x v="0"/>
    <x v="17"/>
    <x v="3"/>
    <x v="7"/>
    <x v="1"/>
  </r>
  <r>
    <x v="1381"/>
    <x v="0"/>
    <x v="0"/>
    <n v="46.7"/>
    <x v="594"/>
    <x v="51"/>
    <x v="52"/>
    <x v="1"/>
    <x v="0"/>
    <x v="0"/>
    <x v="0"/>
    <x v="17"/>
    <x v="0"/>
    <x v="7"/>
    <x v="1"/>
  </r>
  <r>
    <x v="1382"/>
    <x v="6"/>
    <x v="20"/>
    <n v="41.6"/>
    <x v="1138"/>
    <x v="51"/>
    <x v="55"/>
    <x v="1"/>
    <x v="1"/>
    <x v="0"/>
    <x v="0"/>
    <x v="26"/>
    <x v="1"/>
    <x v="7"/>
    <x v="1"/>
  </r>
  <r>
    <x v="1383"/>
    <x v="8"/>
    <x v="1"/>
    <n v="19.2"/>
    <x v="1139"/>
    <x v="51"/>
    <x v="54"/>
    <x v="1"/>
    <x v="4"/>
    <x v="2"/>
    <x v="0"/>
    <x v="9"/>
    <x v="2"/>
    <x v="7"/>
    <x v="1"/>
  </r>
  <r>
    <x v="1384"/>
    <x v="17"/>
    <x v="3"/>
    <n v="41.8"/>
    <x v="1140"/>
    <x v="51"/>
    <x v="55"/>
    <x v="2"/>
    <x v="2"/>
    <x v="0"/>
    <x v="0"/>
    <x v="11"/>
    <x v="1"/>
    <x v="7"/>
    <x v="2"/>
  </r>
  <r>
    <x v="1385"/>
    <x v="8"/>
    <x v="13"/>
    <n v="37.4"/>
    <x v="1141"/>
    <x v="51"/>
    <x v="55"/>
    <x v="1"/>
    <x v="0"/>
    <x v="2"/>
    <x v="0"/>
    <x v="11"/>
    <x v="1"/>
    <x v="7"/>
    <x v="1"/>
  </r>
  <r>
    <x v="1386"/>
    <x v="10"/>
    <x v="2"/>
    <n v="60.2"/>
    <x v="1142"/>
    <x v="51"/>
    <x v="54"/>
    <x v="1"/>
    <x v="4"/>
    <x v="1"/>
    <x v="0"/>
    <x v="38"/>
    <x v="2"/>
    <x v="7"/>
    <x v="1"/>
  </r>
  <r>
    <x v="1387"/>
    <x v="9"/>
    <x v="1"/>
    <n v="91.5"/>
    <x v="1143"/>
    <x v="52"/>
    <x v="55"/>
    <x v="1"/>
    <x v="0"/>
    <x v="0"/>
    <x v="0"/>
    <x v="13"/>
    <x v="3"/>
    <x v="7"/>
    <x v="1"/>
  </r>
  <r>
    <x v="1388"/>
    <x v="3"/>
    <x v="9"/>
    <n v="55.7"/>
    <x v="1144"/>
    <x v="52"/>
    <x v="54"/>
    <x v="0"/>
    <x v="1"/>
    <x v="2"/>
    <x v="0"/>
    <x v="21"/>
    <x v="1"/>
    <x v="7"/>
    <x v="0"/>
  </r>
  <r>
    <x v="1389"/>
    <x v="7"/>
    <x v="1"/>
    <n v="76.7"/>
    <x v="1145"/>
    <x v="52"/>
    <x v="54"/>
    <x v="1"/>
    <x v="0"/>
    <x v="1"/>
    <x v="0"/>
    <x v="21"/>
    <x v="1"/>
    <x v="7"/>
    <x v="1"/>
  </r>
  <r>
    <x v="1390"/>
    <x v="8"/>
    <x v="38"/>
    <n v="28.2"/>
    <x v="1146"/>
    <x v="52"/>
    <x v="53"/>
    <x v="1"/>
    <x v="2"/>
    <x v="0"/>
    <x v="0"/>
    <x v="1"/>
    <x v="0"/>
    <x v="7"/>
    <x v="1"/>
  </r>
  <r>
    <x v="1391"/>
    <x v="7"/>
    <x v="9"/>
    <n v="93.2"/>
    <x v="1147"/>
    <x v="52"/>
    <x v="54"/>
    <x v="2"/>
    <x v="4"/>
    <x v="2"/>
    <x v="0"/>
    <x v="1"/>
    <x v="1"/>
    <x v="7"/>
    <x v="2"/>
  </r>
  <r>
    <x v="1392"/>
    <x v="17"/>
    <x v="0"/>
    <n v="33.299999999999997"/>
    <x v="698"/>
    <x v="52"/>
    <x v="55"/>
    <x v="1"/>
    <x v="4"/>
    <x v="0"/>
    <x v="0"/>
    <x v="2"/>
    <x v="3"/>
    <x v="7"/>
    <x v="1"/>
  </r>
  <r>
    <x v="1393"/>
    <x v="10"/>
    <x v="1"/>
    <n v="39.1"/>
    <x v="1148"/>
    <x v="52"/>
    <x v="51"/>
    <x v="1"/>
    <x v="0"/>
    <x v="0"/>
    <x v="0"/>
    <x v="44"/>
    <x v="2"/>
    <x v="7"/>
    <x v="1"/>
  </r>
  <r>
    <x v="1394"/>
    <x v="7"/>
    <x v="4"/>
    <n v="45.3"/>
    <x v="1149"/>
    <x v="52"/>
    <x v="55"/>
    <x v="1"/>
    <x v="2"/>
    <x v="0"/>
    <x v="0"/>
    <x v="33"/>
    <x v="3"/>
    <x v="7"/>
    <x v="1"/>
  </r>
  <r>
    <x v="1395"/>
    <x v="9"/>
    <x v="3"/>
    <n v="33.9"/>
    <x v="1150"/>
    <x v="52"/>
    <x v="55"/>
    <x v="1"/>
    <x v="4"/>
    <x v="0"/>
    <x v="0"/>
    <x v="33"/>
    <x v="3"/>
    <x v="7"/>
    <x v="1"/>
  </r>
  <r>
    <x v="1396"/>
    <x v="8"/>
    <x v="2"/>
    <n v="19"/>
    <x v="933"/>
    <x v="52"/>
    <x v="55"/>
    <x v="1"/>
    <x v="0"/>
    <x v="2"/>
    <x v="0"/>
    <x v="15"/>
    <x v="3"/>
    <x v="7"/>
    <x v="1"/>
  </r>
  <r>
    <x v="1397"/>
    <x v="4"/>
    <x v="0"/>
    <n v="41.9"/>
    <x v="1151"/>
    <x v="52"/>
    <x v="51"/>
    <x v="2"/>
    <x v="2"/>
    <x v="0"/>
    <x v="0"/>
    <x v="22"/>
    <x v="2"/>
    <x v="7"/>
    <x v="2"/>
  </r>
  <r>
    <x v="1398"/>
    <x v="1"/>
    <x v="12"/>
    <n v="37.5"/>
    <x v="638"/>
    <x v="52"/>
    <x v="56"/>
    <x v="2"/>
    <x v="0"/>
    <x v="0"/>
    <x v="0"/>
    <x v="3"/>
    <x v="7"/>
    <x v="7"/>
    <x v="2"/>
  </r>
  <r>
    <x v="1399"/>
    <x v="0"/>
    <x v="1"/>
    <n v="40.799999999999997"/>
    <x v="330"/>
    <x v="52"/>
    <x v="51"/>
    <x v="1"/>
    <x v="0"/>
    <x v="0"/>
    <x v="0"/>
    <x v="3"/>
    <x v="2"/>
    <x v="7"/>
    <x v="1"/>
  </r>
  <r>
    <x v="1400"/>
    <x v="0"/>
    <x v="12"/>
    <n v="23.1"/>
    <x v="1152"/>
    <x v="52"/>
    <x v="55"/>
    <x v="2"/>
    <x v="4"/>
    <x v="0"/>
    <x v="0"/>
    <x v="3"/>
    <x v="3"/>
    <x v="7"/>
    <x v="2"/>
  </r>
  <r>
    <x v="1401"/>
    <x v="8"/>
    <x v="9"/>
    <n v="39.299999999999997"/>
    <x v="756"/>
    <x v="52"/>
    <x v="55"/>
    <x v="2"/>
    <x v="0"/>
    <x v="0"/>
    <x v="0"/>
    <x v="3"/>
    <x v="3"/>
    <x v="7"/>
    <x v="2"/>
  </r>
  <r>
    <x v="1402"/>
    <x v="2"/>
    <x v="12"/>
    <n v="85.2"/>
    <x v="1153"/>
    <x v="52"/>
    <x v="53"/>
    <x v="1"/>
    <x v="2"/>
    <x v="0"/>
    <x v="0"/>
    <x v="3"/>
    <x v="0"/>
    <x v="7"/>
    <x v="1"/>
  </r>
  <r>
    <x v="1403"/>
    <x v="8"/>
    <x v="13"/>
    <n v="16"/>
    <x v="854"/>
    <x v="52"/>
    <x v="51"/>
    <x v="1"/>
    <x v="1"/>
    <x v="0"/>
    <x v="0"/>
    <x v="3"/>
    <x v="2"/>
    <x v="7"/>
    <x v="1"/>
  </r>
  <r>
    <x v="1404"/>
    <x v="1"/>
    <x v="1"/>
    <n v="33.799999999999997"/>
    <x v="821"/>
    <x v="52"/>
    <x v="52"/>
    <x v="2"/>
    <x v="1"/>
    <x v="0"/>
    <x v="0"/>
    <x v="3"/>
    <x v="5"/>
    <x v="7"/>
    <x v="2"/>
  </r>
  <r>
    <x v="1405"/>
    <x v="3"/>
    <x v="0"/>
    <n v="70"/>
    <x v="1154"/>
    <x v="52"/>
    <x v="55"/>
    <x v="2"/>
    <x v="0"/>
    <x v="0"/>
    <x v="0"/>
    <x v="3"/>
    <x v="3"/>
    <x v="7"/>
    <x v="2"/>
  </r>
  <r>
    <x v="1406"/>
    <x v="9"/>
    <x v="0"/>
    <n v="88"/>
    <x v="1155"/>
    <x v="52"/>
    <x v="53"/>
    <x v="2"/>
    <x v="3"/>
    <x v="0"/>
    <x v="0"/>
    <x v="3"/>
    <x v="0"/>
    <x v="7"/>
    <x v="2"/>
  </r>
  <r>
    <x v="1407"/>
    <x v="2"/>
    <x v="2"/>
    <n v="74.099999999999994"/>
    <x v="1156"/>
    <x v="52"/>
    <x v="56"/>
    <x v="1"/>
    <x v="4"/>
    <x v="1"/>
    <x v="0"/>
    <x v="3"/>
    <x v="7"/>
    <x v="7"/>
    <x v="1"/>
  </r>
  <r>
    <x v="1408"/>
    <x v="2"/>
    <x v="0"/>
    <n v="161.9"/>
    <x v="1157"/>
    <x v="52"/>
    <x v="54"/>
    <x v="1"/>
    <x v="2"/>
    <x v="0"/>
    <x v="0"/>
    <x v="3"/>
    <x v="1"/>
    <x v="7"/>
    <x v="1"/>
  </r>
  <r>
    <x v="1409"/>
    <x v="4"/>
    <x v="1"/>
    <n v="44"/>
    <x v="1155"/>
    <x v="52"/>
    <x v="55"/>
    <x v="3"/>
    <x v="4"/>
    <x v="1"/>
    <x v="0"/>
    <x v="3"/>
    <x v="3"/>
    <x v="7"/>
    <x v="3"/>
  </r>
  <r>
    <x v="1410"/>
    <x v="11"/>
    <x v="0"/>
    <n v="32.1"/>
    <x v="1158"/>
    <x v="52"/>
    <x v="56"/>
    <x v="2"/>
    <x v="3"/>
    <x v="3"/>
    <x v="0"/>
    <x v="3"/>
    <x v="7"/>
    <x v="7"/>
    <x v="2"/>
  </r>
  <r>
    <x v="1411"/>
    <x v="2"/>
    <x v="12"/>
    <n v="104.8"/>
    <x v="1159"/>
    <x v="53"/>
    <x v="51"/>
    <x v="3"/>
    <x v="0"/>
    <x v="0"/>
    <x v="0"/>
    <x v="3"/>
    <x v="1"/>
    <x v="8"/>
    <x v="3"/>
  </r>
  <r>
    <x v="1412"/>
    <x v="9"/>
    <x v="13"/>
    <n v="67.400000000000006"/>
    <x v="1160"/>
    <x v="53"/>
    <x v="54"/>
    <x v="2"/>
    <x v="3"/>
    <x v="0"/>
    <x v="0"/>
    <x v="3"/>
    <x v="3"/>
    <x v="8"/>
    <x v="2"/>
  </r>
  <r>
    <x v="1413"/>
    <x v="6"/>
    <x v="1"/>
    <n v="115.2"/>
    <x v="1161"/>
    <x v="53"/>
    <x v="54"/>
    <x v="2"/>
    <x v="1"/>
    <x v="0"/>
    <x v="0"/>
    <x v="4"/>
    <x v="3"/>
    <x v="8"/>
    <x v="2"/>
  </r>
  <r>
    <x v="1414"/>
    <x v="8"/>
    <x v="19"/>
    <n v="15.5"/>
    <x v="148"/>
    <x v="53"/>
    <x v="51"/>
    <x v="2"/>
    <x v="0"/>
    <x v="1"/>
    <x v="0"/>
    <x v="23"/>
    <x v="1"/>
    <x v="8"/>
    <x v="2"/>
  </r>
  <r>
    <x v="1415"/>
    <x v="6"/>
    <x v="5"/>
    <n v="66.400000000000006"/>
    <x v="1162"/>
    <x v="53"/>
    <x v="51"/>
    <x v="2"/>
    <x v="0"/>
    <x v="0"/>
    <x v="0"/>
    <x v="6"/>
    <x v="1"/>
    <x v="8"/>
    <x v="2"/>
  </r>
  <r>
    <x v="1416"/>
    <x v="9"/>
    <x v="4"/>
    <n v="68.099999999999994"/>
    <x v="1163"/>
    <x v="53"/>
    <x v="54"/>
    <x v="2"/>
    <x v="2"/>
    <x v="0"/>
    <x v="0"/>
    <x v="8"/>
    <x v="3"/>
    <x v="8"/>
    <x v="2"/>
  </r>
  <r>
    <x v="1417"/>
    <x v="8"/>
    <x v="9"/>
    <n v="32.5"/>
    <x v="1164"/>
    <x v="53"/>
    <x v="53"/>
    <x v="1"/>
    <x v="2"/>
    <x v="1"/>
    <x v="0"/>
    <x v="8"/>
    <x v="5"/>
    <x v="8"/>
    <x v="1"/>
  </r>
  <r>
    <x v="1418"/>
    <x v="15"/>
    <x v="2"/>
    <n v="61.2"/>
    <x v="1165"/>
    <x v="53"/>
    <x v="51"/>
    <x v="2"/>
    <x v="1"/>
    <x v="1"/>
    <x v="0"/>
    <x v="8"/>
    <x v="1"/>
    <x v="8"/>
    <x v="2"/>
  </r>
  <r>
    <x v="1419"/>
    <x v="9"/>
    <x v="1"/>
    <n v="54.2"/>
    <x v="1061"/>
    <x v="53"/>
    <x v="54"/>
    <x v="2"/>
    <x v="1"/>
    <x v="0"/>
    <x v="0"/>
    <x v="8"/>
    <x v="3"/>
    <x v="8"/>
    <x v="2"/>
  </r>
  <r>
    <x v="1420"/>
    <x v="11"/>
    <x v="8"/>
    <n v="28.7"/>
    <x v="1166"/>
    <x v="53"/>
    <x v="51"/>
    <x v="1"/>
    <x v="1"/>
    <x v="0"/>
    <x v="0"/>
    <x v="9"/>
    <x v="1"/>
    <x v="8"/>
    <x v="1"/>
  </r>
  <r>
    <x v="1421"/>
    <x v="12"/>
    <x v="13"/>
    <n v="38.200000000000003"/>
    <x v="1167"/>
    <x v="53"/>
    <x v="53"/>
    <x v="2"/>
    <x v="0"/>
    <x v="1"/>
    <x v="0"/>
    <x v="9"/>
    <x v="5"/>
    <x v="8"/>
    <x v="2"/>
  </r>
  <r>
    <x v="1422"/>
    <x v="8"/>
    <x v="4"/>
    <n v="17.600000000000001"/>
    <x v="1168"/>
    <x v="53"/>
    <x v="54"/>
    <x v="2"/>
    <x v="2"/>
    <x v="1"/>
    <x v="0"/>
    <x v="9"/>
    <x v="3"/>
    <x v="8"/>
    <x v="2"/>
  </r>
  <r>
    <x v="1423"/>
    <x v="10"/>
    <x v="2"/>
    <n v="74.599999999999994"/>
    <x v="1169"/>
    <x v="53"/>
    <x v="55"/>
    <x v="2"/>
    <x v="2"/>
    <x v="0"/>
    <x v="0"/>
    <x v="11"/>
    <x v="7"/>
    <x v="8"/>
    <x v="2"/>
  </r>
  <r>
    <x v="1424"/>
    <x v="16"/>
    <x v="20"/>
    <n v="72.599999999999994"/>
    <x v="1170"/>
    <x v="53"/>
    <x v="55"/>
    <x v="0"/>
    <x v="1"/>
    <x v="1"/>
    <x v="0"/>
    <x v="11"/>
    <x v="7"/>
    <x v="8"/>
    <x v="0"/>
  </r>
  <r>
    <x v="1425"/>
    <x v="7"/>
    <x v="0"/>
    <n v="62.3"/>
    <x v="1030"/>
    <x v="53"/>
    <x v="54"/>
    <x v="2"/>
    <x v="1"/>
    <x v="0"/>
    <x v="0"/>
    <x v="11"/>
    <x v="3"/>
    <x v="8"/>
    <x v="2"/>
  </r>
  <r>
    <x v="1426"/>
    <x v="3"/>
    <x v="2"/>
    <n v="33.799999999999997"/>
    <x v="1171"/>
    <x v="53"/>
    <x v="51"/>
    <x v="1"/>
    <x v="0"/>
    <x v="2"/>
    <x v="0"/>
    <x v="20"/>
    <x v="1"/>
    <x v="8"/>
    <x v="1"/>
  </r>
  <r>
    <x v="1427"/>
    <x v="9"/>
    <x v="0"/>
    <n v="85.7"/>
    <x v="1172"/>
    <x v="53"/>
    <x v="52"/>
    <x v="1"/>
    <x v="3"/>
    <x v="1"/>
    <x v="0"/>
    <x v="21"/>
    <x v="2"/>
    <x v="8"/>
    <x v="1"/>
  </r>
  <r>
    <x v="1428"/>
    <x v="6"/>
    <x v="1"/>
    <n v="92.1"/>
    <x v="1173"/>
    <x v="53"/>
    <x v="51"/>
    <x v="1"/>
    <x v="1"/>
    <x v="0"/>
    <x v="0"/>
    <x v="21"/>
    <x v="1"/>
    <x v="8"/>
    <x v="1"/>
  </r>
  <r>
    <x v="1429"/>
    <x v="16"/>
    <x v="2"/>
    <n v="65.099999999999994"/>
    <x v="1174"/>
    <x v="53"/>
    <x v="52"/>
    <x v="1"/>
    <x v="0"/>
    <x v="0"/>
    <x v="0"/>
    <x v="1"/>
    <x v="2"/>
    <x v="8"/>
    <x v="1"/>
  </r>
  <r>
    <x v="1430"/>
    <x v="9"/>
    <x v="3"/>
    <n v="20.3"/>
    <x v="1175"/>
    <x v="53"/>
    <x v="54"/>
    <x v="2"/>
    <x v="2"/>
    <x v="2"/>
    <x v="0"/>
    <x v="2"/>
    <x v="3"/>
    <x v="8"/>
    <x v="2"/>
  </r>
  <r>
    <x v="1431"/>
    <x v="19"/>
    <x v="1"/>
    <n v="29.8"/>
    <x v="1176"/>
    <x v="53"/>
    <x v="51"/>
    <x v="2"/>
    <x v="1"/>
    <x v="2"/>
    <x v="0"/>
    <x v="34"/>
    <x v="1"/>
    <x v="8"/>
    <x v="2"/>
  </r>
  <r>
    <x v="1432"/>
    <x v="0"/>
    <x v="1"/>
    <n v="24.2"/>
    <x v="655"/>
    <x v="53"/>
    <x v="51"/>
    <x v="2"/>
    <x v="3"/>
    <x v="2"/>
    <x v="0"/>
    <x v="3"/>
    <x v="1"/>
    <x v="8"/>
    <x v="2"/>
  </r>
  <r>
    <x v="1433"/>
    <x v="3"/>
    <x v="0"/>
    <n v="57.3"/>
    <x v="1177"/>
    <x v="53"/>
    <x v="51"/>
    <x v="1"/>
    <x v="0"/>
    <x v="0"/>
    <x v="0"/>
    <x v="3"/>
    <x v="1"/>
    <x v="8"/>
    <x v="1"/>
  </r>
  <r>
    <x v="1434"/>
    <x v="2"/>
    <x v="0"/>
    <n v="108.9"/>
    <x v="1178"/>
    <x v="53"/>
    <x v="51"/>
    <x v="2"/>
    <x v="1"/>
    <x v="0"/>
    <x v="0"/>
    <x v="3"/>
    <x v="1"/>
    <x v="8"/>
    <x v="2"/>
  </r>
  <r>
    <x v="1435"/>
    <x v="7"/>
    <x v="9"/>
    <n v="50.7"/>
    <x v="103"/>
    <x v="53"/>
    <x v="54"/>
    <x v="2"/>
    <x v="0"/>
    <x v="0"/>
    <x v="0"/>
    <x v="3"/>
    <x v="3"/>
    <x v="8"/>
    <x v="2"/>
  </r>
  <r>
    <x v="1436"/>
    <x v="7"/>
    <x v="11"/>
    <n v="66.099999999999994"/>
    <x v="1179"/>
    <x v="53"/>
    <x v="60"/>
    <x v="2"/>
    <x v="1"/>
    <x v="0"/>
    <x v="0"/>
    <x v="3"/>
    <x v="12"/>
    <x v="8"/>
    <x v="2"/>
  </r>
  <r>
    <x v="1437"/>
    <x v="12"/>
    <x v="9"/>
    <n v="36.700000000000003"/>
    <x v="1180"/>
    <x v="53"/>
    <x v="53"/>
    <x v="2"/>
    <x v="4"/>
    <x v="0"/>
    <x v="0"/>
    <x v="3"/>
    <x v="5"/>
    <x v="8"/>
    <x v="2"/>
  </r>
  <r>
    <x v="1438"/>
    <x v="8"/>
    <x v="14"/>
    <n v="19.3"/>
    <x v="1181"/>
    <x v="53"/>
    <x v="51"/>
    <x v="1"/>
    <x v="0"/>
    <x v="0"/>
    <x v="0"/>
    <x v="43"/>
    <x v="1"/>
    <x v="8"/>
    <x v="1"/>
  </r>
  <r>
    <x v="1439"/>
    <x v="8"/>
    <x v="12"/>
    <n v="20.7"/>
    <x v="1182"/>
    <x v="53"/>
    <x v="54"/>
    <x v="1"/>
    <x v="1"/>
    <x v="2"/>
    <x v="0"/>
    <x v="6"/>
    <x v="3"/>
    <x v="8"/>
    <x v="1"/>
  </r>
  <r>
    <x v="1440"/>
    <x v="5"/>
    <x v="2"/>
    <n v="54.7"/>
    <x v="1183"/>
    <x v="53"/>
    <x v="55"/>
    <x v="3"/>
    <x v="1"/>
    <x v="4"/>
    <x v="0"/>
    <x v="6"/>
    <x v="7"/>
    <x v="8"/>
    <x v="3"/>
  </r>
  <r>
    <x v="1441"/>
    <x v="4"/>
    <x v="1"/>
    <n v="19.8"/>
    <x v="341"/>
    <x v="53"/>
    <x v="53"/>
    <x v="2"/>
    <x v="4"/>
    <x v="1"/>
    <x v="0"/>
    <x v="8"/>
    <x v="5"/>
    <x v="8"/>
    <x v="2"/>
  </r>
  <r>
    <x v="1442"/>
    <x v="7"/>
    <x v="0"/>
    <n v="41.1"/>
    <x v="1184"/>
    <x v="53"/>
    <x v="51"/>
    <x v="2"/>
    <x v="0"/>
    <x v="2"/>
    <x v="0"/>
    <x v="8"/>
    <x v="1"/>
    <x v="8"/>
    <x v="2"/>
  </r>
  <r>
    <x v="1443"/>
    <x v="11"/>
    <x v="8"/>
    <n v="43.5"/>
    <x v="1185"/>
    <x v="53"/>
    <x v="53"/>
    <x v="2"/>
    <x v="3"/>
    <x v="0"/>
    <x v="0"/>
    <x v="8"/>
    <x v="5"/>
    <x v="8"/>
    <x v="2"/>
  </r>
  <r>
    <x v="1444"/>
    <x v="8"/>
    <x v="21"/>
    <n v="19"/>
    <x v="751"/>
    <x v="53"/>
    <x v="54"/>
    <x v="1"/>
    <x v="0"/>
    <x v="0"/>
    <x v="0"/>
    <x v="26"/>
    <x v="3"/>
    <x v="8"/>
    <x v="1"/>
  </r>
  <r>
    <x v="1445"/>
    <x v="2"/>
    <x v="12"/>
    <n v="51.4"/>
    <x v="1186"/>
    <x v="53"/>
    <x v="55"/>
    <x v="2"/>
    <x v="0"/>
    <x v="0"/>
    <x v="0"/>
    <x v="26"/>
    <x v="7"/>
    <x v="8"/>
    <x v="2"/>
  </r>
  <r>
    <x v="1446"/>
    <x v="10"/>
    <x v="1"/>
    <n v="39.799999999999997"/>
    <x v="1187"/>
    <x v="53"/>
    <x v="52"/>
    <x v="1"/>
    <x v="3"/>
    <x v="1"/>
    <x v="0"/>
    <x v="13"/>
    <x v="2"/>
    <x v="8"/>
    <x v="1"/>
  </r>
  <r>
    <x v="1447"/>
    <x v="6"/>
    <x v="9"/>
    <n v="61"/>
    <x v="1188"/>
    <x v="53"/>
    <x v="54"/>
    <x v="0"/>
    <x v="0"/>
    <x v="2"/>
    <x v="0"/>
    <x v="21"/>
    <x v="3"/>
    <x v="8"/>
    <x v="0"/>
  </r>
  <r>
    <x v="1448"/>
    <x v="8"/>
    <x v="5"/>
    <n v="15.1"/>
    <x v="1189"/>
    <x v="54"/>
    <x v="59"/>
    <x v="1"/>
    <x v="3"/>
    <x v="2"/>
    <x v="0"/>
    <x v="2"/>
    <x v="0"/>
    <x v="8"/>
    <x v="1"/>
  </r>
  <r>
    <x v="1449"/>
    <x v="1"/>
    <x v="3"/>
    <n v="71.3"/>
    <x v="1190"/>
    <x v="54"/>
    <x v="51"/>
    <x v="1"/>
    <x v="4"/>
    <x v="0"/>
    <x v="0"/>
    <x v="3"/>
    <x v="3"/>
    <x v="8"/>
    <x v="1"/>
  </r>
  <r>
    <x v="1450"/>
    <x v="10"/>
    <x v="0"/>
    <n v="25.8"/>
    <x v="1191"/>
    <x v="54"/>
    <x v="52"/>
    <x v="2"/>
    <x v="0"/>
    <x v="2"/>
    <x v="0"/>
    <x v="3"/>
    <x v="1"/>
    <x v="8"/>
    <x v="2"/>
  </r>
  <r>
    <x v="1451"/>
    <x v="8"/>
    <x v="9"/>
    <n v="39.6"/>
    <x v="1192"/>
    <x v="54"/>
    <x v="52"/>
    <x v="1"/>
    <x v="1"/>
    <x v="2"/>
    <x v="0"/>
    <x v="3"/>
    <x v="1"/>
    <x v="8"/>
    <x v="1"/>
  </r>
  <r>
    <x v="1452"/>
    <x v="5"/>
    <x v="1"/>
    <n v="64"/>
    <x v="1193"/>
    <x v="54"/>
    <x v="54"/>
    <x v="1"/>
    <x v="1"/>
    <x v="1"/>
    <x v="0"/>
    <x v="3"/>
    <x v="7"/>
    <x v="8"/>
    <x v="1"/>
  </r>
  <r>
    <x v="1453"/>
    <x v="8"/>
    <x v="1"/>
    <n v="30.6"/>
    <x v="1"/>
    <x v="54"/>
    <x v="53"/>
    <x v="1"/>
    <x v="0"/>
    <x v="2"/>
    <x v="0"/>
    <x v="3"/>
    <x v="2"/>
    <x v="8"/>
    <x v="1"/>
  </r>
  <r>
    <x v="1454"/>
    <x v="8"/>
    <x v="1"/>
    <n v="21.3"/>
    <x v="440"/>
    <x v="54"/>
    <x v="51"/>
    <x v="1"/>
    <x v="0"/>
    <x v="1"/>
    <x v="0"/>
    <x v="3"/>
    <x v="3"/>
    <x v="8"/>
    <x v="1"/>
  </r>
  <r>
    <x v="1455"/>
    <x v="7"/>
    <x v="0"/>
    <n v="40.799999999999997"/>
    <x v="803"/>
    <x v="54"/>
    <x v="52"/>
    <x v="2"/>
    <x v="4"/>
    <x v="0"/>
    <x v="0"/>
    <x v="3"/>
    <x v="1"/>
    <x v="8"/>
    <x v="2"/>
  </r>
  <r>
    <x v="1456"/>
    <x v="9"/>
    <x v="12"/>
    <n v="27.7"/>
    <x v="806"/>
    <x v="54"/>
    <x v="51"/>
    <x v="2"/>
    <x v="0"/>
    <x v="1"/>
    <x v="0"/>
    <x v="3"/>
    <x v="3"/>
    <x v="8"/>
    <x v="2"/>
  </r>
  <r>
    <x v="1457"/>
    <x v="6"/>
    <x v="1"/>
    <n v="64.599999999999994"/>
    <x v="769"/>
    <x v="54"/>
    <x v="51"/>
    <x v="1"/>
    <x v="0"/>
    <x v="1"/>
    <x v="0"/>
    <x v="3"/>
    <x v="3"/>
    <x v="8"/>
    <x v="1"/>
  </r>
  <r>
    <x v="1458"/>
    <x v="6"/>
    <x v="27"/>
    <n v="91.1"/>
    <x v="1194"/>
    <x v="54"/>
    <x v="51"/>
    <x v="2"/>
    <x v="1"/>
    <x v="2"/>
    <x v="0"/>
    <x v="3"/>
    <x v="3"/>
    <x v="8"/>
    <x v="2"/>
  </r>
  <r>
    <x v="1459"/>
    <x v="1"/>
    <x v="0"/>
    <n v="39.5"/>
    <x v="736"/>
    <x v="54"/>
    <x v="61"/>
    <x v="2"/>
    <x v="0"/>
    <x v="0"/>
    <x v="0"/>
    <x v="3"/>
    <x v="9"/>
    <x v="8"/>
    <x v="2"/>
  </r>
  <r>
    <x v="1460"/>
    <x v="9"/>
    <x v="1"/>
    <n v="21.8"/>
    <x v="1195"/>
    <x v="54"/>
    <x v="58"/>
    <x v="1"/>
    <x v="4"/>
    <x v="2"/>
    <x v="0"/>
    <x v="3"/>
    <x v="5"/>
    <x v="8"/>
    <x v="1"/>
  </r>
  <r>
    <x v="1461"/>
    <x v="8"/>
    <x v="1"/>
    <n v="51"/>
    <x v="1062"/>
    <x v="54"/>
    <x v="53"/>
    <x v="1"/>
    <x v="3"/>
    <x v="2"/>
    <x v="0"/>
    <x v="3"/>
    <x v="2"/>
    <x v="8"/>
    <x v="1"/>
  </r>
  <r>
    <x v="1462"/>
    <x v="2"/>
    <x v="0"/>
    <n v="92.6"/>
    <x v="1196"/>
    <x v="54"/>
    <x v="53"/>
    <x v="2"/>
    <x v="0"/>
    <x v="2"/>
    <x v="0"/>
    <x v="35"/>
    <x v="2"/>
    <x v="8"/>
    <x v="2"/>
  </r>
  <r>
    <x v="1463"/>
    <x v="9"/>
    <x v="1"/>
    <n v="31.1"/>
    <x v="1197"/>
    <x v="54"/>
    <x v="59"/>
    <x v="0"/>
    <x v="1"/>
    <x v="3"/>
    <x v="0"/>
    <x v="23"/>
    <x v="0"/>
    <x v="8"/>
    <x v="0"/>
  </r>
  <r>
    <x v="1464"/>
    <x v="5"/>
    <x v="2"/>
    <n v="56.4"/>
    <x v="362"/>
    <x v="54"/>
    <x v="51"/>
    <x v="0"/>
    <x v="1"/>
    <x v="0"/>
    <x v="0"/>
    <x v="6"/>
    <x v="3"/>
    <x v="8"/>
    <x v="0"/>
  </r>
  <r>
    <x v="1465"/>
    <x v="9"/>
    <x v="0"/>
    <n v="41.9"/>
    <x v="1151"/>
    <x v="54"/>
    <x v="54"/>
    <x v="1"/>
    <x v="1"/>
    <x v="0"/>
    <x v="0"/>
    <x v="6"/>
    <x v="7"/>
    <x v="8"/>
    <x v="1"/>
  </r>
  <r>
    <x v="1466"/>
    <x v="10"/>
    <x v="3"/>
    <n v="45.9"/>
    <x v="1198"/>
    <x v="54"/>
    <x v="51"/>
    <x v="1"/>
    <x v="3"/>
    <x v="2"/>
    <x v="0"/>
    <x v="8"/>
    <x v="3"/>
    <x v="8"/>
    <x v="1"/>
  </r>
  <r>
    <x v="1467"/>
    <x v="14"/>
    <x v="11"/>
    <n v="24.4"/>
    <x v="1199"/>
    <x v="54"/>
    <x v="58"/>
    <x v="1"/>
    <x v="3"/>
    <x v="2"/>
    <x v="0"/>
    <x v="8"/>
    <x v="5"/>
    <x v="8"/>
    <x v="1"/>
  </r>
  <r>
    <x v="1468"/>
    <x v="8"/>
    <x v="0"/>
    <n v="18.2"/>
    <x v="1200"/>
    <x v="54"/>
    <x v="51"/>
    <x v="2"/>
    <x v="2"/>
    <x v="2"/>
    <x v="0"/>
    <x v="8"/>
    <x v="3"/>
    <x v="8"/>
    <x v="2"/>
  </r>
  <r>
    <x v="1469"/>
    <x v="8"/>
    <x v="12"/>
    <n v="51.2"/>
    <x v="403"/>
    <x v="54"/>
    <x v="51"/>
    <x v="2"/>
    <x v="0"/>
    <x v="0"/>
    <x v="0"/>
    <x v="8"/>
    <x v="3"/>
    <x v="8"/>
    <x v="2"/>
  </r>
  <r>
    <x v="1470"/>
    <x v="6"/>
    <x v="0"/>
    <n v="59.7"/>
    <x v="1201"/>
    <x v="54"/>
    <x v="53"/>
    <x v="1"/>
    <x v="0"/>
    <x v="2"/>
    <x v="0"/>
    <x v="8"/>
    <x v="2"/>
    <x v="8"/>
    <x v="1"/>
  </r>
  <r>
    <x v="1471"/>
    <x v="4"/>
    <x v="1"/>
    <n v="33.6"/>
    <x v="863"/>
    <x v="54"/>
    <x v="52"/>
    <x v="2"/>
    <x v="0"/>
    <x v="0"/>
    <x v="0"/>
    <x v="17"/>
    <x v="1"/>
    <x v="8"/>
    <x v="2"/>
  </r>
  <r>
    <x v="1472"/>
    <x v="12"/>
    <x v="0"/>
    <n v="90.4"/>
    <x v="786"/>
    <x v="54"/>
    <x v="58"/>
    <x v="1"/>
    <x v="1"/>
    <x v="2"/>
    <x v="0"/>
    <x v="10"/>
    <x v="5"/>
    <x v="8"/>
    <x v="1"/>
  </r>
  <r>
    <x v="1473"/>
    <x v="11"/>
    <x v="2"/>
    <n v="70.3"/>
    <x v="1202"/>
    <x v="54"/>
    <x v="54"/>
    <x v="1"/>
    <x v="1"/>
    <x v="2"/>
    <x v="0"/>
    <x v="11"/>
    <x v="7"/>
    <x v="8"/>
    <x v="1"/>
  </r>
  <r>
    <x v="1474"/>
    <x v="4"/>
    <x v="1"/>
    <n v="20.5"/>
    <x v="783"/>
    <x v="54"/>
    <x v="53"/>
    <x v="2"/>
    <x v="0"/>
    <x v="1"/>
    <x v="0"/>
    <x v="11"/>
    <x v="2"/>
    <x v="8"/>
    <x v="2"/>
  </r>
  <r>
    <x v="1475"/>
    <x v="5"/>
    <x v="5"/>
    <n v="37.6"/>
    <x v="1203"/>
    <x v="54"/>
    <x v="51"/>
    <x v="1"/>
    <x v="0"/>
    <x v="0"/>
    <x v="0"/>
    <x v="38"/>
    <x v="3"/>
    <x v="8"/>
    <x v="1"/>
  </r>
  <r>
    <x v="1476"/>
    <x v="5"/>
    <x v="12"/>
    <n v="61.5"/>
    <x v="1204"/>
    <x v="54"/>
    <x v="62"/>
    <x v="2"/>
    <x v="1"/>
    <x v="4"/>
    <x v="0"/>
    <x v="13"/>
    <x v="6"/>
    <x v="8"/>
    <x v="2"/>
  </r>
  <r>
    <x v="1477"/>
    <x v="9"/>
    <x v="0"/>
    <n v="33.5"/>
    <x v="253"/>
    <x v="55"/>
    <x v="59"/>
    <x v="1"/>
    <x v="4"/>
    <x v="1"/>
    <x v="0"/>
    <x v="21"/>
    <x v="5"/>
    <x v="8"/>
    <x v="1"/>
  </r>
  <r>
    <x v="1478"/>
    <x v="4"/>
    <x v="2"/>
    <n v="29.3"/>
    <x v="1205"/>
    <x v="55"/>
    <x v="53"/>
    <x v="2"/>
    <x v="1"/>
    <x v="2"/>
    <x v="0"/>
    <x v="1"/>
    <x v="1"/>
    <x v="8"/>
    <x v="2"/>
  </r>
  <r>
    <x v="1479"/>
    <x v="2"/>
    <x v="1"/>
    <n v="125.9"/>
    <x v="1206"/>
    <x v="55"/>
    <x v="57"/>
    <x v="2"/>
    <x v="4"/>
    <x v="1"/>
    <x v="0"/>
    <x v="1"/>
    <x v="0"/>
    <x v="8"/>
    <x v="2"/>
  </r>
  <r>
    <x v="1480"/>
    <x v="5"/>
    <x v="9"/>
    <n v="29.3"/>
    <x v="1207"/>
    <x v="55"/>
    <x v="51"/>
    <x v="1"/>
    <x v="2"/>
    <x v="0"/>
    <x v="0"/>
    <x v="44"/>
    <x v="7"/>
    <x v="8"/>
    <x v="1"/>
  </r>
  <r>
    <x v="1481"/>
    <x v="9"/>
    <x v="0"/>
    <n v="37.799999999999997"/>
    <x v="463"/>
    <x v="55"/>
    <x v="58"/>
    <x v="2"/>
    <x v="0"/>
    <x v="2"/>
    <x v="0"/>
    <x v="3"/>
    <x v="2"/>
    <x v="8"/>
    <x v="2"/>
  </r>
  <r>
    <x v="1482"/>
    <x v="0"/>
    <x v="12"/>
    <n v="31.7"/>
    <x v="1208"/>
    <x v="55"/>
    <x v="52"/>
    <x v="1"/>
    <x v="2"/>
    <x v="2"/>
    <x v="0"/>
    <x v="3"/>
    <x v="3"/>
    <x v="8"/>
    <x v="1"/>
  </r>
  <r>
    <x v="1483"/>
    <x v="8"/>
    <x v="9"/>
    <n v="26.3"/>
    <x v="1209"/>
    <x v="55"/>
    <x v="52"/>
    <x v="2"/>
    <x v="3"/>
    <x v="2"/>
    <x v="0"/>
    <x v="3"/>
    <x v="3"/>
    <x v="8"/>
    <x v="2"/>
  </r>
  <r>
    <x v="1484"/>
    <x v="8"/>
    <x v="2"/>
    <n v="23.1"/>
    <x v="59"/>
    <x v="55"/>
    <x v="52"/>
    <x v="3"/>
    <x v="2"/>
    <x v="1"/>
    <x v="0"/>
    <x v="3"/>
    <x v="3"/>
    <x v="8"/>
    <x v="3"/>
  </r>
  <r>
    <x v="1485"/>
    <x v="4"/>
    <x v="0"/>
    <n v="22.3"/>
    <x v="968"/>
    <x v="55"/>
    <x v="53"/>
    <x v="2"/>
    <x v="2"/>
    <x v="0"/>
    <x v="0"/>
    <x v="3"/>
    <x v="1"/>
    <x v="8"/>
    <x v="2"/>
  </r>
  <r>
    <x v="1486"/>
    <x v="12"/>
    <x v="1"/>
    <n v="99.5"/>
    <x v="1210"/>
    <x v="55"/>
    <x v="53"/>
    <x v="2"/>
    <x v="2"/>
    <x v="0"/>
    <x v="0"/>
    <x v="3"/>
    <x v="1"/>
    <x v="8"/>
    <x v="2"/>
  </r>
  <r>
    <x v="1487"/>
    <x v="12"/>
    <x v="12"/>
    <n v="47.4"/>
    <x v="455"/>
    <x v="55"/>
    <x v="58"/>
    <x v="2"/>
    <x v="1"/>
    <x v="0"/>
    <x v="0"/>
    <x v="3"/>
    <x v="2"/>
    <x v="8"/>
    <x v="2"/>
  </r>
  <r>
    <x v="1488"/>
    <x v="0"/>
    <x v="5"/>
    <n v="37.5"/>
    <x v="1211"/>
    <x v="55"/>
    <x v="53"/>
    <x v="2"/>
    <x v="0"/>
    <x v="3"/>
    <x v="0"/>
    <x v="3"/>
    <x v="1"/>
    <x v="8"/>
    <x v="2"/>
  </r>
  <r>
    <x v="1489"/>
    <x v="10"/>
    <x v="0"/>
    <n v="45.1"/>
    <x v="1212"/>
    <x v="55"/>
    <x v="57"/>
    <x v="1"/>
    <x v="3"/>
    <x v="2"/>
    <x v="0"/>
    <x v="24"/>
    <x v="0"/>
    <x v="8"/>
    <x v="1"/>
  </r>
  <r>
    <x v="1490"/>
    <x v="5"/>
    <x v="7"/>
    <n v="34.4"/>
    <x v="1213"/>
    <x v="55"/>
    <x v="58"/>
    <x v="1"/>
    <x v="2"/>
    <x v="0"/>
    <x v="0"/>
    <x v="16"/>
    <x v="2"/>
    <x v="8"/>
    <x v="1"/>
  </r>
  <r>
    <x v="1491"/>
    <x v="4"/>
    <x v="1"/>
    <n v="38"/>
    <x v="998"/>
    <x v="55"/>
    <x v="53"/>
    <x v="2"/>
    <x v="1"/>
    <x v="0"/>
    <x v="0"/>
    <x v="5"/>
    <x v="1"/>
    <x v="8"/>
    <x v="2"/>
  </r>
  <r>
    <x v="1492"/>
    <x v="3"/>
    <x v="21"/>
    <n v="32.4"/>
    <x v="1214"/>
    <x v="55"/>
    <x v="58"/>
    <x v="1"/>
    <x v="4"/>
    <x v="0"/>
    <x v="0"/>
    <x v="6"/>
    <x v="2"/>
    <x v="8"/>
    <x v="1"/>
  </r>
  <r>
    <x v="1493"/>
    <x v="6"/>
    <x v="2"/>
    <n v="40.9"/>
    <x v="544"/>
    <x v="55"/>
    <x v="51"/>
    <x v="0"/>
    <x v="1"/>
    <x v="0"/>
    <x v="0"/>
    <x v="8"/>
    <x v="7"/>
    <x v="8"/>
    <x v="0"/>
  </r>
  <r>
    <x v="1494"/>
    <x v="7"/>
    <x v="3"/>
    <n v="76.2"/>
    <x v="1215"/>
    <x v="55"/>
    <x v="53"/>
    <x v="2"/>
    <x v="2"/>
    <x v="1"/>
    <x v="0"/>
    <x v="8"/>
    <x v="1"/>
    <x v="8"/>
    <x v="2"/>
  </r>
  <r>
    <x v="1495"/>
    <x v="2"/>
    <x v="0"/>
    <n v="85.6"/>
    <x v="1216"/>
    <x v="55"/>
    <x v="53"/>
    <x v="1"/>
    <x v="2"/>
    <x v="0"/>
    <x v="0"/>
    <x v="8"/>
    <x v="1"/>
    <x v="8"/>
    <x v="1"/>
  </r>
  <r>
    <x v="1496"/>
    <x v="4"/>
    <x v="12"/>
    <n v="25"/>
    <x v="1217"/>
    <x v="55"/>
    <x v="53"/>
    <x v="2"/>
    <x v="2"/>
    <x v="2"/>
    <x v="0"/>
    <x v="8"/>
    <x v="1"/>
    <x v="8"/>
    <x v="2"/>
  </r>
  <r>
    <x v="1497"/>
    <x v="2"/>
    <x v="9"/>
    <n v="150.69999999999999"/>
    <x v="1218"/>
    <x v="55"/>
    <x v="52"/>
    <x v="0"/>
    <x v="0"/>
    <x v="2"/>
    <x v="0"/>
    <x v="8"/>
    <x v="3"/>
    <x v="8"/>
    <x v="0"/>
  </r>
  <r>
    <x v="1498"/>
    <x v="8"/>
    <x v="0"/>
    <n v="19.600000000000001"/>
    <x v="1219"/>
    <x v="55"/>
    <x v="52"/>
    <x v="1"/>
    <x v="1"/>
    <x v="4"/>
    <x v="0"/>
    <x v="8"/>
    <x v="3"/>
    <x v="8"/>
    <x v="1"/>
  </r>
  <r>
    <x v="1499"/>
    <x v="13"/>
    <x v="1"/>
    <n v="37.5"/>
    <x v="611"/>
    <x v="55"/>
    <x v="58"/>
    <x v="2"/>
    <x v="1"/>
    <x v="2"/>
    <x v="0"/>
    <x v="17"/>
    <x v="2"/>
    <x v="8"/>
    <x v="2"/>
  </r>
  <r>
    <x v="1500"/>
    <x v="9"/>
    <x v="2"/>
    <n v="51.9"/>
    <x v="515"/>
    <x v="55"/>
    <x v="62"/>
    <x v="2"/>
    <x v="0"/>
    <x v="4"/>
    <x v="0"/>
    <x v="11"/>
    <x v="4"/>
    <x v="8"/>
    <x v="2"/>
  </r>
  <r>
    <x v="1501"/>
    <x v="1"/>
    <x v="1"/>
    <n v="30.9"/>
    <x v="546"/>
    <x v="55"/>
    <x v="53"/>
    <x v="2"/>
    <x v="1"/>
    <x v="0"/>
    <x v="0"/>
    <x v="18"/>
    <x v="1"/>
    <x v="8"/>
    <x v="2"/>
  </r>
  <r>
    <x v="1502"/>
    <x v="4"/>
    <x v="2"/>
    <n v="21.2"/>
    <x v="1220"/>
    <x v="55"/>
    <x v="58"/>
    <x v="2"/>
    <x v="1"/>
    <x v="0"/>
    <x v="0"/>
    <x v="19"/>
    <x v="2"/>
    <x v="8"/>
    <x v="2"/>
  </r>
  <r>
    <x v="1503"/>
    <x v="13"/>
    <x v="14"/>
    <n v="17.5"/>
    <x v="1221"/>
    <x v="55"/>
    <x v="52"/>
    <x v="1"/>
    <x v="1"/>
    <x v="1"/>
    <x v="0"/>
    <x v="13"/>
    <x v="3"/>
    <x v="8"/>
    <x v="1"/>
  </r>
  <r>
    <x v="1504"/>
    <x v="12"/>
    <x v="1"/>
    <n v="53.8"/>
    <x v="799"/>
    <x v="55"/>
    <x v="57"/>
    <x v="2"/>
    <x v="0"/>
    <x v="2"/>
    <x v="0"/>
    <x v="21"/>
    <x v="0"/>
    <x v="8"/>
    <x v="2"/>
  </r>
  <r>
    <x v="1505"/>
    <x v="19"/>
    <x v="1"/>
    <n v="17"/>
    <x v="1222"/>
    <x v="55"/>
    <x v="52"/>
    <x v="1"/>
    <x v="3"/>
    <x v="0"/>
    <x v="0"/>
    <x v="21"/>
    <x v="3"/>
    <x v="8"/>
    <x v="1"/>
  </r>
  <r>
    <x v="1506"/>
    <x v="6"/>
    <x v="0"/>
    <n v="103.2"/>
    <x v="1223"/>
    <x v="55"/>
    <x v="63"/>
    <x v="1"/>
    <x v="2"/>
    <x v="1"/>
    <x v="0"/>
    <x v="1"/>
    <x v="9"/>
    <x v="8"/>
    <x v="1"/>
  </r>
  <r>
    <x v="1507"/>
    <x v="6"/>
    <x v="12"/>
    <n v="70.3"/>
    <x v="552"/>
    <x v="55"/>
    <x v="52"/>
    <x v="1"/>
    <x v="0"/>
    <x v="0"/>
    <x v="0"/>
    <x v="3"/>
    <x v="3"/>
    <x v="8"/>
    <x v="1"/>
  </r>
  <r>
    <x v="1508"/>
    <x v="2"/>
    <x v="1"/>
    <n v="73.8"/>
    <x v="1224"/>
    <x v="55"/>
    <x v="51"/>
    <x v="1"/>
    <x v="3"/>
    <x v="2"/>
    <x v="0"/>
    <x v="3"/>
    <x v="7"/>
    <x v="8"/>
    <x v="1"/>
  </r>
  <r>
    <x v="1509"/>
    <x v="1"/>
    <x v="4"/>
    <n v="67.7"/>
    <x v="1225"/>
    <x v="55"/>
    <x v="59"/>
    <x v="1"/>
    <x v="1"/>
    <x v="1"/>
    <x v="0"/>
    <x v="3"/>
    <x v="5"/>
    <x v="8"/>
    <x v="1"/>
  </r>
  <r>
    <x v="1510"/>
    <x v="13"/>
    <x v="3"/>
    <n v="43.8"/>
    <x v="1226"/>
    <x v="55"/>
    <x v="53"/>
    <x v="1"/>
    <x v="1"/>
    <x v="0"/>
    <x v="0"/>
    <x v="3"/>
    <x v="1"/>
    <x v="8"/>
    <x v="1"/>
  </r>
  <r>
    <x v="1511"/>
    <x v="17"/>
    <x v="13"/>
    <n v="71.900000000000006"/>
    <x v="1227"/>
    <x v="55"/>
    <x v="52"/>
    <x v="2"/>
    <x v="2"/>
    <x v="0"/>
    <x v="0"/>
    <x v="3"/>
    <x v="3"/>
    <x v="8"/>
    <x v="2"/>
  </r>
  <r>
    <x v="1512"/>
    <x v="8"/>
    <x v="1"/>
    <n v="26.3"/>
    <x v="1228"/>
    <x v="56"/>
    <x v="58"/>
    <x v="2"/>
    <x v="0"/>
    <x v="1"/>
    <x v="0"/>
    <x v="3"/>
    <x v="1"/>
    <x v="8"/>
    <x v="2"/>
  </r>
  <r>
    <x v="1513"/>
    <x v="6"/>
    <x v="12"/>
    <n v="52.6"/>
    <x v="138"/>
    <x v="56"/>
    <x v="58"/>
    <x v="2"/>
    <x v="2"/>
    <x v="1"/>
    <x v="0"/>
    <x v="3"/>
    <x v="1"/>
    <x v="8"/>
    <x v="2"/>
  </r>
  <r>
    <x v="1514"/>
    <x v="10"/>
    <x v="0"/>
    <n v="32.700000000000003"/>
    <x v="1229"/>
    <x v="56"/>
    <x v="63"/>
    <x v="2"/>
    <x v="0"/>
    <x v="2"/>
    <x v="0"/>
    <x v="3"/>
    <x v="6"/>
    <x v="8"/>
    <x v="2"/>
  </r>
  <r>
    <x v="1515"/>
    <x v="5"/>
    <x v="12"/>
    <n v="38.9"/>
    <x v="1230"/>
    <x v="56"/>
    <x v="53"/>
    <x v="2"/>
    <x v="0"/>
    <x v="0"/>
    <x v="0"/>
    <x v="3"/>
    <x v="3"/>
    <x v="8"/>
    <x v="2"/>
  </r>
  <r>
    <x v="1516"/>
    <x v="9"/>
    <x v="9"/>
    <n v="35"/>
    <x v="25"/>
    <x v="56"/>
    <x v="58"/>
    <x v="1"/>
    <x v="0"/>
    <x v="0"/>
    <x v="0"/>
    <x v="3"/>
    <x v="1"/>
    <x v="8"/>
    <x v="1"/>
  </r>
  <r>
    <x v="1517"/>
    <x v="2"/>
    <x v="1"/>
    <n v="121"/>
    <x v="1231"/>
    <x v="56"/>
    <x v="53"/>
    <x v="2"/>
    <x v="1"/>
    <x v="1"/>
    <x v="0"/>
    <x v="3"/>
    <x v="3"/>
    <x v="8"/>
    <x v="2"/>
  </r>
  <r>
    <x v="1518"/>
    <x v="6"/>
    <x v="2"/>
    <n v="65.099999999999994"/>
    <x v="1174"/>
    <x v="56"/>
    <x v="57"/>
    <x v="1"/>
    <x v="2"/>
    <x v="0"/>
    <x v="0"/>
    <x v="36"/>
    <x v="5"/>
    <x v="8"/>
    <x v="1"/>
  </r>
  <r>
    <x v="1519"/>
    <x v="1"/>
    <x v="38"/>
    <n v="63.8"/>
    <x v="1232"/>
    <x v="56"/>
    <x v="58"/>
    <x v="2"/>
    <x v="0"/>
    <x v="0"/>
    <x v="0"/>
    <x v="8"/>
    <x v="1"/>
    <x v="8"/>
    <x v="2"/>
  </r>
  <r>
    <x v="1520"/>
    <x v="7"/>
    <x v="0"/>
    <n v="77.7"/>
    <x v="1233"/>
    <x v="56"/>
    <x v="58"/>
    <x v="1"/>
    <x v="0"/>
    <x v="0"/>
    <x v="0"/>
    <x v="8"/>
    <x v="1"/>
    <x v="8"/>
    <x v="1"/>
  </r>
  <r>
    <x v="1521"/>
    <x v="5"/>
    <x v="12"/>
    <n v="60.3"/>
    <x v="1234"/>
    <x v="56"/>
    <x v="52"/>
    <x v="1"/>
    <x v="0"/>
    <x v="2"/>
    <x v="0"/>
    <x v="8"/>
    <x v="7"/>
    <x v="8"/>
    <x v="1"/>
  </r>
  <r>
    <x v="1522"/>
    <x v="5"/>
    <x v="1"/>
    <n v="124.1"/>
    <x v="1235"/>
    <x v="56"/>
    <x v="59"/>
    <x v="2"/>
    <x v="0"/>
    <x v="2"/>
    <x v="0"/>
    <x v="8"/>
    <x v="2"/>
    <x v="8"/>
    <x v="2"/>
  </r>
  <r>
    <x v="1523"/>
    <x v="16"/>
    <x v="3"/>
    <n v="66"/>
    <x v="1236"/>
    <x v="56"/>
    <x v="52"/>
    <x v="0"/>
    <x v="3"/>
    <x v="0"/>
    <x v="0"/>
    <x v="17"/>
    <x v="7"/>
    <x v="8"/>
    <x v="0"/>
  </r>
  <r>
    <x v="1524"/>
    <x v="2"/>
    <x v="42"/>
    <n v="118.2"/>
    <x v="1237"/>
    <x v="56"/>
    <x v="62"/>
    <x v="0"/>
    <x v="0"/>
    <x v="0"/>
    <x v="0"/>
    <x v="17"/>
    <x v="0"/>
    <x v="8"/>
    <x v="0"/>
  </r>
  <r>
    <x v="1525"/>
    <x v="5"/>
    <x v="9"/>
    <n v="64.3"/>
    <x v="1238"/>
    <x v="56"/>
    <x v="53"/>
    <x v="1"/>
    <x v="4"/>
    <x v="4"/>
    <x v="0"/>
    <x v="26"/>
    <x v="3"/>
    <x v="8"/>
    <x v="1"/>
  </r>
  <r>
    <x v="1526"/>
    <x v="1"/>
    <x v="1"/>
    <n v="54.8"/>
    <x v="1239"/>
    <x v="56"/>
    <x v="52"/>
    <x v="1"/>
    <x v="0"/>
    <x v="1"/>
    <x v="0"/>
    <x v="26"/>
    <x v="7"/>
    <x v="8"/>
    <x v="1"/>
  </r>
  <r>
    <x v="1527"/>
    <x v="7"/>
    <x v="1"/>
    <n v="78.599999999999994"/>
    <x v="507"/>
    <x v="56"/>
    <x v="53"/>
    <x v="1"/>
    <x v="0"/>
    <x v="2"/>
    <x v="0"/>
    <x v="9"/>
    <x v="3"/>
    <x v="8"/>
    <x v="1"/>
  </r>
  <r>
    <x v="1528"/>
    <x v="2"/>
    <x v="9"/>
    <n v="158.5"/>
    <x v="1240"/>
    <x v="56"/>
    <x v="58"/>
    <x v="0"/>
    <x v="2"/>
    <x v="2"/>
    <x v="0"/>
    <x v="9"/>
    <x v="1"/>
    <x v="8"/>
    <x v="0"/>
  </r>
  <r>
    <x v="1529"/>
    <x v="4"/>
    <x v="7"/>
    <n v="23.5"/>
    <x v="666"/>
    <x v="56"/>
    <x v="59"/>
    <x v="1"/>
    <x v="0"/>
    <x v="4"/>
    <x v="0"/>
    <x v="10"/>
    <x v="2"/>
    <x v="8"/>
    <x v="1"/>
  </r>
  <r>
    <x v="1530"/>
    <x v="5"/>
    <x v="1"/>
    <n v="32.1"/>
    <x v="1005"/>
    <x v="56"/>
    <x v="58"/>
    <x v="0"/>
    <x v="3"/>
    <x v="0"/>
    <x v="0"/>
    <x v="10"/>
    <x v="1"/>
    <x v="8"/>
    <x v="0"/>
  </r>
  <r>
    <x v="1531"/>
    <x v="17"/>
    <x v="12"/>
    <n v="71.900000000000006"/>
    <x v="1241"/>
    <x v="56"/>
    <x v="52"/>
    <x v="1"/>
    <x v="2"/>
    <x v="0"/>
    <x v="0"/>
    <x v="19"/>
    <x v="7"/>
    <x v="8"/>
    <x v="1"/>
  </r>
  <r>
    <x v="1532"/>
    <x v="4"/>
    <x v="13"/>
    <n v="22.3"/>
    <x v="981"/>
    <x v="56"/>
    <x v="53"/>
    <x v="0"/>
    <x v="3"/>
    <x v="2"/>
    <x v="0"/>
    <x v="13"/>
    <x v="3"/>
    <x v="8"/>
    <x v="0"/>
  </r>
  <r>
    <x v="1533"/>
    <x v="11"/>
    <x v="1"/>
    <n v="29.5"/>
    <x v="1242"/>
    <x v="56"/>
    <x v="53"/>
    <x v="2"/>
    <x v="0"/>
    <x v="2"/>
    <x v="0"/>
    <x v="13"/>
    <x v="3"/>
    <x v="8"/>
    <x v="2"/>
  </r>
  <r>
    <x v="1534"/>
    <x v="6"/>
    <x v="12"/>
    <n v="41.9"/>
    <x v="1243"/>
    <x v="56"/>
    <x v="57"/>
    <x v="2"/>
    <x v="0"/>
    <x v="1"/>
    <x v="0"/>
    <x v="21"/>
    <x v="5"/>
    <x v="8"/>
    <x v="2"/>
  </r>
  <r>
    <x v="1535"/>
    <x v="6"/>
    <x v="2"/>
    <n v="107.8"/>
    <x v="1244"/>
    <x v="56"/>
    <x v="53"/>
    <x v="1"/>
    <x v="1"/>
    <x v="2"/>
    <x v="0"/>
    <x v="46"/>
    <x v="3"/>
    <x v="8"/>
    <x v="1"/>
  </r>
  <r>
    <x v="1536"/>
    <x v="4"/>
    <x v="9"/>
    <n v="18.100000000000001"/>
    <x v="497"/>
    <x v="56"/>
    <x v="59"/>
    <x v="1"/>
    <x v="0"/>
    <x v="2"/>
    <x v="0"/>
    <x v="2"/>
    <x v="2"/>
    <x v="8"/>
    <x v="1"/>
  </r>
  <r>
    <x v="1537"/>
    <x v="12"/>
    <x v="11"/>
    <n v="79.8"/>
    <x v="1245"/>
    <x v="56"/>
    <x v="53"/>
    <x v="2"/>
    <x v="1"/>
    <x v="1"/>
    <x v="0"/>
    <x v="22"/>
    <x v="3"/>
    <x v="8"/>
    <x v="2"/>
  </r>
  <r>
    <x v="1538"/>
    <x v="0"/>
    <x v="2"/>
    <n v="22.3"/>
    <x v="884"/>
    <x v="56"/>
    <x v="59"/>
    <x v="2"/>
    <x v="0"/>
    <x v="2"/>
    <x v="0"/>
    <x v="22"/>
    <x v="2"/>
    <x v="8"/>
    <x v="2"/>
  </r>
  <r>
    <x v="1539"/>
    <x v="8"/>
    <x v="0"/>
    <n v="22.9"/>
    <x v="1246"/>
    <x v="56"/>
    <x v="52"/>
    <x v="2"/>
    <x v="1"/>
    <x v="0"/>
    <x v="0"/>
    <x v="22"/>
    <x v="7"/>
    <x v="8"/>
    <x v="2"/>
  </r>
  <r>
    <x v="1540"/>
    <x v="0"/>
    <x v="2"/>
    <n v="16.2"/>
    <x v="1247"/>
    <x v="57"/>
    <x v="53"/>
    <x v="1"/>
    <x v="4"/>
    <x v="2"/>
    <x v="0"/>
    <x v="3"/>
    <x v="7"/>
    <x v="8"/>
    <x v="1"/>
  </r>
  <r>
    <x v="1541"/>
    <x v="10"/>
    <x v="12"/>
    <n v="59.5"/>
    <x v="1248"/>
    <x v="57"/>
    <x v="58"/>
    <x v="1"/>
    <x v="1"/>
    <x v="2"/>
    <x v="0"/>
    <x v="3"/>
    <x v="3"/>
    <x v="8"/>
    <x v="1"/>
  </r>
  <r>
    <x v="1542"/>
    <x v="18"/>
    <x v="9"/>
    <n v="26.2"/>
    <x v="1249"/>
    <x v="57"/>
    <x v="57"/>
    <x v="1"/>
    <x v="3"/>
    <x v="4"/>
    <x v="0"/>
    <x v="3"/>
    <x v="2"/>
    <x v="8"/>
    <x v="1"/>
  </r>
  <r>
    <x v="1543"/>
    <x v="3"/>
    <x v="0"/>
    <n v="44.2"/>
    <x v="573"/>
    <x v="57"/>
    <x v="57"/>
    <x v="2"/>
    <x v="1"/>
    <x v="0"/>
    <x v="0"/>
    <x v="3"/>
    <x v="2"/>
    <x v="8"/>
    <x v="2"/>
  </r>
  <r>
    <x v="1544"/>
    <x v="9"/>
    <x v="1"/>
    <n v="59.2"/>
    <x v="1250"/>
    <x v="57"/>
    <x v="53"/>
    <x v="2"/>
    <x v="1"/>
    <x v="4"/>
    <x v="0"/>
    <x v="3"/>
    <x v="7"/>
    <x v="8"/>
    <x v="2"/>
  </r>
  <r>
    <x v="1545"/>
    <x v="15"/>
    <x v="12"/>
    <n v="41.5"/>
    <x v="1251"/>
    <x v="57"/>
    <x v="59"/>
    <x v="2"/>
    <x v="0"/>
    <x v="0"/>
    <x v="0"/>
    <x v="16"/>
    <x v="1"/>
    <x v="8"/>
    <x v="2"/>
  </r>
  <r>
    <x v="1546"/>
    <x v="6"/>
    <x v="4"/>
    <n v="67.099999999999994"/>
    <x v="1252"/>
    <x v="57"/>
    <x v="64"/>
    <x v="2"/>
    <x v="0"/>
    <x v="2"/>
    <x v="0"/>
    <x v="23"/>
    <x v="12"/>
    <x v="8"/>
    <x v="2"/>
  </r>
  <r>
    <x v="1547"/>
    <x v="8"/>
    <x v="1"/>
    <n v="28.7"/>
    <x v="1253"/>
    <x v="57"/>
    <x v="62"/>
    <x v="2"/>
    <x v="1"/>
    <x v="0"/>
    <x v="0"/>
    <x v="6"/>
    <x v="5"/>
    <x v="8"/>
    <x v="2"/>
  </r>
  <r>
    <x v="1548"/>
    <x v="2"/>
    <x v="12"/>
    <n v="132.1"/>
    <x v="1254"/>
    <x v="57"/>
    <x v="58"/>
    <x v="2"/>
    <x v="0"/>
    <x v="1"/>
    <x v="0"/>
    <x v="6"/>
    <x v="3"/>
    <x v="8"/>
    <x v="2"/>
  </r>
  <r>
    <x v="1549"/>
    <x v="18"/>
    <x v="1"/>
    <n v="47"/>
    <x v="255"/>
    <x v="57"/>
    <x v="59"/>
    <x v="1"/>
    <x v="4"/>
    <x v="0"/>
    <x v="0"/>
    <x v="8"/>
    <x v="1"/>
    <x v="8"/>
    <x v="1"/>
  </r>
  <r>
    <x v="1550"/>
    <x v="8"/>
    <x v="1"/>
    <n v="41.6"/>
    <x v="707"/>
    <x v="57"/>
    <x v="62"/>
    <x v="1"/>
    <x v="1"/>
    <x v="2"/>
    <x v="0"/>
    <x v="8"/>
    <x v="5"/>
    <x v="8"/>
    <x v="1"/>
  </r>
  <r>
    <x v="1551"/>
    <x v="8"/>
    <x v="43"/>
    <n v="17.3"/>
    <x v="1255"/>
    <x v="57"/>
    <x v="59"/>
    <x v="1"/>
    <x v="2"/>
    <x v="2"/>
    <x v="0"/>
    <x v="8"/>
    <x v="1"/>
    <x v="8"/>
    <x v="1"/>
  </r>
  <r>
    <x v="1552"/>
    <x v="13"/>
    <x v="2"/>
    <n v="41.8"/>
    <x v="352"/>
    <x v="57"/>
    <x v="57"/>
    <x v="1"/>
    <x v="0"/>
    <x v="2"/>
    <x v="0"/>
    <x v="8"/>
    <x v="2"/>
    <x v="8"/>
    <x v="1"/>
  </r>
  <r>
    <x v="1553"/>
    <x v="10"/>
    <x v="0"/>
    <n v="24"/>
    <x v="835"/>
    <x v="57"/>
    <x v="58"/>
    <x v="2"/>
    <x v="0"/>
    <x v="0"/>
    <x v="0"/>
    <x v="17"/>
    <x v="3"/>
    <x v="8"/>
    <x v="2"/>
  </r>
  <r>
    <x v="1554"/>
    <x v="14"/>
    <x v="11"/>
    <n v="18.5"/>
    <x v="1256"/>
    <x v="57"/>
    <x v="59"/>
    <x v="2"/>
    <x v="0"/>
    <x v="0"/>
    <x v="0"/>
    <x v="9"/>
    <x v="1"/>
    <x v="8"/>
    <x v="2"/>
  </r>
  <r>
    <x v="1555"/>
    <x v="3"/>
    <x v="4"/>
    <n v="66.7"/>
    <x v="1257"/>
    <x v="57"/>
    <x v="57"/>
    <x v="0"/>
    <x v="0"/>
    <x v="2"/>
    <x v="0"/>
    <x v="11"/>
    <x v="2"/>
    <x v="8"/>
    <x v="0"/>
  </r>
  <r>
    <x v="1556"/>
    <x v="1"/>
    <x v="12"/>
    <n v="33.1"/>
    <x v="979"/>
    <x v="57"/>
    <x v="61"/>
    <x v="1"/>
    <x v="3"/>
    <x v="0"/>
    <x v="0"/>
    <x v="11"/>
    <x v="0"/>
    <x v="8"/>
    <x v="1"/>
  </r>
  <r>
    <x v="1557"/>
    <x v="19"/>
    <x v="11"/>
    <n v="42.1"/>
    <x v="1258"/>
    <x v="57"/>
    <x v="65"/>
    <x v="1"/>
    <x v="1"/>
    <x v="0"/>
    <x v="0"/>
    <x v="18"/>
    <x v="11"/>
    <x v="8"/>
    <x v="1"/>
  </r>
  <r>
    <x v="1558"/>
    <x v="18"/>
    <x v="3"/>
    <n v="58.7"/>
    <x v="1259"/>
    <x v="57"/>
    <x v="53"/>
    <x v="3"/>
    <x v="3"/>
    <x v="0"/>
    <x v="0"/>
    <x v="31"/>
    <x v="7"/>
    <x v="8"/>
    <x v="3"/>
  </r>
  <r>
    <x v="1559"/>
    <x v="6"/>
    <x v="12"/>
    <n v="54"/>
    <x v="760"/>
    <x v="57"/>
    <x v="59"/>
    <x v="2"/>
    <x v="1"/>
    <x v="0"/>
    <x v="0"/>
    <x v="1"/>
    <x v="1"/>
    <x v="8"/>
    <x v="2"/>
  </r>
  <r>
    <x v="1560"/>
    <x v="8"/>
    <x v="0"/>
    <n v="52.1"/>
    <x v="475"/>
    <x v="57"/>
    <x v="58"/>
    <x v="2"/>
    <x v="2"/>
    <x v="2"/>
    <x v="0"/>
    <x v="2"/>
    <x v="3"/>
    <x v="8"/>
    <x v="2"/>
  </r>
  <r>
    <x v="1561"/>
    <x v="19"/>
    <x v="1"/>
    <n v="27"/>
    <x v="1260"/>
    <x v="57"/>
    <x v="57"/>
    <x v="3"/>
    <x v="2"/>
    <x v="0"/>
    <x v="0"/>
    <x v="22"/>
    <x v="2"/>
    <x v="8"/>
    <x v="3"/>
  </r>
  <r>
    <x v="1562"/>
    <x v="12"/>
    <x v="7"/>
    <n v="31"/>
    <x v="892"/>
    <x v="58"/>
    <x v="59"/>
    <x v="2"/>
    <x v="3"/>
    <x v="2"/>
    <x v="0"/>
    <x v="22"/>
    <x v="3"/>
    <x v="8"/>
    <x v="2"/>
  </r>
  <r>
    <x v="1563"/>
    <x v="10"/>
    <x v="1"/>
    <n v="46.7"/>
    <x v="1261"/>
    <x v="58"/>
    <x v="58"/>
    <x v="2"/>
    <x v="0"/>
    <x v="0"/>
    <x v="0"/>
    <x v="34"/>
    <x v="7"/>
    <x v="8"/>
    <x v="2"/>
  </r>
  <r>
    <x v="1564"/>
    <x v="6"/>
    <x v="0"/>
    <n v="144.69999999999999"/>
    <x v="1262"/>
    <x v="58"/>
    <x v="62"/>
    <x v="1"/>
    <x v="0"/>
    <x v="2"/>
    <x v="0"/>
    <x v="3"/>
    <x v="2"/>
    <x v="8"/>
    <x v="1"/>
  </r>
  <r>
    <x v="1565"/>
    <x v="2"/>
    <x v="11"/>
    <n v="90.9"/>
    <x v="1263"/>
    <x v="58"/>
    <x v="59"/>
    <x v="1"/>
    <x v="0"/>
    <x v="2"/>
    <x v="0"/>
    <x v="3"/>
    <x v="3"/>
    <x v="8"/>
    <x v="1"/>
  </r>
  <r>
    <x v="1566"/>
    <x v="1"/>
    <x v="1"/>
    <n v="75.8"/>
    <x v="318"/>
    <x v="58"/>
    <x v="59"/>
    <x v="2"/>
    <x v="2"/>
    <x v="1"/>
    <x v="0"/>
    <x v="3"/>
    <x v="3"/>
    <x v="8"/>
    <x v="2"/>
  </r>
  <r>
    <x v="1567"/>
    <x v="7"/>
    <x v="9"/>
    <n v="57.9"/>
    <x v="1264"/>
    <x v="58"/>
    <x v="57"/>
    <x v="1"/>
    <x v="2"/>
    <x v="2"/>
    <x v="0"/>
    <x v="3"/>
    <x v="1"/>
    <x v="8"/>
    <x v="1"/>
  </r>
  <r>
    <x v="1568"/>
    <x v="8"/>
    <x v="9"/>
    <n v="44.8"/>
    <x v="692"/>
    <x v="58"/>
    <x v="59"/>
    <x v="2"/>
    <x v="3"/>
    <x v="2"/>
    <x v="0"/>
    <x v="3"/>
    <x v="3"/>
    <x v="8"/>
    <x v="2"/>
  </r>
  <r>
    <x v="1569"/>
    <x v="9"/>
    <x v="2"/>
    <n v="44.2"/>
    <x v="1265"/>
    <x v="58"/>
    <x v="61"/>
    <x v="1"/>
    <x v="2"/>
    <x v="2"/>
    <x v="0"/>
    <x v="3"/>
    <x v="5"/>
    <x v="8"/>
    <x v="1"/>
  </r>
  <r>
    <x v="1570"/>
    <x v="5"/>
    <x v="9"/>
    <n v="53.5"/>
    <x v="1266"/>
    <x v="58"/>
    <x v="57"/>
    <x v="1"/>
    <x v="0"/>
    <x v="0"/>
    <x v="0"/>
    <x v="37"/>
    <x v="1"/>
    <x v="8"/>
    <x v="1"/>
  </r>
  <r>
    <x v="1571"/>
    <x v="6"/>
    <x v="1"/>
    <n v="72.2"/>
    <x v="613"/>
    <x v="58"/>
    <x v="59"/>
    <x v="1"/>
    <x v="0"/>
    <x v="2"/>
    <x v="0"/>
    <x v="25"/>
    <x v="3"/>
    <x v="8"/>
    <x v="1"/>
  </r>
  <r>
    <x v="1572"/>
    <x v="6"/>
    <x v="12"/>
    <n v="62.4"/>
    <x v="1267"/>
    <x v="58"/>
    <x v="62"/>
    <x v="2"/>
    <x v="0"/>
    <x v="1"/>
    <x v="0"/>
    <x v="23"/>
    <x v="2"/>
    <x v="8"/>
    <x v="2"/>
  </r>
  <r>
    <x v="1573"/>
    <x v="10"/>
    <x v="9"/>
    <n v="24.7"/>
    <x v="1268"/>
    <x v="58"/>
    <x v="59"/>
    <x v="2"/>
    <x v="0"/>
    <x v="0"/>
    <x v="0"/>
    <x v="6"/>
    <x v="3"/>
    <x v="8"/>
    <x v="2"/>
  </r>
  <r>
    <x v="1574"/>
    <x v="1"/>
    <x v="9"/>
    <n v="61.7"/>
    <x v="1269"/>
    <x v="58"/>
    <x v="57"/>
    <x v="2"/>
    <x v="2"/>
    <x v="0"/>
    <x v="0"/>
    <x v="8"/>
    <x v="1"/>
    <x v="8"/>
    <x v="2"/>
  </r>
  <r>
    <x v="1575"/>
    <x v="8"/>
    <x v="9"/>
    <n v="18.2"/>
    <x v="1270"/>
    <x v="58"/>
    <x v="57"/>
    <x v="2"/>
    <x v="3"/>
    <x v="0"/>
    <x v="0"/>
    <x v="8"/>
    <x v="1"/>
    <x v="8"/>
    <x v="2"/>
  </r>
  <r>
    <x v="1576"/>
    <x v="10"/>
    <x v="12"/>
    <n v="37.200000000000003"/>
    <x v="956"/>
    <x v="58"/>
    <x v="66"/>
    <x v="2"/>
    <x v="0"/>
    <x v="0"/>
    <x v="0"/>
    <x v="8"/>
    <x v="4"/>
    <x v="8"/>
    <x v="2"/>
  </r>
  <r>
    <x v="1577"/>
    <x v="9"/>
    <x v="2"/>
    <n v="53.5"/>
    <x v="1271"/>
    <x v="58"/>
    <x v="57"/>
    <x v="2"/>
    <x v="1"/>
    <x v="2"/>
    <x v="0"/>
    <x v="9"/>
    <x v="1"/>
    <x v="8"/>
    <x v="2"/>
  </r>
  <r>
    <x v="1578"/>
    <x v="8"/>
    <x v="2"/>
    <n v="43.6"/>
    <x v="1272"/>
    <x v="58"/>
    <x v="58"/>
    <x v="2"/>
    <x v="0"/>
    <x v="0"/>
    <x v="0"/>
    <x v="9"/>
    <x v="7"/>
    <x v="8"/>
    <x v="2"/>
  </r>
  <r>
    <x v="1579"/>
    <x v="1"/>
    <x v="7"/>
    <n v="135"/>
    <x v="1273"/>
    <x v="58"/>
    <x v="57"/>
    <x v="2"/>
    <x v="0"/>
    <x v="2"/>
    <x v="0"/>
    <x v="9"/>
    <x v="1"/>
    <x v="8"/>
    <x v="2"/>
  </r>
  <r>
    <x v="1580"/>
    <x v="8"/>
    <x v="9"/>
    <n v="38.5"/>
    <x v="796"/>
    <x v="58"/>
    <x v="58"/>
    <x v="1"/>
    <x v="4"/>
    <x v="2"/>
    <x v="0"/>
    <x v="10"/>
    <x v="7"/>
    <x v="8"/>
    <x v="1"/>
  </r>
  <r>
    <x v="1581"/>
    <x v="9"/>
    <x v="1"/>
    <n v="24"/>
    <x v="510"/>
    <x v="58"/>
    <x v="63"/>
    <x v="2"/>
    <x v="0"/>
    <x v="0"/>
    <x v="0"/>
    <x v="11"/>
    <x v="0"/>
    <x v="8"/>
    <x v="2"/>
  </r>
  <r>
    <x v="1582"/>
    <x v="4"/>
    <x v="2"/>
    <n v="28.2"/>
    <x v="1274"/>
    <x v="58"/>
    <x v="57"/>
    <x v="1"/>
    <x v="0"/>
    <x v="3"/>
    <x v="0"/>
    <x v="18"/>
    <x v="1"/>
    <x v="8"/>
    <x v="1"/>
  </r>
  <r>
    <x v="1583"/>
    <x v="7"/>
    <x v="2"/>
    <n v="37.4"/>
    <x v="794"/>
    <x v="58"/>
    <x v="59"/>
    <x v="2"/>
    <x v="3"/>
    <x v="0"/>
    <x v="0"/>
    <x v="1"/>
    <x v="3"/>
    <x v="8"/>
    <x v="2"/>
  </r>
  <r>
    <x v="1584"/>
    <x v="6"/>
    <x v="2"/>
    <n v="53.5"/>
    <x v="1271"/>
    <x v="58"/>
    <x v="62"/>
    <x v="0"/>
    <x v="4"/>
    <x v="4"/>
    <x v="0"/>
    <x v="1"/>
    <x v="2"/>
    <x v="8"/>
    <x v="0"/>
  </r>
  <r>
    <x v="1585"/>
    <x v="11"/>
    <x v="9"/>
    <n v="36.200000000000003"/>
    <x v="1275"/>
    <x v="58"/>
    <x v="59"/>
    <x v="1"/>
    <x v="1"/>
    <x v="2"/>
    <x v="0"/>
    <x v="33"/>
    <x v="3"/>
    <x v="8"/>
    <x v="1"/>
  </r>
  <r>
    <x v="1586"/>
    <x v="0"/>
    <x v="8"/>
    <n v="31.9"/>
    <x v="281"/>
    <x v="58"/>
    <x v="59"/>
    <x v="2"/>
    <x v="4"/>
    <x v="0"/>
    <x v="0"/>
    <x v="3"/>
    <x v="3"/>
    <x v="8"/>
    <x v="2"/>
  </r>
  <r>
    <x v="1587"/>
    <x v="8"/>
    <x v="2"/>
    <n v="21.3"/>
    <x v="1276"/>
    <x v="58"/>
    <x v="59"/>
    <x v="1"/>
    <x v="0"/>
    <x v="2"/>
    <x v="0"/>
    <x v="3"/>
    <x v="3"/>
    <x v="8"/>
    <x v="1"/>
  </r>
  <r>
    <x v="1588"/>
    <x v="8"/>
    <x v="0"/>
    <n v="36.299999999999997"/>
    <x v="1277"/>
    <x v="58"/>
    <x v="57"/>
    <x v="3"/>
    <x v="4"/>
    <x v="0"/>
    <x v="0"/>
    <x v="3"/>
    <x v="1"/>
    <x v="8"/>
    <x v="3"/>
  </r>
  <r>
    <x v="1589"/>
    <x v="6"/>
    <x v="2"/>
    <n v="110.5"/>
    <x v="1278"/>
    <x v="58"/>
    <x v="59"/>
    <x v="2"/>
    <x v="0"/>
    <x v="3"/>
    <x v="0"/>
    <x v="3"/>
    <x v="3"/>
    <x v="8"/>
    <x v="2"/>
  </r>
  <r>
    <x v="1590"/>
    <x v="10"/>
    <x v="3"/>
    <n v="32.6"/>
    <x v="1279"/>
    <x v="58"/>
    <x v="57"/>
    <x v="2"/>
    <x v="0"/>
    <x v="1"/>
    <x v="0"/>
    <x v="3"/>
    <x v="1"/>
    <x v="8"/>
    <x v="2"/>
  </r>
  <r>
    <x v="1591"/>
    <x v="5"/>
    <x v="2"/>
    <n v="55.6"/>
    <x v="701"/>
    <x v="59"/>
    <x v="67"/>
    <x v="2"/>
    <x v="0"/>
    <x v="0"/>
    <x v="0"/>
    <x v="3"/>
    <x v="10"/>
    <x v="8"/>
    <x v="2"/>
  </r>
  <r>
    <x v="1592"/>
    <x v="1"/>
    <x v="12"/>
    <n v="38"/>
    <x v="465"/>
    <x v="59"/>
    <x v="57"/>
    <x v="2"/>
    <x v="3"/>
    <x v="2"/>
    <x v="0"/>
    <x v="5"/>
    <x v="3"/>
    <x v="8"/>
    <x v="2"/>
  </r>
  <r>
    <x v="1593"/>
    <x v="10"/>
    <x v="1"/>
    <n v="51.8"/>
    <x v="186"/>
    <x v="59"/>
    <x v="68"/>
    <x v="1"/>
    <x v="1"/>
    <x v="4"/>
    <x v="0"/>
    <x v="6"/>
    <x v="4"/>
    <x v="8"/>
    <x v="1"/>
  </r>
  <r>
    <x v="1594"/>
    <x v="11"/>
    <x v="8"/>
    <n v="28.7"/>
    <x v="1166"/>
    <x v="59"/>
    <x v="66"/>
    <x v="2"/>
    <x v="0"/>
    <x v="0"/>
    <x v="0"/>
    <x v="6"/>
    <x v="0"/>
    <x v="8"/>
    <x v="2"/>
  </r>
  <r>
    <x v="1595"/>
    <x v="6"/>
    <x v="4"/>
    <n v="52.2"/>
    <x v="1280"/>
    <x v="59"/>
    <x v="59"/>
    <x v="1"/>
    <x v="0"/>
    <x v="1"/>
    <x v="0"/>
    <x v="6"/>
    <x v="7"/>
    <x v="8"/>
    <x v="1"/>
  </r>
  <r>
    <x v="1596"/>
    <x v="1"/>
    <x v="1"/>
    <n v="68.2"/>
    <x v="517"/>
    <x v="59"/>
    <x v="57"/>
    <x v="0"/>
    <x v="2"/>
    <x v="0"/>
    <x v="0"/>
    <x v="7"/>
    <x v="3"/>
    <x v="8"/>
    <x v="0"/>
  </r>
  <r>
    <x v="1597"/>
    <x v="0"/>
    <x v="2"/>
    <n v="34"/>
    <x v="1062"/>
    <x v="59"/>
    <x v="63"/>
    <x v="2"/>
    <x v="0"/>
    <x v="0"/>
    <x v="0"/>
    <x v="8"/>
    <x v="5"/>
    <x v="8"/>
    <x v="2"/>
  </r>
  <r>
    <x v="1598"/>
    <x v="8"/>
    <x v="2"/>
    <n v="19.100000000000001"/>
    <x v="1281"/>
    <x v="59"/>
    <x v="57"/>
    <x v="2"/>
    <x v="4"/>
    <x v="0"/>
    <x v="0"/>
    <x v="8"/>
    <x v="3"/>
    <x v="8"/>
    <x v="2"/>
  </r>
  <r>
    <x v="1599"/>
    <x v="5"/>
    <x v="8"/>
    <n v="34"/>
    <x v="1123"/>
    <x v="59"/>
    <x v="60"/>
    <x v="2"/>
    <x v="4"/>
    <x v="0"/>
    <x v="0"/>
    <x v="8"/>
    <x v="9"/>
    <x v="8"/>
    <x v="2"/>
  </r>
  <r>
    <x v="1600"/>
    <x v="12"/>
    <x v="1"/>
    <n v="109.1"/>
    <x v="1282"/>
    <x v="59"/>
    <x v="62"/>
    <x v="1"/>
    <x v="0"/>
    <x v="2"/>
    <x v="0"/>
    <x v="8"/>
    <x v="1"/>
    <x v="8"/>
    <x v="1"/>
  </r>
  <r>
    <x v="1601"/>
    <x v="18"/>
    <x v="1"/>
    <n v="64.8"/>
    <x v="632"/>
    <x v="59"/>
    <x v="62"/>
    <x v="1"/>
    <x v="0"/>
    <x v="2"/>
    <x v="0"/>
    <x v="8"/>
    <x v="1"/>
    <x v="8"/>
    <x v="1"/>
  </r>
  <r>
    <x v="1602"/>
    <x v="10"/>
    <x v="1"/>
    <n v="21.1"/>
    <x v="1283"/>
    <x v="59"/>
    <x v="59"/>
    <x v="2"/>
    <x v="1"/>
    <x v="0"/>
    <x v="0"/>
    <x v="11"/>
    <x v="7"/>
    <x v="8"/>
    <x v="2"/>
  </r>
  <r>
    <x v="1603"/>
    <x v="0"/>
    <x v="8"/>
    <n v="21.3"/>
    <x v="1284"/>
    <x v="59"/>
    <x v="62"/>
    <x v="1"/>
    <x v="3"/>
    <x v="1"/>
    <x v="0"/>
    <x v="18"/>
    <x v="1"/>
    <x v="8"/>
    <x v="1"/>
  </r>
  <r>
    <x v="1604"/>
    <x v="9"/>
    <x v="2"/>
    <n v="24.3"/>
    <x v="1285"/>
    <x v="59"/>
    <x v="57"/>
    <x v="1"/>
    <x v="1"/>
    <x v="0"/>
    <x v="0"/>
    <x v="19"/>
    <x v="3"/>
    <x v="8"/>
    <x v="1"/>
  </r>
  <r>
    <x v="1605"/>
    <x v="8"/>
    <x v="0"/>
    <n v="43.3"/>
    <x v="1286"/>
    <x v="59"/>
    <x v="63"/>
    <x v="1"/>
    <x v="1"/>
    <x v="1"/>
    <x v="0"/>
    <x v="13"/>
    <x v="5"/>
    <x v="8"/>
    <x v="1"/>
  </r>
  <r>
    <x v="1606"/>
    <x v="9"/>
    <x v="2"/>
    <n v="41"/>
    <x v="1287"/>
    <x v="59"/>
    <x v="57"/>
    <x v="2"/>
    <x v="3"/>
    <x v="4"/>
    <x v="0"/>
    <x v="21"/>
    <x v="3"/>
    <x v="8"/>
    <x v="2"/>
  </r>
  <r>
    <x v="1607"/>
    <x v="16"/>
    <x v="2"/>
    <n v="54.1"/>
    <x v="1288"/>
    <x v="59"/>
    <x v="62"/>
    <x v="2"/>
    <x v="4"/>
    <x v="0"/>
    <x v="0"/>
    <x v="21"/>
    <x v="1"/>
    <x v="8"/>
    <x v="2"/>
  </r>
  <r>
    <x v="1608"/>
    <x v="11"/>
    <x v="1"/>
    <n v="39"/>
    <x v="292"/>
    <x v="59"/>
    <x v="57"/>
    <x v="1"/>
    <x v="1"/>
    <x v="2"/>
    <x v="0"/>
    <x v="1"/>
    <x v="3"/>
    <x v="8"/>
    <x v="1"/>
  </r>
  <r>
    <x v="1609"/>
    <x v="8"/>
    <x v="1"/>
    <n v="40.299999999999997"/>
    <x v="7"/>
    <x v="59"/>
    <x v="62"/>
    <x v="1"/>
    <x v="3"/>
    <x v="0"/>
    <x v="0"/>
    <x v="27"/>
    <x v="1"/>
    <x v="8"/>
    <x v="1"/>
  </r>
  <r>
    <x v="1610"/>
    <x v="8"/>
    <x v="2"/>
    <n v="24.1"/>
    <x v="1289"/>
    <x v="59"/>
    <x v="57"/>
    <x v="1"/>
    <x v="0"/>
    <x v="2"/>
    <x v="0"/>
    <x v="34"/>
    <x v="3"/>
    <x v="8"/>
    <x v="1"/>
  </r>
  <r>
    <x v="1611"/>
    <x v="6"/>
    <x v="9"/>
    <n v="52.3"/>
    <x v="1290"/>
    <x v="59"/>
    <x v="57"/>
    <x v="1"/>
    <x v="2"/>
    <x v="0"/>
    <x v="0"/>
    <x v="3"/>
    <x v="3"/>
    <x v="8"/>
    <x v="1"/>
  </r>
  <r>
    <x v="1612"/>
    <x v="12"/>
    <x v="12"/>
    <n v="68.8"/>
    <x v="1291"/>
    <x v="59"/>
    <x v="63"/>
    <x v="2"/>
    <x v="4"/>
    <x v="2"/>
    <x v="0"/>
    <x v="3"/>
    <x v="5"/>
    <x v="8"/>
    <x v="2"/>
  </r>
  <r>
    <x v="1613"/>
    <x v="2"/>
    <x v="1"/>
    <n v="128.80000000000001"/>
    <x v="1292"/>
    <x v="60"/>
    <x v="63"/>
    <x v="2"/>
    <x v="1"/>
    <x v="1"/>
    <x v="0"/>
    <x v="3"/>
    <x v="2"/>
    <x v="9"/>
    <x v="2"/>
  </r>
  <r>
    <x v="1614"/>
    <x v="15"/>
    <x v="9"/>
    <n v="48.2"/>
    <x v="1044"/>
    <x v="60"/>
    <x v="61"/>
    <x v="2"/>
    <x v="3"/>
    <x v="0"/>
    <x v="0"/>
    <x v="3"/>
    <x v="1"/>
    <x v="9"/>
    <x v="2"/>
  </r>
  <r>
    <x v="1615"/>
    <x v="10"/>
    <x v="0"/>
    <n v="39.700000000000003"/>
    <x v="144"/>
    <x v="60"/>
    <x v="61"/>
    <x v="2"/>
    <x v="0"/>
    <x v="1"/>
    <x v="0"/>
    <x v="3"/>
    <x v="1"/>
    <x v="9"/>
    <x v="2"/>
  </r>
  <r>
    <x v="1616"/>
    <x v="9"/>
    <x v="0"/>
    <n v="59.7"/>
    <x v="1201"/>
    <x v="60"/>
    <x v="63"/>
    <x v="2"/>
    <x v="4"/>
    <x v="0"/>
    <x v="0"/>
    <x v="3"/>
    <x v="2"/>
    <x v="9"/>
    <x v="2"/>
  </r>
  <r>
    <x v="1617"/>
    <x v="6"/>
    <x v="0"/>
    <n v="48.3"/>
    <x v="1293"/>
    <x v="60"/>
    <x v="69"/>
    <x v="3"/>
    <x v="0"/>
    <x v="2"/>
    <x v="0"/>
    <x v="3"/>
    <x v="12"/>
    <x v="9"/>
    <x v="3"/>
  </r>
  <r>
    <x v="1618"/>
    <x v="8"/>
    <x v="2"/>
    <n v="45.5"/>
    <x v="1294"/>
    <x v="60"/>
    <x v="61"/>
    <x v="1"/>
    <x v="2"/>
    <x v="1"/>
    <x v="0"/>
    <x v="3"/>
    <x v="1"/>
    <x v="9"/>
    <x v="1"/>
  </r>
  <r>
    <x v="1619"/>
    <x v="9"/>
    <x v="6"/>
    <n v="51"/>
    <x v="1295"/>
    <x v="60"/>
    <x v="57"/>
    <x v="2"/>
    <x v="2"/>
    <x v="0"/>
    <x v="0"/>
    <x v="3"/>
    <x v="7"/>
    <x v="9"/>
    <x v="2"/>
  </r>
  <r>
    <x v="1620"/>
    <x v="4"/>
    <x v="13"/>
    <n v="20.399999999999999"/>
    <x v="1296"/>
    <x v="60"/>
    <x v="62"/>
    <x v="1"/>
    <x v="2"/>
    <x v="0"/>
    <x v="0"/>
    <x v="3"/>
    <x v="3"/>
    <x v="9"/>
    <x v="1"/>
  </r>
  <r>
    <x v="1621"/>
    <x v="10"/>
    <x v="1"/>
    <n v="30.4"/>
    <x v="1297"/>
    <x v="60"/>
    <x v="61"/>
    <x v="1"/>
    <x v="2"/>
    <x v="0"/>
    <x v="0"/>
    <x v="3"/>
    <x v="1"/>
    <x v="9"/>
    <x v="1"/>
  </r>
  <r>
    <x v="1622"/>
    <x v="7"/>
    <x v="1"/>
    <n v="71.5"/>
    <x v="1298"/>
    <x v="60"/>
    <x v="66"/>
    <x v="2"/>
    <x v="0"/>
    <x v="0"/>
    <x v="0"/>
    <x v="3"/>
    <x v="5"/>
    <x v="9"/>
    <x v="2"/>
  </r>
  <r>
    <x v="1623"/>
    <x v="8"/>
    <x v="13"/>
    <n v="18"/>
    <x v="807"/>
    <x v="60"/>
    <x v="62"/>
    <x v="3"/>
    <x v="1"/>
    <x v="2"/>
    <x v="0"/>
    <x v="6"/>
    <x v="3"/>
    <x v="9"/>
    <x v="3"/>
  </r>
  <r>
    <x v="1624"/>
    <x v="15"/>
    <x v="5"/>
    <n v="45.6"/>
    <x v="1299"/>
    <x v="60"/>
    <x v="62"/>
    <x v="3"/>
    <x v="1"/>
    <x v="1"/>
    <x v="0"/>
    <x v="7"/>
    <x v="3"/>
    <x v="9"/>
    <x v="3"/>
  </r>
  <r>
    <x v="1625"/>
    <x v="9"/>
    <x v="0"/>
    <n v="31.8"/>
    <x v="627"/>
    <x v="60"/>
    <x v="66"/>
    <x v="2"/>
    <x v="0"/>
    <x v="2"/>
    <x v="0"/>
    <x v="7"/>
    <x v="5"/>
    <x v="9"/>
    <x v="2"/>
  </r>
  <r>
    <x v="1626"/>
    <x v="8"/>
    <x v="9"/>
    <n v="19.899999999999999"/>
    <x v="1300"/>
    <x v="60"/>
    <x v="62"/>
    <x v="2"/>
    <x v="1"/>
    <x v="0"/>
    <x v="0"/>
    <x v="7"/>
    <x v="3"/>
    <x v="9"/>
    <x v="2"/>
  </r>
  <r>
    <x v="1627"/>
    <x v="12"/>
    <x v="11"/>
    <n v="52.1"/>
    <x v="1301"/>
    <x v="60"/>
    <x v="61"/>
    <x v="1"/>
    <x v="0"/>
    <x v="0"/>
    <x v="0"/>
    <x v="8"/>
    <x v="1"/>
    <x v="9"/>
    <x v="1"/>
  </r>
  <r>
    <x v="1628"/>
    <x v="1"/>
    <x v="3"/>
    <n v="45.9"/>
    <x v="1198"/>
    <x v="60"/>
    <x v="62"/>
    <x v="1"/>
    <x v="0"/>
    <x v="1"/>
    <x v="0"/>
    <x v="8"/>
    <x v="3"/>
    <x v="9"/>
    <x v="1"/>
  </r>
  <r>
    <x v="1629"/>
    <x v="1"/>
    <x v="7"/>
    <n v="115.9"/>
    <x v="1302"/>
    <x v="60"/>
    <x v="63"/>
    <x v="2"/>
    <x v="1"/>
    <x v="0"/>
    <x v="0"/>
    <x v="8"/>
    <x v="2"/>
    <x v="9"/>
    <x v="2"/>
  </r>
  <r>
    <x v="1630"/>
    <x v="6"/>
    <x v="11"/>
    <n v="86"/>
    <x v="1303"/>
    <x v="60"/>
    <x v="68"/>
    <x v="2"/>
    <x v="0"/>
    <x v="1"/>
    <x v="0"/>
    <x v="8"/>
    <x v="0"/>
    <x v="9"/>
    <x v="2"/>
  </r>
  <r>
    <x v="1631"/>
    <x v="7"/>
    <x v="3"/>
    <n v="73.599999999999994"/>
    <x v="1304"/>
    <x v="60"/>
    <x v="61"/>
    <x v="2"/>
    <x v="0"/>
    <x v="0"/>
    <x v="0"/>
    <x v="17"/>
    <x v="1"/>
    <x v="9"/>
    <x v="2"/>
  </r>
  <r>
    <x v="1632"/>
    <x v="10"/>
    <x v="2"/>
    <n v="26.7"/>
    <x v="1133"/>
    <x v="60"/>
    <x v="66"/>
    <x v="2"/>
    <x v="0"/>
    <x v="0"/>
    <x v="0"/>
    <x v="11"/>
    <x v="5"/>
    <x v="9"/>
    <x v="2"/>
  </r>
  <r>
    <x v="1633"/>
    <x v="8"/>
    <x v="3"/>
    <n v="46.6"/>
    <x v="1305"/>
    <x v="60"/>
    <x v="61"/>
    <x v="0"/>
    <x v="3"/>
    <x v="0"/>
    <x v="0"/>
    <x v="11"/>
    <x v="1"/>
    <x v="9"/>
    <x v="0"/>
  </r>
  <r>
    <x v="1634"/>
    <x v="3"/>
    <x v="2"/>
    <n v="84.6"/>
    <x v="1306"/>
    <x v="60"/>
    <x v="61"/>
    <x v="1"/>
    <x v="4"/>
    <x v="0"/>
    <x v="0"/>
    <x v="11"/>
    <x v="1"/>
    <x v="9"/>
    <x v="1"/>
  </r>
  <r>
    <x v="1635"/>
    <x v="7"/>
    <x v="21"/>
    <n v="41.5"/>
    <x v="1307"/>
    <x v="60"/>
    <x v="69"/>
    <x v="1"/>
    <x v="1"/>
    <x v="0"/>
    <x v="0"/>
    <x v="53"/>
    <x v="12"/>
    <x v="9"/>
    <x v="1"/>
  </r>
  <r>
    <x v="1636"/>
    <x v="8"/>
    <x v="0"/>
    <n v="32.799999999999997"/>
    <x v="944"/>
    <x v="60"/>
    <x v="63"/>
    <x v="1"/>
    <x v="0"/>
    <x v="2"/>
    <x v="0"/>
    <x v="30"/>
    <x v="2"/>
    <x v="9"/>
    <x v="1"/>
  </r>
  <r>
    <x v="1637"/>
    <x v="4"/>
    <x v="3"/>
    <n v="46.7"/>
    <x v="1308"/>
    <x v="60"/>
    <x v="61"/>
    <x v="3"/>
    <x v="0"/>
    <x v="2"/>
    <x v="0"/>
    <x v="18"/>
    <x v="1"/>
    <x v="9"/>
    <x v="3"/>
  </r>
  <r>
    <x v="1638"/>
    <x v="15"/>
    <x v="3"/>
    <n v="21"/>
    <x v="926"/>
    <x v="60"/>
    <x v="63"/>
    <x v="1"/>
    <x v="2"/>
    <x v="1"/>
    <x v="0"/>
    <x v="21"/>
    <x v="2"/>
    <x v="9"/>
    <x v="1"/>
  </r>
  <r>
    <x v="1639"/>
    <x v="5"/>
    <x v="3"/>
    <n v="29.4"/>
    <x v="43"/>
    <x v="60"/>
    <x v="57"/>
    <x v="1"/>
    <x v="3"/>
    <x v="2"/>
    <x v="0"/>
    <x v="21"/>
    <x v="7"/>
    <x v="9"/>
    <x v="1"/>
  </r>
  <r>
    <x v="1640"/>
    <x v="15"/>
    <x v="1"/>
    <n v="32.299999999999997"/>
    <x v="1099"/>
    <x v="60"/>
    <x v="62"/>
    <x v="1"/>
    <x v="0"/>
    <x v="2"/>
    <x v="0"/>
    <x v="21"/>
    <x v="3"/>
    <x v="9"/>
    <x v="1"/>
  </r>
  <r>
    <x v="1641"/>
    <x v="6"/>
    <x v="0"/>
    <n v="42.2"/>
    <x v="1283"/>
    <x v="61"/>
    <x v="63"/>
    <x v="2"/>
    <x v="0"/>
    <x v="2"/>
    <x v="0"/>
    <x v="21"/>
    <x v="1"/>
    <x v="9"/>
    <x v="2"/>
  </r>
  <r>
    <x v="1642"/>
    <x v="6"/>
    <x v="0"/>
    <n v="53.7"/>
    <x v="1309"/>
    <x v="61"/>
    <x v="63"/>
    <x v="1"/>
    <x v="1"/>
    <x v="1"/>
    <x v="0"/>
    <x v="1"/>
    <x v="1"/>
    <x v="9"/>
    <x v="1"/>
  </r>
  <r>
    <x v="1643"/>
    <x v="2"/>
    <x v="1"/>
    <n v="123.9"/>
    <x v="1310"/>
    <x v="61"/>
    <x v="66"/>
    <x v="1"/>
    <x v="2"/>
    <x v="0"/>
    <x v="0"/>
    <x v="1"/>
    <x v="2"/>
    <x v="9"/>
    <x v="1"/>
  </r>
  <r>
    <x v="1644"/>
    <x v="4"/>
    <x v="2"/>
    <n v="35.9"/>
    <x v="1311"/>
    <x v="61"/>
    <x v="63"/>
    <x v="1"/>
    <x v="2"/>
    <x v="0"/>
    <x v="0"/>
    <x v="22"/>
    <x v="1"/>
    <x v="9"/>
    <x v="1"/>
  </r>
  <r>
    <x v="1645"/>
    <x v="4"/>
    <x v="1"/>
    <n v="23.6"/>
    <x v="828"/>
    <x v="61"/>
    <x v="66"/>
    <x v="1"/>
    <x v="0"/>
    <x v="2"/>
    <x v="0"/>
    <x v="3"/>
    <x v="2"/>
    <x v="9"/>
    <x v="1"/>
  </r>
  <r>
    <x v="1646"/>
    <x v="15"/>
    <x v="36"/>
    <n v="45.7"/>
    <x v="1312"/>
    <x v="61"/>
    <x v="61"/>
    <x v="1"/>
    <x v="0"/>
    <x v="1"/>
    <x v="0"/>
    <x v="3"/>
    <x v="3"/>
    <x v="9"/>
    <x v="1"/>
  </r>
  <r>
    <x v="1647"/>
    <x v="6"/>
    <x v="5"/>
    <n v="118.3"/>
    <x v="1313"/>
    <x v="61"/>
    <x v="63"/>
    <x v="1"/>
    <x v="4"/>
    <x v="2"/>
    <x v="0"/>
    <x v="3"/>
    <x v="1"/>
    <x v="9"/>
    <x v="1"/>
  </r>
  <r>
    <x v="1648"/>
    <x v="19"/>
    <x v="0"/>
    <n v="36"/>
    <x v="53"/>
    <x v="61"/>
    <x v="61"/>
    <x v="2"/>
    <x v="0"/>
    <x v="1"/>
    <x v="0"/>
    <x v="3"/>
    <x v="3"/>
    <x v="9"/>
    <x v="2"/>
  </r>
  <r>
    <x v="1649"/>
    <x v="8"/>
    <x v="1"/>
    <n v="37.1"/>
    <x v="1314"/>
    <x v="61"/>
    <x v="66"/>
    <x v="2"/>
    <x v="2"/>
    <x v="0"/>
    <x v="0"/>
    <x v="3"/>
    <x v="2"/>
    <x v="9"/>
    <x v="2"/>
  </r>
  <r>
    <x v="1650"/>
    <x v="18"/>
    <x v="2"/>
    <n v="45.1"/>
    <x v="246"/>
    <x v="61"/>
    <x v="63"/>
    <x v="2"/>
    <x v="1"/>
    <x v="2"/>
    <x v="0"/>
    <x v="3"/>
    <x v="1"/>
    <x v="9"/>
    <x v="2"/>
  </r>
  <r>
    <x v="1651"/>
    <x v="5"/>
    <x v="27"/>
    <n v="37.9"/>
    <x v="1315"/>
    <x v="61"/>
    <x v="61"/>
    <x v="2"/>
    <x v="3"/>
    <x v="2"/>
    <x v="0"/>
    <x v="3"/>
    <x v="3"/>
    <x v="9"/>
    <x v="2"/>
  </r>
  <r>
    <x v="1652"/>
    <x v="2"/>
    <x v="1"/>
    <n v="121.6"/>
    <x v="1316"/>
    <x v="61"/>
    <x v="66"/>
    <x v="1"/>
    <x v="3"/>
    <x v="2"/>
    <x v="0"/>
    <x v="3"/>
    <x v="2"/>
    <x v="9"/>
    <x v="1"/>
  </r>
  <r>
    <x v="1653"/>
    <x v="5"/>
    <x v="3"/>
    <n v="38.200000000000003"/>
    <x v="1317"/>
    <x v="61"/>
    <x v="66"/>
    <x v="2"/>
    <x v="0"/>
    <x v="0"/>
    <x v="0"/>
    <x v="3"/>
    <x v="2"/>
    <x v="9"/>
    <x v="2"/>
  </r>
  <r>
    <x v="1654"/>
    <x v="17"/>
    <x v="1"/>
    <n v="37.200000000000003"/>
    <x v="610"/>
    <x v="61"/>
    <x v="66"/>
    <x v="1"/>
    <x v="4"/>
    <x v="0"/>
    <x v="0"/>
    <x v="3"/>
    <x v="2"/>
    <x v="9"/>
    <x v="1"/>
  </r>
  <r>
    <x v="1655"/>
    <x v="2"/>
    <x v="12"/>
    <n v="115.7"/>
    <x v="1318"/>
    <x v="61"/>
    <x v="66"/>
    <x v="2"/>
    <x v="1"/>
    <x v="0"/>
    <x v="0"/>
    <x v="3"/>
    <x v="2"/>
    <x v="9"/>
    <x v="2"/>
  </r>
  <r>
    <x v="1656"/>
    <x v="2"/>
    <x v="13"/>
    <n v="99.4"/>
    <x v="1319"/>
    <x v="61"/>
    <x v="66"/>
    <x v="1"/>
    <x v="0"/>
    <x v="2"/>
    <x v="0"/>
    <x v="3"/>
    <x v="2"/>
    <x v="9"/>
    <x v="1"/>
  </r>
  <r>
    <x v="1657"/>
    <x v="11"/>
    <x v="0"/>
    <n v="38.700000000000003"/>
    <x v="1320"/>
    <x v="61"/>
    <x v="61"/>
    <x v="2"/>
    <x v="2"/>
    <x v="0"/>
    <x v="0"/>
    <x v="25"/>
    <x v="3"/>
    <x v="9"/>
    <x v="2"/>
  </r>
  <r>
    <x v="1658"/>
    <x v="4"/>
    <x v="1"/>
    <n v="35.5"/>
    <x v="1321"/>
    <x v="61"/>
    <x v="66"/>
    <x v="1"/>
    <x v="0"/>
    <x v="2"/>
    <x v="0"/>
    <x v="25"/>
    <x v="2"/>
    <x v="9"/>
    <x v="1"/>
  </r>
  <r>
    <x v="1659"/>
    <x v="2"/>
    <x v="12"/>
    <n v="93.3"/>
    <x v="1322"/>
    <x v="61"/>
    <x v="66"/>
    <x v="2"/>
    <x v="0"/>
    <x v="2"/>
    <x v="0"/>
    <x v="6"/>
    <x v="2"/>
    <x v="9"/>
    <x v="2"/>
  </r>
  <r>
    <x v="1660"/>
    <x v="16"/>
    <x v="0"/>
    <n v="31.4"/>
    <x v="1323"/>
    <x v="61"/>
    <x v="70"/>
    <x v="2"/>
    <x v="2"/>
    <x v="2"/>
    <x v="0"/>
    <x v="6"/>
    <x v="0"/>
    <x v="9"/>
    <x v="2"/>
  </r>
  <r>
    <x v="1661"/>
    <x v="1"/>
    <x v="0"/>
    <n v="85.9"/>
    <x v="1324"/>
    <x v="61"/>
    <x v="66"/>
    <x v="1"/>
    <x v="1"/>
    <x v="0"/>
    <x v="0"/>
    <x v="6"/>
    <x v="2"/>
    <x v="9"/>
    <x v="1"/>
  </r>
  <r>
    <x v="1662"/>
    <x v="6"/>
    <x v="8"/>
    <n v="41.7"/>
    <x v="335"/>
    <x v="61"/>
    <x v="71"/>
    <x v="1"/>
    <x v="0"/>
    <x v="2"/>
    <x v="0"/>
    <x v="7"/>
    <x v="9"/>
    <x v="9"/>
    <x v="1"/>
  </r>
  <r>
    <x v="1663"/>
    <x v="8"/>
    <x v="12"/>
    <n v="31.5"/>
    <x v="624"/>
    <x v="61"/>
    <x v="61"/>
    <x v="2"/>
    <x v="0"/>
    <x v="0"/>
    <x v="0"/>
    <x v="7"/>
    <x v="3"/>
    <x v="9"/>
    <x v="2"/>
  </r>
  <r>
    <x v="1664"/>
    <x v="8"/>
    <x v="1"/>
    <n v="36.299999999999997"/>
    <x v="1325"/>
    <x v="61"/>
    <x v="61"/>
    <x v="2"/>
    <x v="0"/>
    <x v="4"/>
    <x v="0"/>
    <x v="8"/>
    <x v="3"/>
    <x v="9"/>
    <x v="2"/>
  </r>
  <r>
    <x v="1665"/>
    <x v="8"/>
    <x v="2"/>
    <n v="33.4"/>
    <x v="1326"/>
    <x v="61"/>
    <x v="61"/>
    <x v="2"/>
    <x v="3"/>
    <x v="0"/>
    <x v="0"/>
    <x v="17"/>
    <x v="3"/>
    <x v="9"/>
    <x v="2"/>
  </r>
  <r>
    <x v="1666"/>
    <x v="2"/>
    <x v="2"/>
    <n v="65.2"/>
    <x v="1327"/>
    <x v="61"/>
    <x v="61"/>
    <x v="2"/>
    <x v="2"/>
    <x v="2"/>
    <x v="0"/>
    <x v="26"/>
    <x v="3"/>
    <x v="9"/>
    <x v="2"/>
  </r>
  <r>
    <x v="1667"/>
    <x v="8"/>
    <x v="11"/>
    <n v="65.5"/>
    <x v="1328"/>
    <x v="61"/>
    <x v="66"/>
    <x v="2"/>
    <x v="0"/>
    <x v="2"/>
    <x v="0"/>
    <x v="9"/>
    <x v="2"/>
    <x v="9"/>
    <x v="2"/>
  </r>
  <r>
    <x v="1668"/>
    <x v="6"/>
    <x v="2"/>
    <n v="52.8"/>
    <x v="1329"/>
    <x v="61"/>
    <x v="66"/>
    <x v="1"/>
    <x v="2"/>
    <x v="0"/>
    <x v="0"/>
    <x v="9"/>
    <x v="2"/>
    <x v="9"/>
    <x v="1"/>
  </r>
  <r>
    <x v="1669"/>
    <x v="9"/>
    <x v="9"/>
    <n v="24"/>
    <x v="160"/>
    <x v="61"/>
    <x v="68"/>
    <x v="1"/>
    <x v="0"/>
    <x v="1"/>
    <x v="0"/>
    <x v="11"/>
    <x v="5"/>
    <x v="9"/>
    <x v="1"/>
  </r>
  <r>
    <x v="1670"/>
    <x v="3"/>
    <x v="2"/>
    <n v="51.2"/>
    <x v="1330"/>
    <x v="61"/>
    <x v="61"/>
    <x v="2"/>
    <x v="0"/>
    <x v="0"/>
    <x v="0"/>
    <x v="32"/>
    <x v="3"/>
    <x v="9"/>
    <x v="2"/>
  </r>
  <r>
    <x v="1671"/>
    <x v="5"/>
    <x v="2"/>
    <n v="28.3"/>
    <x v="1331"/>
    <x v="61"/>
    <x v="63"/>
    <x v="1"/>
    <x v="4"/>
    <x v="0"/>
    <x v="0"/>
    <x v="19"/>
    <x v="1"/>
    <x v="9"/>
    <x v="1"/>
  </r>
  <r>
    <x v="1672"/>
    <x v="6"/>
    <x v="2"/>
    <n v="42.3"/>
    <x v="1332"/>
    <x v="61"/>
    <x v="62"/>
    <x v="2"/>
    <x v="2"/>
    <x v="1"/>
    <x v="0"/>
    <x v="19"/>
    <x v="7"/>
    <x v="9"/>
    <x v="2"/>
  </r>
  <r>
    <x v="1673"/>
    <x v="2"/>
    <x v="8"/>
    <n v="163.30000000000001"/>
    <x v="1333"/>
    <x v="62"/>
    <x v="63"/>
    <x v="2"/>
    <x v="1"/>
    <x v="0"/>
    <x v="0"/>
    <x v="13"/>
    <x v="3"/>
    <x v="9"/>
    <x v="2"/>
  </r>
  <r>
    <x v="1674"/>
    <x v="6"/>
    <x v="3"/>
    <n v="47.3"/>
    <x v="1334"/>
    <x v="62"/>
    <x v="68"/>
    <x v="2"/>
    <x v="4"/>
    <x v="1"/>
    <x v="0"/>
    <x v="21"/>
    <x v="2"/>
    <x v="9"/>
    <x v="2"/>
  </r>
  <r>
    <x v="1675"/>
    <x v="8"/>
    <x v="27"/>
    <n v="27.3"/>
    <x v="1335"/>
    <x v="62"/>
    <x v="63"/>
    <x v="2"/>
    <x v="2"/>
    <x v="0"/>
    <x v="0"/>
    <x v="21"/>
    <x v="3"/>
    <x v="9"/>
    <x v="2"/>
  </r>
  <r>
    <x v="1676"/>
    <x v="10"/>
    <x v="13"/>
    <n v="34.9"/>
    <x v="1336"/>
    <x v="62"/>
    <x v="72"/>
    <x v="2"/>
    <x v="0"/>
    <x v="0"/>
    <x v="0"/>
    <x v="21"/>
    <x v="11"/>
    <x v="9"/>
    <x v="2"/>
  </r>
  <r>
    <x v="1677"/>
    <x v="6"/>
    <x v="1"/>
    <n v="53.9"/>
    <x v="215"/>
    <x v="62"/>
    <x v="68"/>
    <x v="3"/>
    <x v="0"/>
    <x v="4"/>
    <x v="0"/>
    <x v="1"/>
    <x v="2"/>
    <x v="9"/>
    <x v="3"/>
  </r>
  <r>
    <x v="1678"/>
    <x v="2"/>
    <x v="1"/>
    <n v="87.2"/>
    <x v="1337"/>
    <x v="62"/>
    <x v="63"/>
    <x v="2"/>
    <x v="0"/>
    <x v="1"/>
    <x v="0"/>
    <x v="1"/>
    <x v="3"/>
    <x v="9"/>
    <x v="2"/>
  </r>
  <r>
    <x v="1679"/>
    <x v="15"/>
    <x v="0"/>
    <n v="58.8"/>
    <x v="572"/>
    <x v="62"/>
    <x v="66"/>
    <x v="2"/>
    <x v="2"/>
    <x v="0"/>
    <x v="0"/>
    <x v="44"/>
    <x v="1"/>
    <x v="9"/>
    <x v="2"/>
  </r>
  <r>
    <x v="1680"/>
    <x v="2"/>
    <x v="3"/>
    <n v="125.5"/>
    <x v="1338"/>
    <x v="62"/>
    <x v="63"/>
    <x v="1"/>
    <x v="2"/>
    <x v="4"/>
    <x v="0"/>
    <x v="22"/>
    <x v="3"/>
    <x v="9"/>
    <x v="1"/>
  </r>
  <r>
    <x v="1681"/>
    <x v="1"/>
    <x v="12"/>
    <n v="124.6"/>
    <x v="1339"/>
    <x v="62"/>
    <x v="66"/>
    <x v="2"/>
    <x v="0"/>
    <x v="1"/>
    <x v="0"/>
    <x v="22"/>
    <x v="1"/>
    <x v="9"/>
    <x v="2"/>
  </r>
  <r>
    <x v="1682"/>
    <x v="1"/>
    <x v="3"/>
    <n v="39.9"/>
    <x v="1340"/>
    <x v="62"/>
    <x v="63"/>
    <x v="1"/>
    <x v="2"/>
    <x v="1"/>
    <x v="0"/>
    <x v="3"/>
    <x v="3"/>
    <x v="9"/>
    <x v="1"/>
  </r>
  <r>
    <x v="1683"/>
    <x v="6"/>
    <x v="0"/>
    <n v="94.6"/>
    <x v="422"/>
    <x v="62"/>
    <x v="73"/>
    <x v="2"/>
    <x v="0"/>
    <x v="1"/>
    <x v="0"/>
    <x v="3"/>
    <x v="12"/>
    <x v="9"/>
    <x v="2"/>
  </r>
  <r>
    <x v="1684"/>
    <x v="2"/>
    <x v="1"/>
    <n v="149.6"/>
    <x v="1341"/>
    <x v="62"/>
    <x v="63"/>
    <x v="2"/>
    <x v="0"/>
    <x v="0"/>
    <x v="0"/>
    <x v="3"/>
    <x v="3"/>
    <x v="9"/>
    <x v="2"/>
  </r>
  <r>
    <x v="1685"/>
    <x v="8"/>
    <x v="0"/>
    <n v="52.2"/>
    <x v="1342"/>
    <x v="62"/>
    <x v="63"/>
    <x v="0"/>
    <x v="1"/>
    <x v="0"/>
    <x v="0"/>
    <x v="3"/>
    <x v="3"/>
    <x v="9"/>
    <x v="0"/>
  </r>
  <r>
    <x v="1686"/>
    <x v="6"/>
    <x v="1"/>
    <n v="96.5"/>
    <x v="1343"/>
    <x v="62"/>
    <x v="63"/>
    <x v="2"/>
    <x v="1"/>
    <x v="1"/>
    <x v="0"/>
    <x v="3"/>
    <x v="3"/>
    <x v="9"/>
    <x v="2"/>
  </r>
  <r>
    <x v="1687"/>
    <x v="8"/>
    <x v="1"/>
    <n v="79.8"/>
    <x v="1344"/>
    <x v="62"/>
    <x v="66"/>
    <x v="2"/>
    <x v="0"/>
    <x v="1"/>
    <x v="0"/>
    <x v="3"/>
    <x v="1"/>
    <x v="9"/>
    <x v="2"/>
  </r>
  <r>
    <x v="1688"/>
    <x v="8"/>
    <x v="2"/>
    <n v="35.6"/>
    <x v="694"/>
    <x v="62"/>
    <x v="63"/>
    <x v="2"/>
    <x v="2"/>
    <x v="0"/>
    <x v="0"/>
    <x v="3"/>
    <x v="3"/>
    <x v="9"/>
    <x v="2"/>
  </r>
  <r>
    <x v="1689"/>
    <x v="16"/>
    <x v="0"/>
    <n v="50.2"/>
    <x v="486"/>
    <x v="62"/>
    <x v="63"/>
    <x v="2"/>
    <x v="1"/>
    <x v="2"/>
    <x v="0"/>
    <x v="3"/>
    <x v="3"/>
    <x v="9"/>
    <x v="2"/>
  </r>
  <r>
    <x v="1690"/>
    <x v="1"/>
    <x v="2"/>
    <n v="55.3"/>
    <x v="1345"/>
    <x v="62"/>
    <x v="68"/>
    <x v="2"/>
    <x v="0"/>
    <x v="4"/>
    <x v="0"/>
    <x v="40"/>
    <x v="2"/>
    <x v="9"/>
    <x v="2"/>
  </r>
  <r>
    <x v="1691"/>
    <x v="6"/>
    <x v="3"/>
    <n v="104.5"/>
    <x v="1346"/>
    <x v="62"/>
    <x v="70"/>
    <x v="2"/>
    <x v="1"/>
    <x v="0"/>
    <x v="0"/>
    <x v="7"/>
    <x v="5"/>
    <x v="9"/>
    <x v="2"/>
  </r>
  <r>
    <x v="1692"/>
    <x v="6"/>
    <x v="12"/>
    <n v="66.5"/>
    <x v="751"/>
    <x v="62"/>
    <x v="66"/>
    <x v="1"/>
    <x v="1"/>
    <x v="0"/>
    <x v="0"/>
    <x v="7"/>
    <x v="1"/>
    <x v="9"/>
    <x v="1"/>
  </r>
  <r>
    <x v="1693"/>
    <x v="10"/>
    <x v="8"/>
    <n v="38.299999999999997"/>
    <x v="1347"/>
    <x v="62"/>
    <x v="63"/>
    <x v="2"/>
    <x v="0"/>
    <x v="0"/>
    <x v="0"/>
    <x v="7"/>
    <x v="3"/>
    <x v="9"/>
    <x v="2"/>
  </r>
  <r>
    <x v="1694"/>
    <x v="6"/>
    <x v="2"/>
    <n v="63.8"/>
    <x v="1348"/>
    <x v="62"/>
    <x v="68"/>
    <x v="2"/>
    <x v="1"/>
    <x v="0"/>
    <x v="0"/>
    <x v="8"/>
    <x v="2"/>
    <x v="9"/>
    <x v="2"/>
  </r>
  <r>
    <x v="1695"/>
    <x v="15"/>
    <x v="0"/>
    <n v="21.4"/>
    <x v="1349"/>
    <x v="62"/>
    <x v="61"/>
    <x v="1"/>
    <x v="4"/>
    <x v="0"/>
    <x v="0"/>
    <x v="8"/>
    <x v="7"/>
    <x v="9"/>
    <x v="1"/>
  </r>
  <r>
    <x v="1696"/>
    <x v="8"/>
    <x v="12"/>
    <n v="44.1"/>
    <x v="1350"/>
    <x v="62"/>
    <x v="66"/>
    <x v="2"/>
    <x v="2"/>
    <x v="0"/>
    <x v="0"/>
    <x v="8"/>
    <x v="1"/>
    <x v="9"/>
    <x v="2"/>
  </r>
  <r>
    <x v="1697"/>
    <x v="5"/>
    <x v="8"/>
    <n v="57.6"/>
    <x v="1351"/>
    <x v="62"/>
    <x v="66"/>
    <x v="1"/>
    <x v="1"/>
    <x v="2"/>
    <x v="0"/>
    <x v="8"/>
    <x v="1"/>
    <x v="9"/>
    <x v="1"/>
  </r>
  <r>
    <x v="1698"/>
    <x v="9"/>
    <x v="1"/>
    <n v="20.3"/>
    <x v="1352"/>
    <x v="62"/>
    <x v="65"/>
    <x v="2"/>
    <x v="3"/>
    <x v="0"/>
    <x v="0"/>
    <x v="8"/>
    <x v="4"/>
    <x v="9"/>
    <x v="2"/>
  </r>
  <r>
    <x v="1699"/>
    <x v="8"/>
    <x v="0"/>
    <n v="22.9"/>
    <x v="1246"/>
    <x v="62"/>
    <x v="66"/>
    <x v="2"/>
    <x v="2"/>
    <x v="2"/>
    <x v="0"/>
    <x v="8"/>
    <x v="1"/>
    <x v="9"/>
    <x v="2"/>
  </r>
  <r>
    <x v="1700"/>
    <x v="6"/>
    <x v="12"/>
    <n v="105.9"/>
    <x v="1353"/>
    <x v="62"/>
    <x v="63"/>
    <x v="2"/>
    <x v="1"/>
    <x v="2"/>
    <x v="0"/>
    <x v="17"/>
    <x v="3"/>
    <x v="9"/>
    <x v="2"/>
  </r>
  <r>
    <x v="1701"/>
    <x v="1"/>
    <x v="11"/>
    <n v="37.4"/>
    <x v="1354"/>
    <x v="62"/>
    <x v="70"/>
    <x v="1"/>
    <x v="1"/>
    <x v="0"/>
    <x v="0"/>
    <x v="11"/>
    <x v="5"/>
    <x v="9"/>
    <x v="1"/>
  </r>
  <r>
    <x v="1702"/>
    <x v="18"/>
    <x v="1"/>
    <n v="79"/>
    <x v="1355"/>
    <x v="62"/>
    <x v="63"/>
    <x v="1"/>
    <x v="2"/>
    <x v="0"/>
    <x v="0"/>
    <x v="28"/>
    <x v="3"/>
    <x v="9"/>
    <x v="1"/>
  </r>
  <r>
    <x v="1703"/>
    <x v="0"/>
    <x v="2"/>
    <n v="19.3"/>
    <x v="1356"/>
    <x v="62"/>
    <x v="63"/>
    <x v="2"/>
    <x v="4"/>
    <x v="0"/>
    <x v="0"/>
    <x v="21"/>
    <x v="3"/>
    <x v="9"/>
    <x v="2"/>
  </r>
  <r>
    <x v="1704"/>
    <x v="0"/>
    <x v="0"/>
    <n v="24"/>
    <x v="835"/>
    <x v="62"/>
    <x v="63"/>
    <x v="2"/>
    <x v="1"/>
    <x v="0"/>
    <x v="0"/>
    <x v="1"/>
    <x v="3"/>
    <x v="9"/>
    <x v="2"/>
  </r>
  <r>
    <x v="1705"/>
    <x v="6"/>
    <x v="9"/>
    <n v="71.3"/>
    <x v="1357"/>
    <x v="62"/>
    <x v="68"/>
    <x v="2"/>
    <x v="2"/>
    <x v="0"/>
    <x v="0"/>
    <x v="2"/>
    <x v="2"/>
    <x v="9"/>
    <x v="2"/>
  </r>
  <r>
    <x v="1706"/>
    <x v="5"/>
    <x v="1"/>
    <n v="166.2"/>
    <x v="1358"/>
    <x v="62"/>
    <x v="63"/>
    <x v="1"/>
    <x v="0"/>
    <x v="2"/>
    <x v="0"/>
    <x v="50"/>
    <x v="3"/>
    <x v="9"/>
    <x v="1"/>
  </r>
  <r>
    <x v="1707"/>
    <x v="6"/>
    <x v="0"/>
    <n v="81"/>
    <x v="969"/>
    <x v="62"/>
    <x v="63"/>
    <x v="2"/>
    <x v="2"/>
    <x v="1"/>
    <x v="0"/>
    <x v="3"/>
    <x v="3"/>
    <x v="9"/>
    <x v="2"/>
  </r>
  <r>
    <x v="1708"/>
    <x v="10"/>
    <x v="13"/>
    <n v="38.5"/>
    <x v="1359"/>
    <x v="62"/>
    <x v="70"/>
    <x v="2"/>
    <x v="0"/>
    <x v="0"/>
    <x v="0"/>
    <x v="3"/>
    <x v="5"/>
    <x v="9"/>
    <x v="2"/>
  </r>
  <r>
    <x v="1709"/>
    <x v="6"/>
    <x v="0"/>
    <n v="86.1"/>
    <x v="1360"/>
    <x v="62"/>
    <x v="66"/>
    <x v="2"/>
    <x v="3"/>
    <x v="0"/>
    <x v="0"/>
    <x v="3"/>
    <x v="1"/>
    <x v="9"/>
    <x v="2"/>
  </r>
  <r>
    <x v="1710"/>
    <x v="2"/>
    <x v="9"/>
    <n v="51"/>
    <x v="951"/>
    <x v="62"/>
    <x v="63"/>
    <x v="1"/>
    <x v="0"/>
    <x v="1"/>
    <x v="0"/>
    <x v="3"/>
    <x v="3"/>
    <x v="9"/>
    <x v="1"/>
  </r>
  <r>
    <x v="1711"/>
    <x v="3"/>
    <x v="9"/>
    <n v="115.4"/>
    <x v="1361"/>
    <x v="62"/>
    <x v="63"/>
    <x v="1"/>
    <x v="0"/>
    <x v="0"/>
    <x v="0"/>
    <x v="3"/>
    <x v="3"/>
    <x v="9"/>
    <x v="1"/>
  </r>
  <r>
    <x v="1712"/>
    <x v="6"/>
    <x v="12"/>
    <n v="176.5"/>
    <x v="1362"/>
    <x v="62"/>
    <x v="63"/>
    <x v="2"/>
    <x v="2"/>
    <x v="2"/>
    <x v="0"/>
    <x v="3"/>
    <x v="3"/>
    <x v="9"/>
    <x v="2"/>
  </r>
  <r>
    <x v="1713"/>
    <x v="7"/>
    <x v="2"/>
    <n v="48.9"/>
    <x v="1363"/>
    <x v="62"/>
    <x v="63"/>
    <x v="1"/>
    <x v="4"/>
    <x v="0"/>
    <x v="0"/>
    <x v="3"/>
    <x v="3"/>
    <x v="9"/>
    <x v="1"/>
  </r>
  <r>
    <x v="1714"/>
    <x v="8"/>
    <x v="2"/>
    <n v="18.100000000000001"/>
    <x v="1364"/>
    <x v="62"/>
    <x v="71"/>
    <x v="2"/>
    <x v="1"/>
    <x v="2"/>
    <x v="0"/>
    <x v="29"/>
    <x v="6"/>
    <x v="9"/>
    <x v="2"/>
  </r>
  <r>
    <x v="1715"/>
    <x v="2"/>
    <x v="1"/>
    <n v="118.5"/>
    <x v="1365"/>
    <x v="62"/>
    <x v="68"/>
    <x v="1"/>
    <x v="1"/>
    <x v="2"/>
    <x v="0"/>
    <x v="16"/>
    <x v="2"/>
    <x v="9"/>
    <x v="1"/>
  </r>
  <r>
    <x v="1716"/>
    <x v="15"/>
    <x v="3"/>
    <n v="59.1"/>
    <x v="1366"/>
    <x v="62"/>
    <x v="63"/>
    <x v="2"/>
    <x v="3"/>
    <x v="0"/>
    <x v="0"/>
    <x v="25"/>
    <x v="3"/>
    <x v="9"/>
    <x v="2"/>
  </r>
  <r>
    <x v="1717"/>
    <x v="4"/>
    <x v="0"/>
    <n v="21.2"/>
    <x v="333"/>
    <x v="62"/>
    <x v="63"/>
    <x v="2"/>
    <x v="0"/>
    <x v="1"/>
    <x v="0"/>
    <x v="6"/>
    <x v="3"/>
    <x v="9"/>
    <x v="2"/>
  </r>
  <r>
    <x v="1718"/>
    <x v="6"/>
    <x v="1"/>
    <n v="68.8"/>
    <x v="1367"/>
    <x v="62"/>
    <x v="60"/>
    <x v="2"/>
    <x v="3"/>
    <x v="2"/>
    <x v="0"/>
    <x v="6"/>
    <x v="0"/>
    <x v="9"/>
    <x v="2"/>
  </r>
  <r>
    <x v="1719"/>
    <x v="6"/>
    <x v="1"/>
    <n v="65.400000000000006"/>
    <x v="1272"/>
    <x v="62"/>
    <x v="70"/>
    <x v="2"/>
    <x v="0"/>
    <x v="0"/>
    <x v="0"/>
    <x v="6"/>
    <x v="5"/>
    <x v="9"/>
    <x v="2"/>
  </r>
  <r>
    <x v="1720"/>
    <x v="12"/>
    <x v="9"/>
    <n v="66.3"/>
    <x v="1278"/>
    <x v="63"/>
    <x v="70"/>
    <x v="2"/>
    <x v="4"/>
    <x v="0"/>
    <x v="0"/>
    <x v="6"/>
    <x v="2"/>
    <x v="9"/>
    <x v="2"/>
  </r>
  <r>
    <x v="1721"/>
    <x v="6"/>
    <x v="2"/>
    <n v="97.5"/>
    <x v="1368"/>
    <x v="63"/>
    <x v="63"/>
    <x v="1"/>
    <x v="3"/>
    <x v="0"/>
    <x v="0"/>
    <x v="8"/>
    <x v="7"/>
    <x v="9"/>
    <x v="1"/>
  </r>
  <r>
    <x v="1722"/>
    <x v="1"/>
    <x v="1"/>
    <n v="44"/>
    <x v="1155"/>
    <x v="63"/>
    <x v="70"/>
    <x v="2"/>
    <x v="1"/>
    <x v="2"/>
    <x v="0"/>
    <x v="8"/>
    <x v="2"/>
    <x v="9"/>
    <x v="2"/>
  </r>
  <r>
    <x v="1723"/>
    <x v="0"/>
    <x v="0"/>
    <n v="21.9"/>
    <x v="731"/>
    <x v="63"/>
    <x v="66"/>
    <x v="1"/>
    <x v="0"/>
    <x v="0"/>
    <x v="0"/>
    <x v="8"/>
    <x v="3"/>
    <x v="9"/>
    <x v="1"/>
  </r>
  <r>
    <x v="1724"/>
    <x v="4"/>
    <x v="3"/>
    <n v="21.5"/>
    <x v="379"/>
    <x v="63"/>
    <x v="68"/>
    <x v="2"/>
    <x v="1"/>
    <x v="2"/>
    <x v="0"/>
    <x v="9"/>
    <x v="1"/>
    <x v="9"/>
    <x v="2"/>
  </r>
  <r>
    <x v="1725"/>
    <x v="12"/>
    <x v="13"/>
    <n v="133"/>
    <x v="1369"/>
    <x v="63"/>
    <x v="66"/>
    <x v="3"/>
    <x v="0"/>
    <x v="2"/>
    <x v="0"/>
    <x v="10"/>
    <x v="3"/>
    <x v="9"/>
    <x v="3"/>
  </r>
  <r>
    <x v="1726"/>
    <x v="8"/>
    <x v="1"/>
    <n v="47.7"/>
    <x v="233"/>
    <x v="63"/>
    <x v="60"/>
    <x v="1"/>
    <x v="0"/>
    <x v="2"/>
    <x v="0"/>
    <x v="10"/>
    <x v="5"/>
    <x v="9"/>
    <x v="1"/>
  </r>
  <r>
    <x v="1727"/>
    <x v="16"/>
    <x v="2"/>
    <n v="58.1"/>
    <x v="889"/>
    <x v="63"/>
    <x v="66"/>
    <x v="2"/>
    <x v="0"/>
    <x v="0"/>
    <x v="0"/>
    <x v="11"/>
    <x v="3"/>
    <x v="9"/>
    <x v="2"/>
  </r>
  <r>
    <x v="1728"/>
    <x v="12"/>
    <x v="12"/>
    <n v="66.599999999999994"/>
    <x v="1370"/>
    <x v="63"/>
    <x v="66"/>
    <x v="0"/>
    <x v="0"/>
    <x v="0"/>
    <x v="0"/>
    <x v="11"/>
    <x v="3"/>
    <x v="9"/>
    <x v="0"/>
  </r>
  <r>
    <x v="1729"/>
    <x v="9"/>
    <x v="0"/>
    <n v="24.1"/>
    <x v="1057"/>
    <x v="63"/>
    <x v="70"/>
    <x v="1"/>
    <x v="2"/>
    <x v="1"/>
    <x v="0"/>
    <x v="19"/>
    <x v="2"/>
    <x v="9"/>
    <x v="1"/>
  </r>
  <r>
    <x v="1730"/>
    <x v="10"/>
    <x v="9"/>
    <n v="51.5"/>
    <x v="1371"/>
    <x v="63"/>
    <x v="65"/>
    <x v="2"/>
    <x v="0"/>
    <x v="0"/>
    <x v="0"/>
    <x v="13"/>
    <x v="0"/>
    <x v="9"/>
    <x v="2"/>
  </r>
  <r>
    <x v="1731"/>
    <x v="0"/>
    <x v="5"/>
    <n v="25.8"/>
    <x v="674"/>
    <x v="63"/>
    <x v="60"/>
    <x v="2"/>
    <x v="3"/>
    <x v="4"/>
    <x v="0"/>
    <x v="21"/>
    <x v="5"/>
    <x v="9"/>
    <x v="2"/>
  </r>
  <r>
    <x v="1732"/>
    <x v="9"/>
    <x v="12"/>
    <n v="47.7"/>
    <x v="1372"/>
    <x v="63"/>
    <x v="63"/>
    <x v="2"/>
    <x v="0"/>
    <x v="1"/>
    <x v="0"/>
    <x v="21"/>
    <x v="7"/>
    <x v="9"/>
    <x v="2"/>
  </r>
  <r>
    <x v="1733"/>
    <x v="7"/>
    <x v="9"/>
    <n v="73.599999999999994"/>
    <x v="1373"/>
    <x v="63"/>
    <x v="60"/>
    <x v="1"/>
    <x v="1"/>
    <x v="0"/>
    <x v="0"/>
    <x v="21"/>
    <x v="5"/>
    <x v="9"/>
    <x v="1"/>
  </r>
  <r>
    <x v="1734"/>
    <x v="5"/>
    <x v="3"/>
    <n v="91.2"/>
    <x v="1374"/>
    <x v="63"/>
    <x v="66"/>
    <x v="1"/>
    <x v="1"/>
    <x v="2"/>
    <x v="0"/>
    <x v="21"/>
    <x v="3"/>
    <x v="9"/>
    <x v="1"/>
  </r>
  <r>
    <x v="1735"/>
    <x v="1"/>
    <x v="8"/>
    <n v="36.200000000000003"/>
    <x v="1375"/>
    <x v="63"/>
    <x v="63"/>
    <x v="1"/>
    <x v="2"/>
    <x v="2"/>
    <x v="0"/>
    <x v="1"/>
    <x v="7"/>
    <x v="9"/>
    <x v="1"/>
  </r>
  <r>
    <x v="1736"/>
    <x v="9"/>
    <x v="8"/>
    <n v="98"/>
    <x v="1376"/>
    <x v="63"/>
    <x v="60"/>
    <x v="2"/>
    <x v="2"/>
    <x v="0"/>
    <x v="0"/>
    <x v="2"/>
    <x v="5"/>
    <x v="9"/>
    <x v="2"/>
  </r>
  <r>
    <x v="1737"/>
    <x v="1"/>
    <x v="8"/>
    <n v="43.6"/>
    <x v="1377"/>
    <x v="63"/>
    <x v="66"/>
    <x v="2"/>
    <x v="2"/>
    <x v="0"/>
    <x v="0"/>
    <x v="22"/>
    <x v="3"/>
    <x v="9"/>
    <x v="2"/>
  </r>
  <r>
    <x v="1738"/>
    <x v="8"/>
    <x v="7"/>
    <n v="37.799999999999997"/>
    <x v="1378"/>
    <x v="63"/>
    <x v="63"/>
    <x v="3"/>
    <x v="0"/>
    <x v="0"/>
    <x v="0"/>
    <x v="50"/>
    <x v="7"/>
    <x v="9"/>
    <x v="3"/>
  </r>
  <r>
    <x v="1739"/>
    <x v="17"/>
    <x v="9"/>
    <n v="63.7"/>
    <x v="46"/>
    <x v="63"/>
    <x v="70"/>
    <x v="2"/>
    <x v="2"/>
    <x v="1"/>
    <x v="0"/>
    <x v="3"/>
    <x v="2"/>
    <x v="9"/>
    <x v="2"/>
  </r>
  <r>
    <x v="1740"/>
    <x v="5"/>
    <x v="11"/>
    <n v="62.9"/>
    <x v="1379"/>
    <x v="63"/>
    <x v="65"/>
    <x v="1"/>
    <x v="3"/>
    <x v="2"/>
    <x v="0"/>
    <x v="3"/>
    <x v="0"/>
    <x v="9"/>
    <x v="1"/>
  </r>
  <r>
    <x v="1741"/>
    <x v="6"/>
    <x v="3"/>
    <n v="61.7"/>
    <x v="245"/>
    <x v="63"/>
    <x v="70"/>
    <x v="2"/>
    <x v="2"/>
    <x v="2"/>
    <x v="0"/>
    <x v="3"/>
    <x v="2"/>
    <x v="9"/>
    <x v="2"/>
  </r>
  <r>
    <x v="1742"/>
    <x v="18"/>
    <x v="21"/>
    <n v="36.5"/>
    <x v="1380"/>
    <x v="63"/>
    <x v="66"/>
    <x v="1"/>
    <x v="0"/>
    <x v="2"/>
    <x v="0"/>
    <x v="3"/>
    <x v="3"/>
    <x v="9"/>
    <x v="1"/>
  </r>
  <r>
    <x v="1743"/>
    <x v="11"/>
    <x v="2"/>
    <n v="98.6"/>
    <x v="1381"/>
    <x v="63"/>
    <x v="70"/>
    <x v="3"/>
    <x v="0"/>
    <x v="4"/>
    <x v="0"/>
    <x v="3"/>
    <x v="2"/>
    <x v="9"/>
    <x v="3"/>
  </r>
  <r>
    <x v="1744"/>
    <x v="8"/>
    <x v="1"/>
    <n v="19.2"/>
    <x v="1139"/>
    <x v="63"/>
    <x v="72"/>
    <x v="1"/>
    <x v="0"/>
    <x v="0"/>
    <x v="0"/>
    <x v="3"/>
    <x v="14"/>
    <x v="9"/>
    <x v="1"/>
  </r>
  <r>
    <x v="1745"/>
    <x v="3"/>
    <x v="13"/>
    <n v="55.6"/>
    <x v="335"/>
    <x v="63"/>
    <x v="60"/>
    <x v="2"/>
    <x v="0"/>
    <x v="2"/>
    <x v="0"/>
    <x v="3"/>
    <x v="5"/>
    <x v="9"/>
    <x v="2"/>
  </r>
  <r>
    <x v="1746"/>
    <x v="5"/>
    <x v="13"/>
    <n v="56.4"/>
    <x v="1382"/>
    <x v="63"/>
    <x v="66"/>
    <x v="2"/>
    <x v="1"/>
    <x v="0"/>
    <x v="0"/>
    <x v="3"/>
    <x v="3"/>
    <x v="9"/>
    <x v="2"/>
  </r>
  <r>
    <x v="1747"/>
    <x v="4"/>
    <x v="8"/>
    <n v="43.1"/>
    <x v="1383"/>
    <x v="63"/>
    <x v="60"/>
    <x v="2"/>
    <x v="4"/>
    <x v="0"/>
    <x v="0"/>
    <x v="3"/>
    <x v="5"/>
    <x v="9"/>
    <x v="2"/>
  </r>
  <r>
    <x v="1748"/>
    <x v="1"/>
    <x v="1"/>
    <n v="77.3"/>
    <x v="1384"/>
    <x v="63"/>
    <x v="68"/>
    <x v="1"/>
    <x v="0"/>
    <x v="0"/>
    <x v="0"/>
    <x v="6"/>
    <x v="1"/>
    <x v="9"/>
    <x v="1"/>
  </r>
  <r>
    <x v="1749"/>
    <x v="9"/>
    <x v="8"/>
    <n v="38.299999999999997"/>
    <x v="1347"/>
    <x v="63"/>
    <x v="66"/>
    <x v="1"/>
    <x v="0"/>
    <x v="0"/>
    <x v="0"/>
    <x v="7"/>
    <x v="3"/>
    <x v="9"/>
    <x v="1"/>
  </r>
  <r>
    <x v="1750"/>
    <x v="0"/>
    <x v="3"/>
    <n v="16.8"/>
    <x v="557"/>
    <x v="63"/>
    <x v="70"/>
    <x v="1"/>
    <x v="2"/>
    <x v="1"/>
    <x v="0"/>
    <x v="8"/>
    <x v="2"/>
    <x v="9"/>
    <x v="1"/>
  </r>
  <r>
    <x v="1751"/>
    <x v="2"/>
    <x v="2"/>
    <n v="63.2"/>
    <x v="1385"/>
    <x v="63"/>
    <x v="66"/>
    <x v="2"/>
    <x v="0"/>
    <x v="2"/>
    <x v="0"/>
    <x v="8"/>
    <x v="3"/>
    <x v="9"/>
    <x v="2"/>
  </r>
  <r>
    <x v="1752"/>
    <x v="14"/>
    <x v="44"/>
    <n v="39.700000000000003"/>
    <x v="1386"/>
    <x v="63"/>
    <x v="66"/>
    <x v="1"/>
    <x v="0"/>
    <x v="0"/>
    <x v="0"/>
    <x v="8"/>
    <x v="3"/>
    <x v="9"/>
    <x v="1"/>
  </r>
  <r>
    <x v="1753"/>
    <x v="10"/>
    <x v="2"/>
    <n v="45.8"/>
    <x v="1387"/>
    <x v="63"/>
    <x v="66"/>
    <x v="2"/>
    <x v="1"/>
    <x v="2"/>
    <x v="0"/>
    <x v="8"/>
    <x v="3"/>
    <x v="9"/>
    <x v="2"/>
  </r>
  <r>
    <x v="1754"/>
    <x v="0"/>
    <x v="13"/>
    <n v="12.4"/>
    <x v="610"/>
    <x v="63"/>
    <x v="70"/>
    <x v="1"/>
    <x v="0"/>
    <x v="0"/>
    <x v="0"/>
    <x v="8"/>
    <x v="2"/>
    <x v="9"/>
    <x v="1"/>
  </r>
  <r>
    <x v="1755"/>
    <x v="14"/>
    <x v="2"/>
    <n v="50.8"/>
    <x v="1388"/>
    <x v="64"/>
    <x v="66"/>
    <x v="2"/>
    <x v="4"/>
    <x v="0"/>
    <x v="0"/>
    <x v="17"/>
    <x v="7"/>
    <x v="9"/>
    <x v="2"/>
  </r>
  <r>
    <x v="1756"/>
    <x v="9"/>
    <x v="0"/>
    <n v="76"/>
    <x v="998"/>
    <x v="64"/>
    <x v="65"/>
    <x v="3"/>
    <x v="2"/>
    <x v="2"/>
    <x v="0"/>
    <x v="17"/>
    <x v="5"/>
    <x v="9"/>
    <x v="3"/>
  </r>
  <r>
    <x v="1757"/>
    <x v="1"/>
    <x v="1"/>
    <n v="51.9"/>
    <x v="1389"/>
    <x v="64"/>
    <x v="68"/>
    <x v="1"/>
    <x v="1"/>
    <x v="2"/>
    <x v="0"/>
    <x v="26"/>
    <x v="3"/>
    <x v="9"/>
    <x v="1"/>
  </r>
  <r>
    <x v="1758"/>
    <x v="2"/>
    <x v="1"/>
    <n v="93.4"/>
    <x v="1390"/>
    <x v="64"/>
    <x v="64"/>
    <x v="1"/>
    <x v="0"/>
    <x v="3"/>
    <x v="0"/>
    <x v="11"/>
    <x v="6"/>
    <x v="9"/>
    <x v="1"/>
  </r>
  <r>
    <x v="1759"/>
    <x v="7"/>
    <x v="13"/>
    <n v="30.8"/>
    <x v="827"/>
    <x v="64"/>
    <x v="60"/>
    <x v="2"/>
    <x v="1"/>
    <x v="0"/>
    <x v="0"/>
    <x v="11"/>
    <x v="2"/>
    <x v="9"/>
    <x v="2"/>
  </r>
  <r>
    <x v="1760"/>
    <x v="2"/>
    <x v="0"/>
    <n v="143.19999999999999"/>
    <x v="1391"/>
    <x v="64"/>
    <x v="60"/>
    <x v="1"/>
    <x v="2"/>
    <x v="0"/>
    <x v="0"/>
    <x v="11"/>
    <x v="2"/>
    <x v="9"/>
    <x v="1"/>
  </r>
  <r>
    <x v="1761"/>
    <x v="6"/>
    <x v="5"/>
    <n v="40.4"/>
    <x v="1392"/>
    <x v="64"/>
    <x v="70"/>
    <x v="1"/>
    <x v="2"/>
    <x v="2"/>
    <x v="0"/>
    <x v="18"/>
    <x v="1"/>
    <x v="9"/>
    <x v="1"/>
  </r>
  <r>
    <x v="1762"/>
    <x v="2"/>
    <x v="10"/>
    <n v="131.5"/>
    <x v="1393"/>
    <x v="64"/>
    <x v="70"/>
    <x v="1"/>
    <x v="1"/>
    <x v="1"/>
    <x v="0"/>
    <x v="18"/>
    <x v="1"/>
    <x v="9"/>
    <x v="1"/>
  </r>
  <r>
    <x v="1763"/>
    <x v="18"/>
    <x v="3"/>
    <n v="61.6"/>
    <x v="348"/>
    <x v="64"/>
    <x v="68"/>
    <x v="1"/>
    <x v="2"/>
    <x v="0"/>
    <x v="0"/>
    <x v="21"/>
    <x v="3"/>
    <x v="9"/>
    <x v="1"/>
  </r>
  <r>
    <x v="1764"/>
    <x v="9"/>
    <x v="9"/>
    <n v="32.700000000000003"/>
    <x v="838"/>
    <x v="64"/>
    <x v="70"/>
    <x v="1"/>
    <x v="2"/>
    <x v="0"/>
    <x v="0"/>
    <x v="1"/>
    <x v="1"/>
    <x v="9"/>
    <x v="1"/>
  </r>
  <r>
    <x v="1765"/>
    <x v="0"/>
    <x v="7"/>
    <n v="13.7"/>
    <x v="383"/>
    <x v="64"/>
    <x v="68"/>
    <x v="1"/>
    <x v="0"/>
    <x v="2"/>
    <x v="0"/>
    <x v="3"/>
    <x v="3"/>
    <x v="9"/>
    <x v="1"/>
  </r>
  <r>
    <x v="1766"/>
    <x v="0"/>
    <x v="12"/>
    <n v="32.1"/>
    <x v="58"/>
    <x v="64"/>
    <x v="68"/>
    <x v="1"/>
    <x v="4"/>
    <x v="1"/>
    <x v="0"/>
    <x v="3"/>
    <x v="3"/>
    <x v="9"/>
    <x v="1"/>
  </r>
  <r>
    <x v="1767"/>
    <x v="14"/>
    <x v="8"/>
    <n v="12"/>
    <x v="854"/>
    <x v="64"/>
    <x v="68"/>
    <x v="1"/>
    <x v="1"/>
    <x v="0"/>
    <x v="0"/>
    <x v="24"/>
    <x v="3"/>
    <x v="9"/>
    <x v="1"/>
  </r>
  <r>
    <x v="1768"/>
    <x v="12"/>
    <x v="0"/>
    <n v="64.3"/>
    <x v="1394"/>
    <x v="64"/>
    <x v="70"/>
    <x v="2"/>
    <x v="2"/>
    <x v="2"/>
    <x v="0"/>
    <x v="6"/>
    <x v="1"/>
    <x v="9"/>
    <x v="2"/>
  </r>
  <r>
    <x v="1769"/>
    <x v="1"/>
    <x v="2"/>
    <n v="58.2"/>
    <x v="1395"/>
    <x v="64"/>
    <x v="70"/>
    <x v="2"/>
    <x v="1"/>
    <x v="2"/>
    <x v="0"/>
    <x v="6"/>
    <x v="1"/>
    <x v="9"/>
    <x v="2"/>
  </r>
  <r>
    <x v="1770"/>
    <x v="6"/>
    <x v="12"/>
    <n v="59.2"/>
    <x v="1396"/>
    <x v="64"/>
    <x v="66"/>
    <x v="1"/>
    <x v="1"/>
    <x v="2"/>
    <x v="0"/>
    <x v="6"/>
    <x v="7"/>
    <x v="9"/>
    <x v="1"/>
  </r>
  <r>
    <x v="1771"/>
    <x v="10"/>
    <x v="5"/>
    <n v="35.6"/>
    <x v="590"/>
    <x v="64"/>
    <x v="64"/>
    <x v="1"/>
    <x v="0"/>
    <x v="2"/>
    <x v="0"/>
    <x v="8"/>
    <x v="6"/>
    <x v="9"/>
    <x v="1"/>
  </r>
  <r>
    <x v="1772"/>
    <x v="16"/>
    <x v="8"/>
    <n v="37"/>
    <x v="1397"/>
    <x v="64"/>
    <x v="65"/>
    <x v="2"/>
    <x v="2"/>
    <x v="1"/>
    <x v="0"/>
    <x v="8"/>
    <x v="5"/>
    <x v="9"/>
    <x v="2"/>
  </r>
  <r>
    <x v="1773"/>
    <x v="1"/>
    <x v="15"/>
    <n v="80.8"/>
    <x v="1398"/>
    <x v="64"/>
    <x v="70"/>
    <x v="2"/>
    <x v="0"/>
    <x v="0"/>
    <x v="0"/>
    <x v="8"/>
    <x v="1"/>
    <x v="9"/>
    <x v="2"/>
  </r>
  <r>
    <x v="1774"/>
    <x v="8"/>
    <x v="1"/>
    <n v="63.2"/>
    <x v="628"/>
    <x v="64"/>
    <x v="68"/>
    <x v="1"/>
    <x v="0"/>
    <x v="1"/>
    <x v="0"/>
    <x v="8"/>
    <x v="3"/>
    <x v="9"/>
    <x v="1"/>
  </r>
  <r>
    <x v="1775"/>
    <x v="3"/>
    <x v="1"/>
    <n v="40.799999999999997"/>
    <x v="330"/>
    <x v="64"/>
    <x v="70"/>
    <x v="1"/>
    <x v="0"/>
    <x v="1"/>
    <x v="0"/>
    <x v="17"/>
    <x v="1"/>
    <x v="9"/>
    <x v="1"/>
  </r>
  <r>
    <x v="1776"/>
    <x v="13"/>
    <x v="13"/>
    <n v="25.7"/>
    <x v="1399"/>
    <x v="64"/>
    <x v="70"/>
    <x v="1"/>
    <x v="4"/>
    <x v="0"/>
    <x v="0"/>
    <x v="18"/>
    <x v="1"/>
    <x v="9"/>
    <x v="1"/>
  </r>
  <r>
    <x v="1777"/>
    <x v="16"/>
    <x v="1"/>
    <n v="49.9"/>
    <x v="350"/>
    <x v="64"/>
    <x v="60"/>
    <x v="1"/>
    <x v="0"/>
    <x v="0"/>
    <x v="0"/>
    <x v="20"/>
    <x v="2"/>
    <x v="9"/>
    <x v="1"/>
  </r>
  <r>
    <x v="1778"/>
    <x v="8"/>
    <x v="1"/>
    <n v="20.2"/>
    <x v="1400"/>
    <x v="64"/>
    <x v="70"/>
    <x v="2"/>
    <x v="3"/>
    <x v="0"/>
    <x v="0"/>
    <x v="21"/>
    <x v="1"/>
    <x v="9"/>
    <x v="2"/>
  </r>
  <r>
    <x v="1779"/>
    <x v="6"/>
    <x v="2"/>
    <n v="48.4"/>
    <x v="1401"/>
    <x v="64"/>
    <x v="71"/>
    <x v="2"/>
    <x v="0"/>
    <x v="2"/>
    <x v="0"/>
    <x v="21"/>
    <x v="0"/>
    <x v="9"/>
    <x v="2"/>
  </r>
  <r>
    <x v="1780"/>
    <x v="6"/>
    <x v="1"/>
    <n v="81"/>
    <x v="915"/>
    <x v="64"/>
    <x v="68"/>
    <x v="2"/>
    <x v="1"/>
    <x v="2"/>
    <x v="0"/>
    <x v="21"/>
    <x v="3"/>
    <x v="9"/>
    <x v="2"/>
  </r>
  <r>
    <x v="1781"/>
    <x v="8"/>
    <x v="13"/>
    <n v="19.899999999999999"/>
    <x v="1402"/>
    <x v="64"/>
    <x v="60"/>
    <x v="2"/>
    <x v="0"/>
    <x v="1"/>
    <x v="0"/>
    <x v="22"/>
    <x v="2"/>
    <x v="9"/>
    <x v="2"/>
  </r>
  <r>
    <x v="1782"/>
    <x v="4"/>
    <x v="12"/>
    <n v="32.200000000000003"/>
    <x v="1403"/>
    <x v="64"/>
    <x v="69"/>
    <x v="1"/>
    <x v="0"/>
    <x v="0"/>
    <x v="0"/>
    <x v="22"/>
    <x v="14"/>
    <x v="9"/>
    <x v="1"/>
  </r>
  <r>
    <x v="1783"/>
    <x v="5"/>
    <x v="2"/>
    <n v="76.8"/>
    <x v="1404"/>
    <x v="64"/>
    <x v="68"/>
    <x v="2"/>
    <x v="0"/>
    <x v="1"/>
    <x v="0"/>
    <x v="3"/>
    <x v="3"/>
    <x v="9"/>
    <x v="2"/>
  </r>
  <r>
    <x v="1784"/>
    <x v="6"/>
    <x v="1"/>
    <n v="41.9"/>
    <x v="1405"/>
    <x v="64"/>
    <x v="70"/>
    <x v="2"/>
    <x v="0"/>
    <x v="0"/>
    <x v="0"/>
    <x v="3"/>
    <x v="1"/>
    <x v="9"/>
    <x v="2"/>
  </r>
  <r>
    <x v="1785"/>
    <x v="0"/>
    <x v="3"/>
    <n v="34"/>
    <x v="1248"/>
    <x v="64"/>
    <x v="70"/>
    <x v="2"/>
    <x v="1"/>
    <x v="2"/>
    <x v="0"/>
    <x v="3"/>
    <x v="1"/>
    <x v="9"/>
    <x v="2"/>
  </r>
  <r>
    <x v="1786"/>
    <x v="7"/>
    <x v="3"/>
    <n v="61.3"/>
    <x v="1406"/>
    <x v="64"/>
    <x v="66"/>
    <x v="2"/>
    <x v="4"/>
    <x v="2"/>
    <x v="0"/>
    <x v="3"/>
    <x v="7"/>
    <x v="9"/>
    <x v="2"/>
  </r>
  <r>
    <x v="1787"/>
    <x v="9"/>
    <x v="0"/>
    <n v="54.7"/>
    <x v="1407"/>
    <x v="65"/>
    <x v="70"/>
    <x v="1"/>
    <x v="0"/>
    <x v="1"/>
    <x v="0"/>
    <x v="3"/>
    <x v="3"/>
    <x v="9"/>
    <x v="1"/>
  </r>
  <r>
    <x v="1788"/>
    <x v="6"/>
    <x v="7"/>
    <n v="84.7"/>
    <x v="1408"/>
    <x v="65"/>
    <x v="71"/>
    <x v="2"/>
    <x v="0"/>
    <x v="0"/>
    <x v="0"/>
    <x v="3"/>
    <x v="5"/>
    <x v="9"/>
    <x v="2"/>
  </r>
  <r>
    <x v="1789"/>
    <x v="1"/>
    <x v="2"/>
    <n v="93.4"/>
    <x v="1409"/>
    <x v="65"/>
    <x v="71"/>
    <x v="2"/>
    <x v="3"/>
    <x v="0"/>
    <x v="0"/>
    <x v="3"/>
    <x v="5"/>
    <x v="9"/>
    <x v="2"/>
  </r>
  <r>
    <x v="1790"/>
    <x v="8"/>
    <x v="9"/>
    <n v="27"/>
    <x v="340"/>
    <x v="65"/>
    <x v="65"/>
    <x v="1"/>
    <x v="0"/>
    <x v="1"/>
    <x v="0"/>
    <x v="3"/>
    <x v="2"/>
    <x v="9"/>
    <x v="1"/>
  </r>
  <r>
    <x v="1791"/>
    <x v="0"/>
    <x v="12"/>
    <n v="10.9"/>
    <x v="1195"/>
    <x v="65"/>
    <x v="70"/>
    <x v="1"/>
    <x v="2"/>
    <x v="0"/>
    <x v="0"/>
    <x v="3"/>
    <x v="3"/>
    <x v="9"/>
    <x v="1"/>
  </r>
  <r>
    <x v="1792"/>
    <x v="16"/>
    <x v="2"/>
    <n v="48"/>
    <x v="1410"/>
    <x v="65"/>
    <x v="74"/>
    <x v="2"/>
    <x v="4"/>
    <x v="0"/>
    <x v="0"/>
    <x v="3"/>
    <x v="0"/>
    <x v="9"/>
    <x v="2"/>
  </r>
  <r>
    <x v="1793"/>
    <x v="5"/>
    <x v="1"/>
    <n v="67.900000000000006"/>
    <x v="1411"/>
    <x v="65"/>
    <x v="70"/>
    <x v="1"/>
    <x v="0"/>
    <x v="2"/>
    <x v="0"/>
    <x v="23"/>
    <x v="3"/>
    <x v="9"/>
    <x v="1"/>
  </r>
  <r>
    <x v="1794"/>
    <x v="4"/>
    <x v="2"/>
    <n v="36"/>
    <x v="807"/>
    <x v="65"/>
    <x v="70"/>
    <x v="1"/>
    <x v="1"/>
    <x v="0"/>
    <x v="0"/>
    <x v="6"/>
    <x v="3"/>
    <x v="9"/>
    <x v="1"/>
  </r>
  <r>
    <x v="1795"/>
    <x v="2"/>
    <x v="0"/>
    <n v="128.80000000000001"/>
    <x v="1403"/>
    <x v="65"/>
    <x v="70"/>
    <x v="1"/>
    <x v="4"/>
    <x v="2"/>
    <x v="0"/>
    <x v="6"/>
    <x v="3"/>
    <x v="9"/>
    <x v="1"/>
  </r>
  <r>
    <x v="1796"/>
    <x v="18"/>
    <x v="3"/>
    <n v="33.299999999999997"/>
    <x v="1412"/>
    <x v="65"/>
    <x v="70"/>
    <x v="2"/>
    <x v="3"/>
    <x v="0"/>
    <x v="0"/>
    <x v="8"/>
    <x v="3"/>
    <x v="9"/>
    <x v="2"/>
  </r>
  <r>
    <x v="1797"/>
    <x v="10"/>
    <x v="2"/>
    <n v="37.799999999999997"/>
    <x v="1413"/>
    <x v="65"/>
    <x v="60"/>
    <x v="1"/>
    <x v="1"/>
    <x v="2"/>
    <x v="0"/>
    <x v="8"/>
    <x v="1"/>
    <x v="9"/>
    <x v="1"/>
  </r>
  <r>
    <x v="1798"/>
    <x v="5"/>
    <x v="2"/>
    <n v="26"/>
    <x v="292"/>
    <x v="65"/>
    <x v="74"/>
    <x v="2"/>
    <x v="0"/>
    <x v="0"/>
    <x v="0"/>
    <x v="8"/>
    <x v="0"/>
    <x v="9"/>
    <x v="2"/>
  </r>
  <r>
    <x v="1799"/>
    <x v="8"/>
    <x v="10"/>
    <n v="28.3"/>
    <x v="1414"/>
    <x v="65"/>
    <x v="70"/>
    <x v="2"/>
    <x v="3"/>
    <x v="4"/>
    <x v="0"/>
    <x v="8"/>
    <x v="3"/>
    <x v="9"/>
    <x v="2"/>
  </r>
  <r>
    <x v="1800"/>
    <x v="8"/>
    <x v="12"/>
    <n v="31.3"/>
    <x v="1415"/>
    <x v="65"/>
    <x v="68"/>
    <x v="2"/>
    <x v="0"/>
    <x v="0"/>
    <x v="0"/>
    <x v="8"/>
    <x v="7"/>
    <x v="9"/>
    <x v="2"/>
  </r>
  <r>
    <x v="1801"/>
    <x v="7"/>
    <x v="2"/>
    <n v="69.5"/>
    <x v="1416"/>
    <x v="65"/>
    <x v="70"/>
    <x v="2"/>
    <x v="3"/>
    <x v="2"/>
    <x v="0"/>
    <x v="8"/>
    <x v="3"/>
    <x v="9"/>
    <x v="2"/>
  </r>
  <r>
    <x v="1802"/>
    <x v="0"/>
    <x v="1"/>
    <n v="16.7"/>
    <x v="1417"/>
    <x v="65"/>
    <x v="70"/>
    <x v="2"/>
    <x v="3"/>
    <x v="1"/>
    <x v="0"/>
    <x v="8"/>
    <x v="3"/>
    <x v="9"/>
    <x v="2"/>
  </r>
  <r>
    <x v="1803"/>
    <x v="9"/>
    <x v="1"/>
    <n v="62.6"/>
    <x v="1415"/>
    <x v="65"/>
    <x v="70"/>
    <x v="1"/>
    <x v="2"/>
    <x v="2"/>
    <x v="0"/>
    <x v="9"/>
    <x v="3"/>
    <x v="9"/>
    <x v="1"/>
  </r>
  <r>
    <x v="1804"/>
    <x v="7"/>
    <x v="0"/>
    <n v="81.2"/>
    <x v="1101"/>
    <x v="65"/>
    <x v="64"/>
    <x v="1"/>
    <x v="4"/>
    <x v="4"/>
    <x v="0"/>
    <x v="9"/>
    <x v="4"/>
    <x v="9"/>
    <x v="1"/>
  </r>
  <r>
    <x v="1805"/>
    <x v="0"/>
    <x v="7"/>
    <n v="12.7"/>
    <x v="520"/>
    <x v="65"/>
    <x v="70"/>
    <x v="2"/>
    <x v="0"/>
    <x v="2"/>
    <x v="0"/>
    <x v="9"/>
    <x v="3"/>
    <x v="9"/>
    <x v="2"/>
  </r>
  <r>
    <x v="1806"/>
    <x v="7"/>
    <x v="12"/>
    <n v="77.7"/>
    <x v="1418"/>
    <x v="66"/>
    <x v="74"/>
    <x v="1"/>
    <x v="1"/>
    <x v="0"/>
    <x v="0"/>
    <x v="11"/>
    <x v="5"/>
    <x v="9"/>
    <x v="1"/>
  </r>
  <r>
    <x v="1807"/>
    <x v="5"/>
    <x v="1"/>
    <n v="37.299999999999997"/>
    <x v="110"/>
    <x v="66"/>
    <x v="60"/>
    <x v="2"/>
    <x v="0"/>
    <x v="2"/>
    <x v="0"/>
    <x v="18"/>
    <x v="3"/>
    <x v="9"/>
    <x v="2"/>
  </r>
  <r>
    <x v="1808"/>
    <x v="10"/>
    <x v="12"/>
    <n v="35.6"/>
    <x v="1419"/>
    <x v="66"/>
    <x v="65"/>
    <x v="2"/>
    <x v="1"/>
    <x v="1"/>
    <x v="0"/>
    <x v="19"/>
    <x v="1"/>
    <x v="9"/>
    <x v="2"/>
  </r>
  <r>
    <x v="1809"/>
    <x v="2"/>
    <x v="2"/>
    <n v="95"/>
    <x v="1420"/>
    <x v="66"/>
    <x v="74"/>
    <x v="2"/>
    <x v="2"/>
    <x v="2"/>
    <x v="0"/>
    <x v="56"/>
    <x v="5"/>
    <x v="9"/>
    <x v="2"/>
  </r>
  <r>
    <x v="1810"/>
    <x v="2"/>
    <x v="12"/>
    <n v="172.1"/>
    <x v="1421"/>
    <x v="66"/>
    <x v="74"/>
    <x v="3"/>
    <x v="2"/>
    <x v="2"/>
    <x v="0"/>
    <x v="21"/>
    <x v="5"/>
    <x v="9"/>
    <x v="3"/>
  </r>
  <r>
    <x v="1811"/>
    <x v="2"/>
    <x v="1"/>
    <n v="233"/>
    <x v="1147"/>
    <x v="66"/>
    <x v="71"/>
    <x v="2"/>
    <x v="1"/>
    <x v="0"/>
    <x v="0"/>
    <x v="21"/>
    <x v="2"/>
    <x v="9"/>
    <x v="2"/>
  </r>
  <r>
    <x v="1812"/>
    <x v="0"/>
    <x v="0"/>
    <n v="43.5"/>
    <x v="1422"/>
    <x v="66"/>
    <x v="60"/>
    <x v="2"/>
    <x v="2"/>
    <x v="2"/>
    <x v="0"/>
    <x v="21"/>
    <x v="3"/>
    <x v="9"/>
    <x v="2"/>
  </r>
  <r>
    <x v="1813"/>
    <x v="9"/>
    <x v="1"/>
    <n v="47.8"/>
    <x v="139"/>
    <x v="66"/>
    <x v="71"/>
    <x v="1"/>
    <x v="4"/>
    <x v="2"/>
    <x v="0"/>
    <x v="1"/>
    <x v="2"/>
    <x v="9"/>
    <x v="1"/>
  </r>
  <r>
    <x v="1814"/>
    <x v="12"/>
    <x v="1"/>
    <n v="65.8"/>
    <x v="1423"/>
    <x v="66"/>
    <x v="65"/>
    <x v="2"/>
    <x v="0"/>
    <x v="3"/>
    <x v="0"/>
    <x v="33"/>
    <x v="1"/>
    <x v="9"/>
    <x v="2"/>
  </r>
  <r>
    <x v="1815"/>
    <x v="15"/>
    <x v="5"/>
    <n v="38.700000000000003"/>
    <x v="1424"/>
    <x v="66"/>
    <x v="70"/>
    <x v="1"/>
    <x v="0"/>
    <x v="0"/>
    <x v="0"/>
    <x v="22"/>
    <x v="7"/>
    <x v="9"/>
    <x v="1"/>
  </r>
  <r>
    <x v="1816"/>
    <x v="3"/>
    <x v="12"/>
    <n v="55.7"/>
    <x v="839"/>
    <x v="66"/>
    <x v="65"/>
    <x v="3"/>
    <x v="0"/>
    <x v="1"/>
    <x v="0"/>
    <x v="22"/>
    <x v="1"/>
    <x v="9"/>
    <x v="3"/>
  </r>
  <r>
    <x v="1817"/>
    <x v="7"/>
    <x v="1"/>
    <n v="102.4"/>
    <x v="403"/>
    <x v="66"/>
    <x v="70"/>
    <x v="2"/>
    <x v="1"/>
    <x v="0"/>
    <x v="0"/>
    <x v="3"/>
    <x v="7"/>
    <x v="9"/>
    <x v="2"/>
  </r>
  <r>
    <x v="1818"/>
    <x v="1"/>
    <x v="0"/>
    <n v="92"/>
    <x v="988"/>
    <x v="66"/>
    <x v="74"/>
    <x v="0"/>
    <x v="2"/>
    <x v="0"/>
    <x v="0"/>
    <x v="3"/>
    <x v="5"/>
    <x v="9"/>
    <x v="0"/>
  </r>
  <r>
    <x v="1819"/>
    <x v="6"/>
    <x v="12"/>
    <n v="75.900000000000006"/>
    <x v="80"/>
    <x v="66"/>
    <x v="65"/>
    <x v="2"/>
    <x v="1"/>
    <x v="0"/>
    <x v="0"/>
    <x v="3"/>
    <x v="1"/>
    <x v="9"/>
    <x v="2"/>
  </r>
  <r>
    <x v="1820"/>
    <x v="1"/>
    <x v="12"/>
    <n v="36.200000000000003"/>
    <x v="353"/>
    <x v="66"/>
    <x v="60"/>
    <x v="2"/>
    <x v="1"/>
    <x v="0"/>
    <x v="0"/>
    <x v="3"/>
    <x v="3"/>
    <x v="9"/>
    <x v="2"/>
  </r>
  <r>
    <x v="1821"/>
    <x v="6"/>
    <x v="45"/>
    <n v="83.5"/>
    <x v="1425"/>
    <x v="66"/>
    <x v="65"/>
    <x v="0"/>
    <x v="3"/>
    <x v="0"/>
    <x v="0"/>
    <x v="3"/>
    <x v="1"/>
    <x v="9"/>
    <x v="0"/>
  </r>
  <r>
    <x v="1822"/>
    <x v="19"/>
    <x v="4"/>
    <n v="52.4"/>
    <x v="1092"/>
    <x v="66"/>
    <x v="70"/>
    <x v="1"/>
    <x v="2"/>
    <x v="0"/>
    <x v="0"/>
    <x v="3"/>
    <x v="7"/>
    <x v="9"/>
    <x v="1"/>
  </r>
  <r>
    <x v="1823"/>
    <x v="12"/>
    <x v="2"/>
    <n v="69.5"/>
    <x v="1416"/>
    <x v="66"/>
    <x v="60"/>
    <x v="3"/>
    <x v="4"/>
    <x v="0"/>
    <x v="0"/>
    <x v="3"/>
    <x v="3"/>
    <x v="9"/>
    <x v="3"/>
  </r>
  <r>
    <x v="1824"/>
    <x v="0"/>
    <x v="0"/>
    <n v="15.5"/>
    <x v="1426"/>
    <x v="66"/>
    <x v="65"/>
    <x v="1"/>
    <x v="0"/>
    <x v="0"/>
    <x v="0"/>
    <x v="3"/>
    <x v="1"/>
    <x v="9"/>
    <x v="1"/>
  </r>
  <r>
    <x v="1825"/>
    <x v="4"/>
    <x v="12"/>
    <n v="35.200000000000003"/>
    <x v="1427"/>
    <x v="66"/>
    <x v="60"/>
    <x v="2"/>
    <x v="2"/>
    <x v="2"/>
    <x v="0"/>
    <x v="3"/>
    <x v="3"/>
    <x v="9"/>
    <x v="2"/>
  </r>
  <r>
    <x v="1826"/>
    <x v="8"/>
    <x v="13"/>
    <n v="34.6"/>
    <x v="1428"/>
    <x v="66"/>
    <x v="60"/>
    <x v="0"/>
    <x v="0"/>
    <x v="1"/>
    <x v="0"/>
    <x v="3"/>
    <x v="3"/>
    <x v="9"/>
    <x v="0"/>
  </r>
  <r>
    <x v="1827"/>
    <x v="4"/>
    <x v="0"/>
    <n v="21.3"/>
    <x v="1429"/>
    <x v="67"/>
    <x v="65"/>
    <x v="1"/>
    <x v="2"/>
    <x v="1"/>
    <x v="0"/>
    <x v="3"/>
    <x v="3"/>
    <x v="10"/>
    <x v="1"/>
  </r>
  <r>
    <x v="1828"/>
    <x v="6"/>
    <x v="1"/>
    <n v="136.5"/>
    <x v="1430"/>
    <x v="67"/>
    <x v="72"/>
    <x v="2"/>
    <x v="0"/>
    <x v="0"/>
    <x v="0"/>
    <x v="37"/>
    <x v="4"/>
    <x v="10"/>
    <x v="2"/>
  </r>
  <r>
    <x v="1829"/>
    <x v="9"/>
    <x v="3"/>
    <n v="30.7"/>
    <x v="1431"/>
    <x v="67"/>
    <x v="65"/>
    <x v="1"/>
    <x v="2"/>
    <x v="2"/>
    <x v="0"/>
    <x v="25"/>
    <x v="3"/>
    <x v="10"/>
    <x v="1"/>
  </r>
  <r>
    <x v="1830"/>
    <x v="1"/>
    <x v="1"/>
    <n v="61.6"/>
    <x v="1432"/>
    <x v="67"/>
    <x v="65"/>
    <x v="2"/>
    <x v="2"/>
    <x v="2"/>
    <x v="0"/>
    <x v="23"/>
    <x v="3"/>
    <x v="10"/>
    <x v="2"/>
  </r>
  <r>
    <x v="1831"/>
    <x v="6"/>
    <x v="12"/>
    <n v="54.3"/>
    <x v="1433"/>
    <x v="67"/>
    <x v="71"/>
    <x v="0"/>
    <x v="4"/>
    <x v="0"/>
    <x v="0"/>
    <x v="7"/>
    <x v="1"/>
    <x v="10"/>
    <x v="0"/>
  </r>
  <r>
    <x v="1832"/>
    <x v="1"/>
    <x v="1"/>
    <n v="44.1"/>
    <x v="1047"/>
    <x v="67"/>
    <x v="75"/>
    <x v="2"/>
    <x v="0"/>
    <x v="2"/>
    <x v="0"/>
    <x v="8"/>
    <x v="13"/>
    <x v="10"/>
    <x v="2"/>
  </r>
  <r>
    <x v="1833"/>
    <x v="8"/>
    <x v="12"/>
    <n v="43.5"/>
    <x v="1434"/>
    <x v="67"/>
    <x v="72"/>
    <x v="1"/>
    <x v="3"/>
    <x v="0"/>
    <x v="0"/>
    <x v="8"/>
    <x v="4"/>
    <x v="10"/>
    <x v="1"/>
  </r>
  <r>
    <x v="1834"/>
    <x v="8"/>
    <x v="2"/>
    <n v="48.2"/>
    <x v="1435"/>
    <x v="67"/>
    <x v="64"/>
    <x v="1"/>
    <x v="3"/>
    <x v="1"/>
    <x v="0"/>
    <x v="8"/>
    <x v="5"/>
    <x v="10"/>
    <x v="1"/>
  </r>
  <r>
    <x v="1835"/>
    <x v="19"/>
    <x v="0"/>
    <n v="13.7"/>
    <x v="1436"/>
    <x v="67"/>
    <x v="65"/>
    <x v="2"/>
    <x v="2"/>
    <x v="2"/>
    <x v="0"/>
    <x v="8"/>
    <x v="3"/>
    <x v="10"/>
    <x v="2"/>
  </r>
  <r>
    <x v="1836"/>
    <x v="2"/>
    <x v="1"/>
    <n v="110.5"/>
    <x v="1437"/>
    <x v="67"/>
    <x v="65"/>
    <x v="2"/>
    <x v="0"/>
    <x v="1"/>
    <x v="0"/>
    <x v="8"/>
    <x v="3"/>
    <x v="10"/>
    <x v="2"/>
  </r>
  <r>
    <x v="1837"/>
    <x v="8"/>
    <x v="2"/>
    <n v="26"/>
    <x v="292"/>
    <x v="67"/>
    <x v="67"/>
    <x v="2"/>
    <x v="1"/>
    <x v="1"/>
    <x v="0"/>
    <x v="8"/>
    <x v="0"/>
    <x v="10"/>
    <x v="2"/>
  </r>
  <r>
    <x v="1838"/>
    <x v="2"/>
    <x v="7"/>
    <n v="140.69999999999999"/>
    <x v="1438"/>
    <x v="67"/>
    <x v="72"/>
    <x v="1"/>
    <x v="3"/>
    <x v="1"/>
    <x v="0"/>
    <x v="8"/>
    <x v="4"/>
    <x v="10"/>
    <x v="1"/>
  </r>
  <r>
    <x v="1839"/>
    <x v="17"/>
    <x v="1"/>
    <n v="41.7"/>
    <x v="925"/>
    <x v="67"/>
    <x v="76"/>
    <x v="2"/>
    <x v="0"/>
    <x v="4"/>
    <x v="0"/>
    <x v="8"/>
    <x v="9"/>
    <x v="10"/>
    <x v="2"/>
  </r>
  <r>
    <x v="1840"/>
    <x v="2"/>
    <x v="1"/>
    <n v="135.1"/>
    <x v="1439"/>
    <x v="67"/>
    <x v="65"/>
    <x v="1"/>
    <x v="0"/>
    <x v="2"/>
    <x v="0"/>
    <x v="17"/>
    <x v="3"/>
    <x v="10"/>
    <x v="1"/>
  </r>
  <r>
    <x v="1841"/>
    <x v="12"/>
    <x v="32"/>
    <n v="95.5"/>
    <x v="1440"/>
    <x v="67"/>
    <x v="65"/>
    <x v="2"/>
    <x v="4"/>
    <x v="4"/>
    <x v="0"/>
    <x v="26"/>
    <x v="3"/>
    <x v="10"/>
    <x v="2"/>
  </r>
  <r>
    <x v="1842"/>
    <x v="15"/>
    <x v="0"/>
    <n v="25.5"/>
    <x v="1441"/>
    <x v="67"/>
    <x v="74"/>
    <x v="0"/>
    <x v="2"/>
    <x v="2"/>
    <x v="0"/>
    <x v="11"/>
    <x v="2"/>
    <x v="10"/>
    <x v="0"/>
  </r>
  <r>
    <x v="1843"/>
    <x v="1"/>
    <x v="0"/>
    <n v="42.6"/>
    <x v="440"/>
    <x v="67"/>
    <x v="64"/>
    <x v="2"/>
    <x v="0"/>
    <x v="0"/>
    <x v="0"/>
    <x v="11"/>
    <x v="5"/>
    <x v="10"/>
    <x v="2"/>
  </r>
  <r>
    <x v="1844"/>
    <x v="8"/>
    <x v="20"/>
    <n v="32.4"/>
    <x v="1442"/>
    <x v="67"/>
    <x v="65"/>
    <x v="1"/>
    <x v="1"/>
    <x v="1"/>
    <x v="0"/>
    <x v="11"/>
    <x v="3"/>
    <x v="10"/>
    <x v="1"/>
  </r>
  <r>
    <x v="1845"/>
    <x v="4"/>
    <x v="12"/>
    <n v="20.2"/>
    <x v="1443"/>
    <x v="67"/>
    <x v="65"/>
    <x v="3"/>
    <x v="2"/>
    <x v="0"/>
    <x v="0"/>
    <x v="11"/>
    <x v="3"/>
    <x v="10"/>
    <x v="3"/>
  </r>
  <r>
    <x v="1846"/>
    <x v="16"/>
    <x v="2"/>
    <n v="52.5"/>
    <x v="905"/>
    <x v="67"/>
    <x v="67"/>
    <x v="2"/>
    <x v="4"/>
    <x v="0"/>
    <x v="0"/>
    <x v="18"/>
    <x v="0"/>
    <x v="10"/>
    <x v="2"/>
  </r>
  <r>
    <x v="1847"/>
    <x v="2"/>
    <x v="9"/>
    <n v="59.9"/>
    <x v="1444"/>
    <x v="67"/>
    <x v="71"/>
    <x v="2"/>
    <x v="2"/>
    <x v="0"/>
    <x v="0"/>
    <x v="19"/>
    <x v="1"/>
    <x v="10"/>
    <x v="2"/>
  </r>
  <r>
    <x v="1848"/>
    <x v="4"/>
    <x v="1"/>
    <n v="53.2"/>
    <x v="793"/>
    <x v="67"/>
    <x v="65"/>
    <x v="2"/>
    <x v="1"/>
    <x v="3"/>
    <x v="0"/>
    <x v="20"/>
    <x v="3"/>
    <x v="10"/>
    <x v="2"/>
  </r>
  <r>
    <x v="1849"/>
    <x v="2"/>
    <x v="1"/>
    <n v="60"/>
    <x v="160"/>
    <x v="67"/>
    <x v="72"/>
    <x v="1"/>
    <x v="1"/>
    <x v="2"/>
    <x v="0"/>
    <x v="20"/>
    <x v="4"/>
    <x v="10"/>
    <x v="1"/>
  </r>
  <r>
    <x v="1850"/>
    <x v="8"/>
    <x v="2"/>
    <n v="29.3"/>
    <x v="1205"/>
    <x v="67"/>
    <x v="65"/>
    <x v="2"/>
    <x v="4"/>
    <x v="0"/>
    <x v="0"/>
    <x v="13"/>
    <x v="3"/>
    <x v="10"/>
    <x v="2"/>
  </r>
  <r>
    <x v="1851"/>
    <x v="12"/>
    <x v="1"/>
    <n v="55.4"/>
    <x v="806"/>
    <x v="67"/>
    <x v="65"/>
    <x v="2"/>
    <x v="0"/>
    <x v="2"/>
    <x v="0"/>
    <x v="21"/>
    <x v="3"/>
    <x v="10"/>
    <x v="2"/>
  </r>
  <r>
    <x v="1852"/>
    <x v="0"/>
    <x v="9"/>
    <n v="20.100000000000001"/>
    <x v="427"/>
    <x v="67"/>
    <x v="71"/>
    <x v="2"/>
    <x v="1"/>
    <x v="2"/>
    <x v="0"/>
    <x v="21"/>
    <x v="1"/>
    <x v="10"/>
    <x v="2"/>
  </r>
  <r>
    <x v="1853"/>
    <x v="14"/>
    <x v="9"/>
    <n v="24"/>
    <x v="160"/>
    <x v="67"/>
    <x v="74"/>
    <x v="1"/>
    <x v="2"/>
    <x v="0"/>
    <x v="0"/>
    <x v="1"/>
    <x v="2"/>
    <x v="10"/>
    <x v="1"/>
  </r>
  <r>
    <x v="1854"/>
    <x v="8"/>
    <x v="1"/>
    <n v="30.6"/>
    <x v="1"/>
    <x v="68"/>
    <x v="74"/>
    <x v="2"/>
    <x v="0"/>
    <x v="0"/>
    <x v="0"/>
    <x v="1"/>
    <x v="1"/>
    <x v="10"/>
    <x v="2"/>
  </r>
  <r>
    <x v="1855"/>
    <x v="10"/>
    <x v="9"/>
    <n v="33"/>
    <x v="1445"/>
    <x v="68"/>
    <x v="71"/>
    <x v="1"/>
    <x v="1"/>
    <x v="1"/>
    <x v="0"/>
    <x v="27"/>
    <x v="3"/>
    <x v="10"/>
    <x v="1"/>
  </r>
  <r>
    <x v="1856"/>
    <x v="17"/>
    <x v="11"/>
    <n v="42.1"/>
    <x v="1258"/>
    <x v="68"/>
    <x v="69"/>
    <x v="2"/>
    <x v="2"/>
    <x v="0"/>
    <x v="0"/>
    <x v="44"/>
    <x v="4"/>
    <x v="10"/>
    <x v="2"/>
  </r>
  <r>
    <x v="1857"/>
    <x v="6"/>
    <x v="3"/>
    <n v="77.7"/>
    <x v="1446"/>
    <x v="68"/>
    <x v="72"/>
    <x v="2"/>
    <x v="1"/>
    <x v="2"/>
    <x v="0"/>
    <x v="50"/>
    <x v="0"/>
    <x v="10"/>
    <x v="2"/>
  </r>
  <r>
    <x v="1858"/>
    <x v="17"/>
    <x v="13"/>
    <n v="22.7"/>
    <x v="1134"/>
    <x v="68"/>
    <x v="64"/>
    <x v="2"/>
    <x v="2"/>
    <x v="0"/>
    <x v="0"/>
    <x v="3"/>
    <x v="2"/>
    <x v="10"/>
    <x v="2"/>
  </r>
  <r>
    <x v="1859"/>
    <x v="2"/>
    <x v="1"/>
    <n v="133"/>
    <x v="751"/>
    <x v="68"/>
    <x v="65"/>
    <x v="1"/>
    <x v="2"/>
    <x v="2"/>
    <x v="0"/>
    <x v="3"/>
    <x v="7"/>
    <x v="10"/>
    <x v="1"/>
  </r>
  <r>
    <x v="1860"/>
    <x v="0"/>
    <x v="1"/>
    <n v="23.3"/>
    <x v="1447"/>
    <x v="68"/>
    <x v="71"/>
    <x v="1"/>
    <x v="1"/>
    <x v="2"/>
    <x v="0"/>
    <x v="3"/>
    <x v="3"/>
    <x v="10"/>
    <x v="1"/>
  </r>
  <r>
    <x v="1861"/>
    <x v="8"/>
    <x v="2"/>
    <n v="20.7"/>
    <x v="1448"/>
    <x v="68"/>
    <x v="74"/>
    <x v="3"/>
    <x v="0"/>
    <x v="2"/>
    <x v="0"/>
    <x v="3"/>
    <x v="1"/>
    <x v="10"/>
    <x v="3"/>
  </r>
  <r>
    <x v="1862"/>
    <x v="12"/>
    <x v="1"/>
    <n v="47"/>
    <x v="255"/>
    <x v="68"/>
    <x v="71"/>
    <x v="1"/>
    <x v="1"/>
    <x v="2"/>
    <x v="0"/>
    <x v="3"/>
    <x v="3"/>
    <x v="10"/>
    <x v="1"/>
  </r>
  <r>
    <x v="1863"/>
    <x v="12"/>
    <x v="2"/>
    <n v="38.200000000000003"/>
    <x v="1449"/>
    <x v="68"/>
    <x v="74"/>
    <x v="2"/>
    <x v="2"/>
    <x v="4"/>
    <x v="0"/>
    <x v="3"/>
    <x v="1"/>
    <x v="10"/>
    <x v="2"/>
  </r>
  <r>
    <x v="1864"/>
    <x v="9"/>
    <x v="0"/>
    <n v="39.1"/>
    <x v="923"/>
    <x v="68"/>
    <x v="74"/>
    <x v="2"/>
    <x v="0"/>
    <x v="0"/>
    <x v="0"/>
    <x v="3"/>
    <x v="1"/>
    <x v="10"/>
    <x v="2"/>
  </r>
  <r>
    <x v="1865"/>
    <x v="7"/>
    <x v="30"/>
    <n v="55.6"/>
    <x v="1450"/>
    <x v="68"/>
    <x v="74"/>
    <x v="1"/>
    <x v="0"/>
    <x v="2"/>
    <x v="0"/>
    <x v="3"/>
    <x v="1"/>
    <x v="10"/>
    <x v="1"/>
  </r>
  <r>
    <x v="1866"/>
    <x v="15"/>
    <x v="0"/>
    <n v="43.1"/>
    <x v="39"/>
    <x v="68"/>
    <x v="65"/>
    <x v="3"/>
    <x v="1"/>
    <x v="2"/>
    <x v="0"/>
    <x v="3"/>
    <x v="7"/>
    <x v="10"/>
    <x v="3"/>
  </r>
  <r>
    <x v="1867"/>
    <x v="6"/>
    <x v="12"/>
    <n v="48.1"/>
    <x v="1451"/>
    <x v="68"/>
    <x v="71"/>
    <x v="2"/>
    <x v="4"/>
    <x v="2"/>
    <x v="0"/>
    <x v="3"/>
    <x v="3"/>
    <x v="10"/>
    <x v="2"/>
  </r>
  <r>
    <x v="1868"/>
    <x v="4"/>
    <x v="0"/>
    <n v="42"/>
    <x v="337"/>
    <x v="68"/>
    <x v="71"/>
    <x v="3"/>
    <x v="0"/>
    <x v="0"/>
    <x v="0"/>
    <x v="3"/>
    <x v="3"/>
    <x v="10"/>
    <x v="3"/>
  </r>
  <r>
    <x v="1869"/>
    <x v="8"/>
    <x v="9"/>
    <n v="18.3"/>
    <x v="1058"/>
    <x v="68"/>
    <x v="65"/>
    <x v="2"/>
    <x v="2"/>
    <x v="0"/>
    <x v="0"/>
    <x v="3"/>
    <x v="7"/>
    <x v="10"/>
    <x v="2"/>
  </r>
  <r>
    <x v="1870"/>
    <x v="10"/>
    <x v="12"/>
    <n v="45.3"/>
    <x v="1452"/>
    <x v="68"/>
    <x v="64"/>
    <x v="2"/>
    <x v="0"/>
    <x v="2"/>
    <x v="0"/>
    <x v="3"/>
    <x v="2"/>
    <x v="10"/>
    <x v="2"/>
  </r>
  <r>
    <x v="1871"/>
    <x v="0"/>
    <x v="1"/>
    <n v="27.6"/>
    <x v="291"/>
    <x v="68"/>
    <x v="74"/>
    <x v="1"/>
    <x v="0"/>
    <x v="2"/>
    <x v="0"/>
    <x v="37"/>
    <x v="1"/>
    <x v="10"/>
    <x v="1"/>
  </r>
  <r>
    <x v="1872"/>
    <x v="4"/>
    <x v="9"/>
    <n v="26.9"/>
    <x v="531"/>
    <x v="68"/>
    <x v="71"/>
    <x v="2"/>
    <x v="2"/>
    <x v="0"/>
    <x v="0"/>
    <x v="25"/>
    <x v="3"/>
    <x v="10"/>
    <x v="2"/>
  </r>
  <r>
    <x v="1873"/>
    <x v="2"/>
    <x v="11"/>
    <n v="82.4"/>
    <x v="1453"/>
    <x v="68"/>
    <x v="74"/>
    <x v="3"/>
    <x v="2"/>
    <x v="0"/>
    <x v="0"/>
    <x v="5"/>
    <x v="1"/>
    <x v="10"/>
    <x v="3"/>
  </r>
  <r>
    <x v="1874"/>
    <x v="6"/>
    <x v="0"/>
    <n v="103.7"/>
    <x v="1454"/>
    <x v="68"/>
    <x v="74"/>
    <x v="2"/>
    <x v="1"/>
    <x v="0"/>
    <x v="0"/>
    <x v="5"/>
    <x v="1"/>
    <x v="10"/>
    <x v="2"/>
  </r>
  <r>
    <x v="1875"/>
    <x v="2"/>
    <x v="1"/>
    <n v="58.8"/>
    <x v="833"/>
    <x v="68"/>
    <x v="72"/>
    <x v="2"/>
    <x v="1"/>
    <x v="2"/>
    <x v="0"/>
    <x v="6"/>
    <x v="0"/>
    <x v="10"/>
    <x v="2"/>
  </r>
  <r>
    <x v="1876"/>
    <x v="13"/>
    <x v="0"/>
    <n v="31.5"/>
    <x v="1455"/>
    <x v="68"/>
    <x v="71"/>
    <x v="2"/>
    <x v="1"/>
    <x v="1"/>
    <x v="0"/>
    <x v="6"/>
    <x v="3"/>
    <x v="10"/>
    <x v="2"/>
  </r>
  <r>
    <x v="1877"/>
    <x v="7"/>
    <x v="9"/>
    <n v="36.799999999999997"/>
    <x v="79"/>
    <x v="68"/>
    <x v="74"/>
    <x v="2"/>
    <x v="0"/>
    <x v="0"/>
    <x v="0"/>
    <x v="8"/>
    <x v="1"/>
    <x v="10"/>
    <x v="2"/>
  </r>
  <r>
    <x v="1878"/>
    <x v="3"/>
    <x v="0"/>
    <n v="84.4"/>
    <x v="533"/>
    <x v="68"/>
    <x v="71"/>
    <x v="2"/>
    <x v="0"/>
    <x v="0"/>
    <x v="0"/>
    <x v="8"/>
    <x v="3"/>
    <x v="10"/>
    <x v="2"/>
  </r>
  <r>
    <x v="1879"/>
    <x v="14"/>
    <x v="0"/>
    <n v="44.7"/>
    <x v="1456"/>
    <x v="68"/>
    <x v="71"/>
    <x v="1"/>
    <x v="0"/>
    <x v="1"/>
    <x v="0"/>
    <x v="8"/>
    <x v="3"/>
    <x v="10"/>
    <x v="1"/>
  </r>
  <r>
    <x v="1880"/>
    <x v="9"/>
    <x v="8"/>
    <n v="39.4"/>
    <x v="895"/>
    <x v="68"/>
    <x v="71"/>
    <x v="2"/>
    <x v="1"/>
    <x v="2"/>
    <x v="0"/>
    <x v="8"/>
    <x v="3"/>
    <x v="10"/>
    <x v="2"/>
  </r>
  <r>
    <x v="1881"/>
    <x v="11"/>
    <x v="12"/>
    <n v="34.9"/>
    <x v="1457"/>
    <x v="68"/>
    <x v="74"/>
    <x v="2"/>
    <x v="0"/>
    <x v="2"/>
    <x v="0"/>
    <x v="8"/>
    <x v="1"/>
    <x v="10"/>
    <x v="2"/>
  </r>
  <r>
    <x v="1882"/>
    <x v="1"/>
    <x v="2"/>
    <n v="62.3"/>
    <x v="1458"/>
    <x v="68"/>
    <x v="74"/>
    <x v="1"/>
    <x v="4"/>
    <x v="2"/>
    <x v="0"/>
    <x v="8"/>
    <x v="1"/>
    <x v="10"/>
    <x v="1"/>
  </r>
  <r>
    <x v="1883"/>
    <x v="8"/>
    <x v="12"/>
    <n v="21.1"/>
    <x v="533"/>
    <x v="68"/>
    <x v="64"/>
    <x v="1"/>
    <x v="3"/>
    <x v="0"/>
    <x v="0"/>
    <x v="8"/>
    <x v="2"/>
    <x v="10"/>
    <x v="1"/>
  </r>
  <r>
    <x v="1884"/>
    <x v="8"/>
    <x v="2"/>
    <n v="33.200000000000003"/>
    <x v="1459"/>
    <x v="68"/>
    <x v="77"/>
    <x v="0"/>
    <x v="0"/>
    <x v="4"/>
    <x v="0"/>
    <x v="8"/>
    <x v="12"/>
    <x v="10"/>
    <x v="0"/>
  </r>
  <r>
    <x v="1885"/>
    <x v="1"/>
    <x v="12"/>
    <n v="74.5"/>
    <x v="1460"/>
    <x v="68"/>
    <x v="71"/>
    <x v="1"/>
    <x v="4"/>
    <x v="0"/>
    <x v="0"/>
    <x v="8"/>
    <x v="3"/>
    <x v="10"/>
    <x v="1"/>
  </r>
  <r>
    <x v="1886"/>
    <x v="10"/>
    <x v="4"/>
    <n v="68.599999999999994"/>
    <x v="1461"/>
    <x v="68"/>
    <x v="64"/>
    <x v="2"/>
    <x v="0"/>
    <x v="2"/>
    <x v="0"/>
    <x v="8"/>
    <x v="2"/>
    <x v="10"/>
    <x v="2"/>
  </r>
  <r>
    <x v="1887"/>
    <x v="5"/>
    <x v="21"/>
    <n v="36.4"/>
    <x v="1462"/>
    <x v="68"/>
    <x v="74"/>
    <x v="2"/>
    <x v="0"/>
    <x v="1"/>
    <x v="0"/>
    <x v="9"/>
    <x v="1"/>
    <x v="10"/>
    <x v="2"/>
  </r>
  <r>
    <x v="1888"/>
    <x v="16"/>
    <x v="9"/>
    <n v="67.599999999999994"/>
    <x v="1463"/>
    <x v="69"/>
    <x v="67"/>
    <x v="2"/>
    <x v="4"/>
    <x v="1"/>
    <x v="0"/>
    <x v="9"/>
    <x v="2"/>
    <x v="10"/>
    <x v="2"/>
  </r>
  <r>
    <x v="1889"/>
    <x v="15"/>
    <x v="0"/>
    <n v="46.3"/>
    <x v="516"/>
    <x v="69"/>
    <x v="74"/>
    <x v="1"/>
    <x v="2"/>
    <x v="0"/>
    <x v="0"/>
    <x v="9"/>
    <x v="3"/>
    <x v="10"/>
    <x v="1"/>
  </r>
  <r>
    <x v="1890"/>
    <x v="1"/>
    <x v="2"/>
    <n v="124.2"/>
    <x v="1464"/>
    <x v="69"/>
    <x v="64"/>
    <x v="2"/>
    <x v="1"/>
    <x v="2"/>
    <x v="0"/>
    <x v="11"/>
    <x v="1"/>
    <x v="10"/>
    <x v="2"/>
  </r>
  <r>
    <x v="1891"/>
    <x v="10"/>
    <x v="1"/>
    <n v="37"/>
    <x v="372"/>
    <x v="69"/>
    <x v="76"/>
    <x v="1"/>
    <x v="0"/>
    <x v="0"/>
    <x v="0"/>
    <x v="11"/>
    <x v="4"/>
    <x v="10"/>
    <x v="1"/>
  </r>
  <r>
    <x v="1892"/>
    <x v="5"/>
    <x v="0"/>
    <n v="41.8"/>
    <x v="1465"/>
    <x v="69"/>
    <x v="74"/>
    <x v="1"/>
    <x v="2"/>
    <x v="0"/>
    <x v="0"/>
    <x v="31"/>
    <x v="3"/>
    <x v="10"/>
    <x v="1"/>
  </r>
  <r>
    <x v="1893"/>
    <x v="9"/>
    <x v="1"/>
    <n v="57.2"/>
    <x v="1466"/>
    <x v="69"/>
    <x v="64"/>
    <x v="1"/>
    <x v="2"/>
    <x v="1"/>
    <x v="0"/>
    <x v="20"/>
    <x v="1"/>
    <x v="10"/>
    <x v="1"/>
  </r>
  <r>
    <x v="1894"/>
    <x v="6"/>
    <x v="1"/>
    <n v="47.1"/>
    <x v="1467"/>
    <x v="69"/>
    <x v="64"/>
    <x v="2"/>
    <x v="0"/>
    <x v="4"/>
    <x v="0"/>
    <x v="20"/>
    <x v="1"/>
    <x v="10"/>
    <x v="2"/>
  </r>
  <r>
    <x v="1895"/>
    <x v="5"/>
    <x v="2"/>
    <n v="86.4"/>
    <x v="1468"/>
    <x v="69"/>
    <x v="74"/>
    <x v="1"/>
    <x v="2"/>
    <x v="1"/>
    <x v="0"/>
    <x v="52"/>
    <x v="3"/>
    <x v="10"/>
    <x v="1"/>
  </r>
  <r>
    <x v="1896"/>
    <x v="6"/>
    <x v="9"/>
    <n v="105"/>
    <x v="1469"/>
    <x v="69"/>
    <x v="67"/>
    <x v="1"/>
    <x v="0"/>
    <x v="0"/>
    <x v="0"/>
    <x v="13"/>
    <x v="2"/>
    <x v="10"/>
    <x v="1"/>
  </r>
  <r>
    <x v="1897"/>
    <x v="18"/>
    <x v="0"/>
    <n v="33"/>
    <x v="940"/>
    <x v="69"/>
    <x v="67"/>
    <x v="1"/>
    <x v="4"/>
    <x v="0"/>
    <x v="0"/>
    <x v="21"/>
    <x v="2"/>
    <x v="10"/>
    <x v="1"/>
  </r>
  <r>
    <x v="1898"/>
    <x v="6"/>
    <x v="9"/>
    <n v="106.6"/>
    <x v="1470"/>
    <x v="69"/>
    <x v="77"/>
    <x v="2"/>
    <x v="2"/>
    <x v="0"/>
    <x v="0"/>
    <x v="1"/>
    <x v="10"/>
    <x v="10"/>
    <x v="2"/>
  </r>
  <r>
    <x v="1899"/>
    <x v="10"/>
    <x v="46"/>
    <n v="26.8"/>
    <x v="1471"/>
    <x v="69"/>
    <x v="74"/>
    <x v="2"/>
    <x v="2"/>
    <x v="0"/>
    <x v="0"/>
    <x v="1"/>
    <x v="3"/>
    <x v="10"/>
    <x v="2"/>
  </r>
  <r>
    <x v="1900"/>
    <x v="17"/>
    <x v="9"/>
    <n v="25.8"/>
    <x v="309"/>
    <x v="69"/>
    <x v="71"/>
    <x v="2"/>
    <x v="1"/>
    <x v="2"/>
    <x v="0"/>
    <x v="3"/>
    <x v="7"/>
    <x v="10"/>
    <x v="2"/>
  </r>
  <r>
    <x v="1901"/>
    <x v="2"/>
    <x v="2"/>
    <n v="217"/>
    <x v="1472"/>
    <x v="69"/>
    <x v="74"/>
    <x v="2"/>
    <x v="1"/>
    <x v="1"/>
    <x v="0"/>
    <x v="3"/>
    <x v="3"/>
    <x v="10"/>
    <x v="2"/>
  </r>
  <r>
    <x v="1902"/>
    <x v="2"/>
    <x v="1"/>
    <n v="97.3"/>
    <x v="1473"/>
    <x v="69"/>
    <x v="74"/>
    <x v="1"/>
    <x v="2"/>
    <x v="4"/>
    <x v="0"/>
    <x v="3"/>
    <x v="3"/>
    <x v="10"/>
    <x v="1"/>
  </r>
  <r>
    <x v="1903"/>
    <x v="1"/>
    <x v="0"/>
    <n v="49.8"/>
    <x v="1474"/>
    <x v="69"/>
    <x v="74"/>
    <x v="2"/>
    <x v="0"/>
    <x v="0"/>
    <x v="0"/>
    <x v="3"/>
    <x v="3"/>
    <x v="10"/>
    <x v="2"/>
  </r>
  <r>
    <x v="1904"/>
    <x v="12"/>
    <x v="9"/>
    <n v="32.6"/>
    <x v="1475"/>
    <x v="69"/>
    <x v="74"/>
    <x v="2"/>
    <x v="0"/>
    <x v="0"/>
    <x v="0"/>
    <x v="3"/>
    <x v="3"/>
    <x v="10"/>
    <x v="2"/>
  </r>
  <r>
    <x v="1905"/>
    <x v="9"/>
    <x v="1"/>
    <n v="40.1"/>
    <x v="556"/>
    <x v="69"/>
    <x v="67"/>
    <x v="1"/>
    <x v="1"/>
    <x v="2"/>
    <x v="0"/>
    <x v="3"/>
    <x v="2"/>
    <x v="10"/>
    <x v="1"/>
  </r>
  <r>
    <x v="1906"/>
    <x v="10"/>
    <x v="1"/>
    <n v="49.4"/>
    <x v="197"/>
    <x v="69"/>
    <x v="64"/>
    <x v="1"/>
    <x v="1"/>
    <x v="0"/>
    <x v="0"/>
    <x v="3"/>
    <x v="1"/>
    <x v="10"/>
    <x v="1"/>
  </r>
  <r>
    <x v="1907"/>
    <x v="2"/>
    <x v="0"/>
    <n v="67.3"/>
    <x v="1476"/>
    <x v="69"/>
    <x v="74"/>
    <x v="2"/>
    <x v="0"/>
    <x v="2"/>
    <x v="0"/>
    <x v="3"/>
    <x v="3"/>
    <x v="10"/>
    <x v="2"/>
  </r>
  <r>
    <x v="1908"/>
    <x v="18"/>
    <x v="12"/>
    <n v="44.5"/>
    <x v="394"/>
    <x v="69"/>
    <x v="67"/>
    <x v="0"/>
    <x v="1"/>
    <x v="0"/>
    <x v="0"/>
    <x v="3"/>
    <x v="2"/>
    <x v="10"/>
    <x v="0"/>
  </r>
  <r>
    <x v="1909"/>
    <x v="6"/>
    <x v="5"/>
    <n v="111.1"/>
    <x v="1477"/>
    <x v="69"/>
    <x v="74"/>
    <x v="2"/>
    <x v="4"/>
    <x v="0"/>
    <x v="0"/>
    <x v="3"/>
    <x v="3"/>
    <x v="10"/>
    <x v="2"/>
  </r>
  <r>
    <x v="1910"/>
    <x v="8"/>
    <x v="2"/>
    <n v="19.7"/>
    <x v="1478"/>
    <x v="69"/>
    <x v="74"/>
    <x v="2"/>
    <x v="4"/>
    <x v="4"/>
    <x v="0"/>
    <x v="3"/>
    <x v="3"/>
    <x v="10"/>
    <x v="2"/>
  </r>
  <r>
    <x v="1911"/>
    <x v="1"/>
    <x v="0"/>
    <n v="40.299999999999997"/>
    <x v="518"/>
    <x v="69"/>
    <x v="74"/>
    <x v="3"/>
    <x v="1"/>
    <x v="0"/>
    <x v="0"/>
    <x v="3"/>
    <x v="3"/>
    <x v="10"/>
    <x v="3"/>
  </r>
  <r>
    <x v="1912"/>
    <x v="6"/>
    <x v="1"/>
    <n v="108.8"/>
    <x v="1479"/>
    <x v="69"/>
    <x v="69"/>
    <x v="1"/>
    <x v="0"/>
    <x v="2"/>
    <x v="0"/>
    <x v="6"/>
    <x v="0"/>
    <x v="10"/>
    <x v="1"/>
  </r>
  <r>
    <x v="1913"/>
    <x v="8"/>
    <x v="2"/>
    <n v="48.2"/>
    <x v="1435"/>
    <x v="69"/>
    <x v="69"/>
    <x v="2"/>
    <x v="4"/>
    <x v="0"/>
    <x v="0"/>
    <x v="7"/>
    <x v="0"/>
    <x v="10"/>
    <x v="2"/>
  </r>
  <r>
    <x v="1914"/>
    <x v="2"/>
    <x v="2"/>
    <n v="104.7"/>
    <x v="1480"/>
    <x v="69"/>
    <x v="64"/>
    <x v="2"/>
    <x v="0"/>
    <x v="1"/>
    <x v="0"/>
    <x v="7"/>
    <x v="1"/>
    <x v="10"/>
    <x v="2"/>
  </r>
  <r>
    <x v="1915"/>
    <x v="1"/>
    <x v="1"/>
    <n v="80.599999999999994"/>
    <x v="154"/>
    <x v="69"/>
    <x v="71"/>
    <x v="2"/>
    <x v="1"/>
    <x v="0"/>
    <x v="0"/>
    <x v="8"/>
    <x v="7"/>
    <x v="10"/>
    <x v="2"/>
  </r>
  <r>
    <x v="1916"/>
    <x v="6"/>
    <x v="0"/>
    <n v="65.5"/>
    <x v="1481"/>
    <x v="69"/>
    <x v="64"/>
    <x v="3"/>
    <x v="1"/>
    <x v="0"/>
    <x v="0"/>
    <x v="8"/>
    <x v="1"/>
    <x v="10"/>
    <x v="3"/>
  </r>
  <r>
    <x v="1917"/>
    <x v="9"/>
    <x v="2"/>
    <n v="61.4"/>
    <x v="1173"/>
    <x v="69"/>
    <x v="64"/>
    <x v="2"/>
    <x v="4"/>
    <x v="2"/>
    <x v="0"/>
    <x v="8"/>
    <x v="1"/>
    <x v="10"/>
    <x v="2"/>
  </r>
  <r>
    <x v="1918"/>
    <x v="0"/>
    <x v="0"/>
    <n v="12.5"/>
    <x v="1482"/>
    <x v="70"/>
    <x v="72"/>
    <x v="2"/>
    <x v="0"/>
    <x v="1"/>
    <x v="0"/>
    <x v="8"/>
    <x v="2"/>
    <x v="10"/>
    <x v="2"/>
  </r>
  <r>
    <x v="1919"/>
    <x v="4"/>
    <x v="12"/>
    <n v="35.1"/>
    <x v="381"/>
    <x v="70"/>
    <x v="64"/>
    <x v="1"/>
    <x v="2"/>
    <x v="1"/>
    <x v="0"/>
    <x v="17"/>
    <x v="3"/>
    <x v="10"/>
    <x v="1"/>
  </r>
  <r>
    <x v="1920"/>
    <x v="5"/>
    <x v="1"/>
    <n v="55.7"/>
    <x v="1483"/>
    <x v="70"/>
    <x v="64"/>
    <x v="1"/>
    <x v="0"/>
    <x v="1"/>
    <x v="0"/>
    <x v="26"/>
    <x v="3"/>
    <x v="10"/>
    <x v="1"/>
  </r>
  <r>
    <x v="1921"/>
    <x v="7"/>
    <x v="1"/>
    <n v="57.7"/>
    <x v="1484"/>
    <x v="70"/>
    <x v="67"/>
    <x v="1"/>
    <x v="4"/>
    <x v="1"/>
    <x v="0"/>
    <x v="9"/>
    <x v="1"/>
    <x v="10"/>
    <x v="1"/>
  </r>
  <r>
    <x v="1922"/>
    <x v="2"/>
    <x v="13"/>
    <n v="85.7"/>
    <x v="1485"/>
    <x v="70"/>
    <x v="64"/>
    <x v="1"/>
    <x v="3"/>
    <x v="2"/>
    <x v="0"/>
    <x v="9"/>
    <x v="3"/>
    <x v="10"/>
    <x v="1"/>
  </r>
  <r>
    <x v="1923"/>
    <x v="2"/>
    <x v="2"/>
    <n v="86.9"/>
    <x v="1486"/>
    <x v="70"/>
    <x v="67"/>
    <x v="2"/>
    <x v="1"/>
    <x v="0"/>
    <x v="0"/>
    <x v="11"/>
    <x v="1"/>
    <x v="10"/>
    <x v="2"/>
  </r>
  <r>
    <x v="1924"/>
    <x v="18"/>
    <x v="1"/>
    <n v="46.4"/>
    <x v="1487"/>
    <x v="70"/>
    <x v="72"/>
    <x v="2"/>
    <x v="4"/>
    <x v="0"/>
    <x v="0"/>
    <x v="11"/>
    <x v="2"/>
    <x v="10"/>
    <x v="2"/>
  </r>
  <r>
    <x v="1925"/>
    <x v="5"/>
    <x v="2"/>
    <n v="25.4"/>
    <x v="1488"/>
    <x v="70"/>
    <x v="74"/>
    <x v="2"/>
    <x v="2"/>
    <x v="2"/>
    <x v="0"/>
    <x v="18"/>
    <x v="7"/>
    <x v="10"/>
    <x v="2"/>
  </r>
  <r>
    <x v="1926"/>
    <x v="10"/>
    <x v="2"/>
    <n v="47.8"/>
    <x v="1489"/>
    <x v="70"/>
    <x v="74"/>
    <x v="0"/>
    <x v="2"/>
    <x v="2"/>
    <x v="0"/>
    <x v="19"/>
    <x v="7"/>
    <x v="10"/>
    <x v="0"/>
  </r>
  <r>
    <x v="1927"/>
    <x v="8"/>
    <x v="10"/>
    <n v="18.399999999999999"/>
    <x v="1490"/>
    <x v="70"/>
    <x v="67"/>
    <x v="3"/>
    <x v="2"/>
    <x v="0"/>
    <x v="0"/>
    <x v="20"/>
    <x v="1"/>
    <x v="10"/>
    <x v="3"/>
  </r>
  <r>
    <x v="1928"/>
    <x v="12"/>
    <x v="2"/>
    <n v="65.5"/>
    <x v="756"/>
    <x v="70"/>
    <x v="78"/>
    <x v="2"/>
    <x v="0"/>
    <x v="0"/>
    <x v="0"/>
    <x v="21"/>
    <x v="9"/>
    <x v="10"/>
    <x v="2"/>
  </r>
  <r>
    <x v="1929"/>
    <x v="10"/>
    <x v="1"/>
    <n v="50.6"/>
    <x v="855"/>
    <x v="70"/>
    <x v="72"/>
    <x v="1"/>
    <x v="2"/>
    <x v="4"/>
    <x v="0"/>
    <x v="21"/>
    <x v="2"/>
    <x v="10"/>
    <x v="1"/>
  </r>
  <r>
    <x v="1930"/>
    <x v="3"/>
    <x v="9"/>
    <n v="69"/>
    <x v="1491"/>
    <x v="70"/>
    <x v="69"/>
    <x v="1"/>
    <x v="3"/>
    <x v="0"/>
    <x v="0"/>
    <x v="21"/>
    <x v="5"/>
    <x v="10"/>
    <x v="1"/>
  </r>
  <r>
    <x v="1931"/>
    <x v="9"/>
    <x v="8"/>
    <n v="51.1"/>
    <x v="18"/>
    <x v="70"/>
    <x v="67"/>
    <x v="2"/>
    <x v="0"/>
    <x v="0"/>
    <x v="0"/>
    <x v="1"/>
    <x v="1"/>
    <x v="10"/>
    <x v="2"/>
  </r>
  <r>
    <x v="1932"/>
    <x v="9"/>
    <x v="0"/>
    <n v="36.1"/>
    <x v="168"/>
    <x v="70"/>
    <x v="64"/>
    <x v="2"/>
    <x v="0"/>
    <x v="2"/>
    <x v="0"/>
    <x v="34"/>
    <x v="3"/>
    <x v="10"/>
    <x v="2"/>
  </r>
  <r>
    <x v="1933"/>
    <x v="14"/>
    <x v="0"/>
    <n v="18.7"/>
    <x v="1492"/>
    <x v="70"/>
    <x v="64"/>
    <x v="1"/>
    <x v="0"/>
    <x v="0"/>
    <x v="0"/>
    <x v="3"/>
    <x v="3"/>
    <x v="10"/>
    <x v="1"/>
  </r>
  <r>
    <x v="1934"/>
    <x v="17"/>
    <x v="0"/>
    <n v="30.1"/>
    <x v="1493"/>
    <x v="70"/>
    <x v="72"/>
    <x v="2"/>
    <x v="3"/>
    <x v="1"/>
    <x v="0"/>
    <x v="3"/>
    <x v="2"/>
    <x v="10"/>
    <x v="2"/>
  </r>
  <r>
    <x v="1935"/>
    <x v="8"/>
    <x v="0"/>
    <n v="16.3"/>
    <x v="1494"/>
    <x v="70"/>
    <x v="64"/>
    <x v="1"/>
    <x v="3"/>
    <x v="0"/>
    <x v="0"/>
    <x v="3"/>
    <x v="3"/>
    <x v="10"/>
    <x v="1"/>
  </r>
  <r>
    <x v="1936"/>
    <x v="1"/>
    <x v="2"/>
    <n v="63.8"/>
    <x v="1348"/>
    <x v="70"/>
    <x v="76"/>
    <x v="2"/>
    <x v="2"/>
    <x v="1"/>
    <x v="0"/>
    <x v="3"/>
    <x v="0"/>
    <x v="10"/>
    <x v="2"/>
  </r>
  <r>
    <x v="1937"/>
    <x v="1"/>
    <x v="3"/>
    <n v="73.900000000000006"/>
    <x v="1495"/>
    <x v="70"/>
    <x v="74"/>
    <x v="2"/>
    <x v="0"/>
    <x v="1"/>
    <x v="0"/>
    <x v="3"/>
    <x v="7"/>
    <x v="10"/>
    <x v="2"/>
  </r>
  <r>
    <x v="1938"/>
    <x v="0"/>
    <x v="1"/>
    <n v="20.2"/>
    <x v="1400"/>
    <x v="70"/>
    <x v="64"/>
    <x v="1"/>
    <x v="0"/>
    <x v="1"/>
    <x v="0"/>
    <x v="3"/>
    <x v="3"/>
    <x v="10"/>
    <x v="1"/>
  </r>
  <r>
    <x v="1939"/>
    <x v="11"/>
    <x v="5"/>
    <n v="29.5"/>
    <x v="1496"/>
    <x v="70"/>
    <x v="64"/>
    <x v="1"/>
    <x v="0"/>
    <x v="0"/>
    <x v="0"/>
    <x v="3"/>
    <x v="3"/>
    <x v="10"/>
    <x v="1"/>
  </r>
  <r>
    <x v="1940"/>
    <x v="15"/>
    <x v="3"/>
    <n v="37.9"/>
    <x v="1497"/>
    <x v="70"/>
    <x v="64"/>
    <x v="1"/>
    <x v="1"/>
    <x v="0"/>
    <x v="0"/>
    <x v="3"/>
    <x v="3"/>
    <x v="10"/>
    <x v="1"/>
  </r>
  <r>
    <x v="1941"/>
    <x v="2"/>
    <x v="0"/>
    <n v="56.5"/>
    <x v="1498"/>
    <x v="70"/>
    <x v="64"/>
    <x v="2"/>
    <x v="2"/>
    <x v="1"/>
    <x v="0"/>
    <x v="3"/>
    <x v="3"/>
    <x v="10"/>
    <x v="2"/>
  </r>
  <r>
    <x v="1942"/>
    <x v="2"/>
    <x v="1"/>
    <n v="66.900000000000006"/>
    <x v="981"/>
    <x v="70"/>
    <x v="73"/>
    <x v="1"/>
    <x v="1"/>
    <x v="4"/>
    <x v="0"/>
    <x v="25"/>
    <x v="4"/>
    <x v="10"/>
    <x v="1"/>
  </r>
  <r>
    <x v="1943"/>
    <x v="2"/>
    <x v="9"/>
    <n v="51.9"/>
    <x v="1499"/>
    <x v="70"/>
    <x v="72"/>
    <x v="1"/>
    <x v="1"/>
    <x v="0"/>
    <x v="0"/>
    <x v="7"/>
    <x v="2"/>
    <x v="10"/>
    <x v="1"/>
  </r>
  <r>
    <x v="1944"/>
    <x v="2"/>
    <x v="1"/>
    <n v="75.599999999999994"/>
    <x v="277"/>
    <x v="70"/>
    <x v="72"/>
    <x v="1"/>
    <x v="1"/>
    <x v="0"/>
    <x v="0"/>
    <x v="8"/>
    <x v="2"/>
    <x v="10"/>
    <x v="1"/>
  </r>
  <r>
    <x v="1945"/>
    <x v="12"/>
    <x v="13"/>
    <n v="47.3"/>
    <x v="592"/>
    <x v="70"/>
    <x v="79"/>
    <x v="1"/>
    <x v="0"/>
    <x v="0"/>
    <x v="0"/>
    <x v="8"/>
    <x v="11"/>
    <x v="10"/>
    <x v="1"/>
  </r>
  <r>
    <x v="1946"/>
    <x v="4"/>
    <x v="0"/>
    <n v="20.6"/>
    <x v="1500"/>
    <x v="70"/>
    <x v="64"/>
    <x v="0"/>
    <x v="0"/>
    <x v="1"/>
    <x v="0"/>
    <x v="8"/>
    <x v="3"/>
    <x v="10"/>
    <x v="0"/>
  </r>
  <r>
    <x v="1947"/>
    <x v="6"/>
    <x v="2"/>
    <n v="49.7"/>
    <x v="1501"/>
    <x v="70"/>
    <x v="67"/>
    <x v="1"/>
    <x v="0"/>
    <x v="1"/>
    <x v="0"/>
    <x v="8"/>
    <x v="1"/>
    <x v="10"/>
    <x v="1"/>
  </r>
  <r>
    <x v="1948"/>
    <x v="3"/>
    <x v="0"/>
    <n v="37.9"/>
    <x v="853"/>
    <x v="70"/>
    <x v="67"/>
    <x v="2"/>
    <x v="0"/>
    <x v="0"/>
    <x v="0"/>
    <x v="8"/>
    <x v="1"/>
    <x v="10"/>
    <x v="2"/>
  </r>
  <r>
    <x v="1949"/>
    <x v="13"/>
    <x v="20"/>
    <n v="32"/>
    <x v="1502"/>
    <x v="70"/>
    <x v="67"/>
    <x v="2"/>
    <x v="4"/>
    <x v="0"/>
    <x v="0"/>
    <x v="11"/>
    <x v="1"/>
    <x v="10"/>
    <x v="2"/>
  </r>
  <r>
    <x v="1950"/>
    <x v="10"/>
    <x v="16"/>
    <n v="38.5"/>
    <x v="1503"/>
    <x v="71"/>
    <x v="67"/>
    <x v="1"/>
    <x v="0"/>
    <x v="2"/>
    <x v="0"/>
    <x v="11"/>
    <x v="3"/>
    <x v="10"/>
    <x v="1"/>
  </r>
  <r>
    <x v="1951"/>
    <x v="0"/>
    <x v="12"/>
    <n v="11.7"/>
    <x v="86"/>
    <x v="71"/>
    <x v="72"/>
    <x v="2"/>
    <x v="1"/>
    <x v="0"/>
    <x v="0"/>
    <x v="20"/>
    <x v="1"/>
    <x v="10"/>
    <x v="2"/>
  </r>
  <r>
    <x v="1952"/>
    <x v="3"/>
    <x v="13"/>
    <n v="83.8"/>
    <x v="1504"/>
    <x v="71"/>
    <x v="67"/>
    <x v="1"/>
    <x v="0"/>
    <x v="0"/>
    <x v="0"/>
    <x v="21"/>
    <x v="3"/>
    <x v="10"/>
    <x v="1"/>
  </r>
  <r>
    <x v="1953"/>
    <x v="0"/>
    <x v="3"/>
    <n v="14"/>
    <x v="11"/>
    <x v="71"/>
    <x v="69"/>
    <x v="1"/>
    <x v="0"/>
    <x v="1"/>
    <x v="0"/>
    <x v="22"/>
    <x v="2"/>
    <x v="10"/>
    <x v="1"/>
  </r>
  <r>
    <x v="1954"/>
    <x v="16"/>
    <x v="12"/>
    <n v="77.3"/>
    <x v="1505"/>
    <x v="71"/>
    <x v="72"/>
    <x v="2"/>
    <x v="4"/>
    <x v="2"/>
    <x v="0"/>
    <x v="3"/>
    <x v="1"/>
    <x v="10"/>
    <x v="2"/>
  </r>
  <r>
    <x v="1955"/>
    <x v="2"/>
    <x v="1"/>
    <n v="76.900000000000006"/>
    <x v="1506"/>
    <x v="71"/>
    <x v="76"/>
    <x v="2"/>
    <x v="0"/>
    <x v="1"/>
    <x v="0"/>
    <x v="3"/>
    <x v="5"/>
    <x v="10"/>
    <x v="2"/>
  </r>
  <r>
    <x v="1956"/>
    <x v="1"/>
    <x v="0"/>
    <n v="48"/>
    <x v="510"/>
    <x v="71"/>
    <x v="72"/>
    <x v="2"/>
    <x v="1"/>
    <x v="2"/>
    <x v="0"/>
    <x v="3"/>
    <x v="1"/>
    <x v="10"/>
    <x v="2"/>
  </r>
  <r>
    <x v="1957"/>
    <x v="2"/>
    <x v="0"/>
    <n v="94.5"/>
    <x v="234"/>
    <x v="71"/>
    <x v="69"/>
    <x v="1"/>
    <x v="1"/>
    <x v="1"/>
    <x v="0"/>
    <x v="3"/>
    <x v="2"/>
    <x v="10"/>
    <x v="1"/>
  </r>
  <r>
    <x v="1958"/>
    <x v="10"/>
    <x v="2"/>
    <n v="58.4"/>
    <x v="122"/>
    <x v="71"/>
    <x v="72"/>
    <x v="2"/>
    <x v="1"/>
    <x v="2"/>
    <x v="0"/>
    <x v="3"/>
    <x v="1"/>
    <x v="10"/>
    <x v="2"/>
  </r>
  <r>
    <x v="1959"/>
    <x v="7"/>
    <x v="15"/>
    <n v="42.2"/>
    <x v="1507"/>
    <x v="71"/>
    <x v="64"/>
    <x v="1"/>
    <x v="0"/>
    <x v="0"/>
    <x v="0"/>
    <x v="25"/>
    <x v="7"/>
    <x v="10"/>
    <x v="1"/>
  </r>
  <r>
    <x v="1960"/>
    <x v="6"/>
    <x v="1"/>
    <n v="152.19999999999999"/>
    <x v="1508"/>
    <x v="71"/>
    <x v="67"/>
    <x v="1"/>
    <x v="4"/>
    <x v="1"/>
    <x v="0"/>
    <x v="25"/>
    <x v="3"/>
    <x v="10"/>
    <x v="1"/>
  </r>
  <r>
    <x v="1961"/>
    <x v="6"/>
    <x v="25"/>
    <n v="72"/>
    <x v="1509"/>
    <x v="71"/>
    <x v="67"/>
    <x v="1"/>
    <x v="0"/>
    <x v="1"/>
    <x v="0"/>
    <x v="6"/>
    <x v="3"/>
    <x v="10"/>
    <x v="1"/>
  </r>
  <r>
    <x v="1962"/>
    <x v="1"/>
    <x v="44"/>
    <n v="70.900000000000006"/>
    <x v="1510"/>
    <x v="71"/>
    <x v="67"/>
    <x v="2"/>
    <x v="2"/>
    <x v="0"/>
    <x v="0"/>
    <x v="8"/>
    <x v="3"/>
    <x v="10"/>
    <x v="2"/>
  </r>
  <r>
    <x v="1963"/>
    <x v="2"/>
    <x v="1"/>
    <n v="53.7"/>
    <x v="1511"/>
    <x v="71"/>
    <x v="67"/>
    <x v="1"/>
    <x v="2"/>
    <x v="2"/>
    <x v="0"/>
    <x v="8"/>
    <x v="3"/>
    <x v="10"/>
    <x v="1"/>
  </r>
  <r>
    <x v="1964"/>
    <x v="9"/>
    <x v="12"/>
    <n v="42.9"/>
    <x v="1512"/>
    <x v="71"/>
    <x v="67"/>
    <x v="2"/>
    <x v="2"/>
    <x v="4"/>
    <x v="0"/>
    <x v="9"/>
    <x v="3"/>
    <x v="10"/>
    <x v="2"/>
  </r>
  <r>
    <x v="1965"/>
    <x v="2"/>
    <x v="3"/>
    <n v="107.5"/>
    <x v="1513"/>
    <x v="71"/>
    <x v="67"/>
    <x v="1"/>
    <x v="1"/>
    <x v="0"/>
    <x v="0"/>
    <x v="11"/>
    <x v="3"/>
    <x v="10"/>
    <x v="1"/>
  </r>
  <r>
    <x v="1966"/>
    <x v="17"/>
    <x v="27"/>
    <n v="21.5"/>
    <x v="1213"/>
    <x v="71"/>
    <x v="67"/>
    <x v="1"/>
    <x v="1"/>
    <x v="1"/>
    <x v="0"/>
    <x v="32"/>
    <x v="3"/>
    <x v="10"/>
    <x v="1"/>
  </r>
  <r>
    <x v="1967"/>
    <x v="3"/>
    <x v="9"/>
    <n v="85.3"/>
    <x v="1514"/>
    <x v="71"/>
    <x v="72"/>
    <x v="2"/>
    <x v="3"/>
    <x v="0"/>
    <x v="0"/>
    <x v="18"/>
    <x v="1"/>
    <x v="10"/>
    <x v="2"/>
  </r>
  <r>
    <x v="1968"/>
    <x v="7"/>
    <x v="9"/>
    <n v="80.8"/>
    <x v="1515"/>
    <x v="71"/>
    <x v="75"/>
    <x v="3"/>
    <x v="1"/>
    <x v="1"/>
    <x v="0"/>
    <x v="19"/>
    <x v="9"/>
    <x v="10"/>
    <x v="3"/>
  </r>
  <r>
    <x v="1969"/>
    <x v="2"/>
    <x v="2"/>
    <n v="123.1"/>
    <x v="1516"/>
    <x v="71"/>
    <x v="72"/>
    <x v="0"/>
    <x v="2"/>
    <x v="0"/>
    <x v="0"/>
    <x v="21"/>
    <x v="1"/>
    <x v="10"/>
    <x v="0"/>
  </r>
  <r>
    <x v="1970"/>
    <x v="8"/>
    <x v="1"/>
    <n v="36.9"/>
    <x v="1517"/>
    <x v="71"/>
    <x v="72"/>
    <x v="2"/>
    <x v="2"/>
    <x v="4"/>
    <x v="0"/>
    <x v="51"/>
    <x v="1"/>
    <x v="10"/>
    <x v="2"/>
  </r>
  <r>
    <x v="1971"/>
    <x v="11"/>
    <x v="9"/>
    <n v="40"/>
    <x v="308"/>
    <x v="71"/>
    <x v="67"/>
    <x v="1"/>
    <x v="0"/>
    <x v="0"/>
    <x v="0"/>
    <x v="1"/>
    <x v="3"/>
    <x v="10"/>
    <x v="1"/>
  </r>
  <r>
    <x v="1972"/>
    <x v="6"/>
    <x v="2"/>
    <n v="55.5"/>
    <x v="1256"/>
    <x v="71"/>
    <x v="67"/>
    <x v="1"/>
    <x v="4"/>
    <x v="2"/>
    <x v="0"/>
    <x v="1"/>
    <x v="3"/>
    <x v="10"/>
    <x v="1"/>
  </r>
  <r>
    <x v="1973"/>
    <x v="0"/>
    <x v="12"/>
    <n v="20.5"/>
    <x v="1518"/>
    <x v="71"/>
    <x v="76"/>
    <x v="2"/>
    <x v="4"/>
    <x v="0"/>
    <x v="0"/>
    <x v="1"/>
    <x v="5"/>
    <x v="10"/>
    <x v="2"/>
  </r>
  <r>
    <x v="1974"/>
    <x v="18"/>
    <x v="12"/>
    <n v="50.1"/>
    <x v="1519"/>
    <x v="71"/>
    <x v="67"/>
    <x v="2"/>
    <x v="4"/>
    <x v="0"/>
    <x v="0"/>
    <x v="1"/>
    <x v="3"/>
    <x v="10"/>
    <x v="2"/>
  </r>
  <r>
    <x v="1975"/>
    <x v="9"/>
    <x v="0"/>
    <n v="35.9"/>
    <x v="1520"/>
    <x v="71"/>
    <x v="72"/>
    <x v="1"/>
    <x v="1"/>
    <x v="2"/>
    <x v="0"/>
    <x v="1"/>
    <x v="1"/>
    <x v="10"/>
    <x v="1"/>
  </r>
  <r>
    <x v="1976"/>
    <x v="13"/>
    <x v="12"/>
    <n v="29.4"/>
    <x v="833"/>
    <x v="72"/>
    <x v="72"/>
    <x v="1"/>
    <x v="2"/>
    <x v="2"/>
    <x v="0"/>
    <x v="33"/>
    <x v="3"/>
    <x v="10"/>
    <x v="1"/>
  </r>
  <r>
    <x v="1977"/>
    <x v="8"/>
    <x v="9"/>
    <n v="29.1"/>
    <x v="973"/>
    <x v="72"/>
    <x v="80"/>
    <x v="3"/>
    <x v="2"/>
    <x v="1"/>
    <x v="0"/>
    <x v="33"/>
    <x v="9"/>
    <x v="10"/>
    <x v="3"/>
  </r>
  <r>
    <x v="1978"/>
    <x v="8"/>
    <x v="2"/>
    <n v="33.5"/>
    <x v="427"/>
    <x v="72"/>
    <x v="81"/>
    <x v="1"/>
    <x v="0"/>
    <x v="2"/>
    <x v="0"/>
    <x v="22"/>
    <x v="13"/>
    <x v="10"/>
    <x v="1"/>
  </r>
  <r>
    <x v="1979"/>
    <x v="4"/>
    <x v="7"/>
    <n v="36"/>
    <x v="1521"/>
    <x v="72"/>
    <x v="67"/>
    <x v="1"/>
    <x v="3"/>
    <x v="2"/>
    <x v="0"/>
    <x v="3"/>
    <x v="7"/>
    <x v="10"/>
    <x v="1"/>
  </r>
  <r>
    <x v="1980"/>
    <x v="16"/>
    <x v="2"/>
    <n v="57.3"/>
    <x v="1522"/>
    <x v="72"/>
    <x v="73"/>
    <x v="2"/>
    <x v="0"/>
    <x v="2"/>
    <x v="0"/>
    <x v="3"/>
    <x v="5"/>
    <x v="10"/>
    <x v="2"/>
  </r>
  <r>
    <x v="1981"/>
    <x v="1"/>
    <x v="0"/>
    <n v="81.400000000000006"/>
    <x v="1523"/>
    <x v="72"/>
    <x v="72"/>
    <x v="2"/>
    <x v="2"/>
    <x v="2"/>
    <x v="0"/>
    <x v="3"/>
    <x v="3"/>
    <x v="10"/>
    <x v="2"/>
  </r>
  <r>
    <x v="1982"/>
    <x v="10"/>
    <x v="1"/>
    <n v="35.299999999999997"/>
    <x v="527"/>
    <x v="72"/>
    <x v="73"/>
    <x v="1"/>
    <x v="0"/>
    <x v="2"/>
    <x v="0"/>
    <x v="3"/>
    <x v="5"/>
    <x v="10"/>
    <x v="1"/>
  </r>
  <r>
    <x v="1983"/>
    <x v="3"/>
    <x v="0"/>
    <n v="36.1"/>
    <x v="168"/>
    <x v="72"/>
    <x v="72"/>
    <x v="2"/>
    <x v="4"/>
    <x v="0"/>
    <x v="0"/>
    <x v="3"/>
    <x v="3"/>
    <x v="10"/>
    <x v="2"/>
  </r>
  <r>
    <x v="1984"/>
    <x v="1"/>
    <x v="1"/>
    <n v="36.700000000000003"/>
    <x v="1524"/>
    <x v="72"/>
    <x v="69"/>
    <x v="2"/>
    <x v="0"/>
    <x v="2"/>
    <x v="0"/>
    <x v="3"/>
    <x v="1"/>
    <x v="10"/>
    <x v="2"/>
  </r>
  <r>
    <x v="1985"/>
    <x v="10"/>
    <x v="0"/>
    <n v="20.9"/>
    <x v="798"/>
    <x v="72"/>
    <x v="69"/>
    <x v="2"/>
    <x v="0"/>
    <x v="4"/>
    <x v="0"/>
    <x v="3"/>
    <x v="1"/>
    <x v="10"/>
    <x v="2"/>
  </r>
  <r>
    <x v="1986"/>
    <x v="12"/>
    <x v="2"/>
    <n v="58.8"/>
    <x v="1525"/>
    <x v="72"/>
    <x v="73"/>
    <x v="1"/>
    <x v="0"/>
    <x v="2"/>
    <x v="0"/>
    <x v="25"/>
    <x v="5"/>
    <x v="10"/>
    <x v="1"/>
  </r>
  <r>
    <x v="1987"/>
    <x v="2"/>
    <x v="2"/>
    <n v="97.6"/>
    <x v="1526"/>
    <x v="73"/>
    <x v="76"/>
    <x v="0"/>
    <x v="0"/>
    <x v="0"/>
    <x v="0"/>
    <x v="6"/>
    <x v="1"/>
    <x v="10"/>
    <x v="0"/>
  </r>
  <r>
    <x v="1988"/>
    <x v="1"/>
    <x v="1"/>
    <n v="58.7"/>
    <x v="1527"/>
    <x v="73"/>
    <x v="73"/>
    <x v="2"/>
    <x v="0"/>
    <x v="1"/>
    <x v="0"/>
    <x v="6"/>
    <x v="2"/>
    <x v="10"/>
    <x v="2"/>
  </r>
  <r>
    <x v="1989"/>
    <x v="6"/>
    <x v="9"/>
    <n v="71.900000000000006"/>
    <x v="1528"/>
    <x v="73"/>
    <x v="69"/>
    <x v="0"/>
    <x v="0"/>
    <x v="1"/>
    <x v="0"/>
    <x v="6"/>
    <x v="3"/>
    <x v="10"/>
    <x v="0"/>
  </r>
  <r>
    <x v="1990"/>
    <x v="1"/>
    <x v="1"/>
    <n v="62.4"/>
    <x v="1109"/>
    <x v="73"/>
    <x v="76"/>
    <x v="0"/>
    <x v="0"/>
    <x v="1"/>
    <x v="0"/>
    <x v="8"/>
    <x v="1"/>
    <x v="10"/>
    <x v="0"/>
  </r>
  <r>
    <x v="1991"/>
    <x v="6"/>
    <x v="27"/>
    <n v="53.8"/>
    <x v="1529"/>
    <x v="73"/>
    <x v="69"/>
    <x v="2"/>
    <x v="1"/>
    <x v="0"/>
    <x v="0"/>
    <x v="8"/>
    <x v="3"/>
    <x v="10"/>
    <x v="2"/>
  </r>
  <r>
    <x v="1992"/>
    <x v="9"/>
    <x v="0"/>
    <n v="43.8"/>
    <x v="328"/>
    <x v="73"/>
    <x v="80"/>
    <x v="2"/>
    <x v="0"/>
    <x v="2"/>
    <x v="0"/>
    <x v="8"/>
    <x v="6"/>
    <x v="10"/>
    <x v="2"/>
  </r>
  <r>
    <x v="1993"/>
    <x v="5"/>
    <x v="2"/>
    <n v="53.6"/>
    <x v="1530"/>
    <x v="73"/>
    <x v="69"/>
    <x v="1"/>
    <x v="3"/>
    <x v="0"/>
    <x v="0"/>
    <x v="8"/>
    <x v="3"/>
    <x v="10"/>
    <x v="1"/>
  </r>
  <r>
    <x v="1994"/>
    <x v="12"/>
    <x v="1"/>
    <n v="84.3"/>
    <x v="1531"/>
    <x v="73"/>
    <x v="73"/>
    <x v="1"/>
    <x v="4"/>
    <x v="1"/>
    <x v="0"/>
    <x v="8"/>
    <x v="2"/>
    <x v="10"/>
    <x v="1"/>
  </r>
  <r>
    <x v="1995"/>
    <x v="6"/>
    <x v="11"/>
    <n v="117.9"/>
    <x v="1532"/>
    <x v="73"/>
    <x v="69"/>
    <x v="2"/>
    <x v="1"/>
    <x v="2"/>
    <x v="0"/>
    <x v="8"/>
    <x v="3"/>
    <x v="10"/>
    <x v="2"/>
  </r>
  <r>
    <x v="1996"/>
    <x v="4"/>
    <x v="8"/>
    <n v="30"/>
    <x v="1533"/>
    <x v="73"/>
    <x v="69"/>
    <x v="2"/>
    <x v="1"/>
    <x v="0"/>
    <x v="0"/>
    <x v="26"/>
    <x v="3"/>
    <x v="10"/>
    <x v="2"/>
  </r>
  <r>
    <x v="1997"/>
    <x v="14"/>
    <x v="2"/>
    <n v="37.299999999999997"/>
    <x v="1534"/>
    <x v="73"/>
    <x v="69"/>
    <x v="1"/>
    <x v="2"/>
    <x v="0"/>
    <x v="0"/>
    <x v="9"/>
    <x v="3"/>
    <x v="10"/>
    <x v="1"/>
  </r>
  <r>
    <x v="1998"/>
    <x v="4"/>
    <x v="11"/>
    <n v="25.1"/>
    <x v="1535"/>
    <x v="73"/>
    <x v="76"/>
    <x v="1"/>
    <x v="1"/>
    <x v="2"/>
    <x v="0"/>
    <x v="11"/>
    <x v="1"/>
    <x v="10"/>
    <x v="1"/>
  </r>
  <r>
    <x v="1999"/>
    <x v="8"/>
    <x v="5"/>
    <n v="36"/>
    <x v="501"/>
    <x v="73"/>
    <x v="82"/>
    <x v="1"/>
    <x v="1"/>
    <x v="0"/>
    <x v="0"/>
    <x v="18"/>
    <x v="14"/>
    <x v="10"/>
    <x v="1"/>
  </r>
  <r>
    <x v="2000"/>
    <x v="16"/>
    <x v="2"/>
    <n v="48.5"/>
    <x v="973"/>
    <x v="73"/>
    <x v="83"/>
    <x v="2"/>
    <x v="1"/>
    <x v="0"/>
    <x v="0"/>
    <x v="19"/>
    <x v="5"/>
    <x v="10"/>
    <x v="2"/>
  </r>
  <r>
    <x v="2001"/>
    <x v="17"/>
    <x v="13"/>
    <n v="21.1"/>
    <x v="1077"/>
    <x v="73"/>
    <x v="69"/>
    <x v="1"/>
    <x v="1"/>
    <x v="2"/>
    <x v="0"/>
    <x v="21"/>
    <x v="3"/>
    <x v="10"/>
    <x v="1"/>
  </r>
  <r>
    <x v="2002"/>
    <x v="15"/>
    <x v="21"/>
    <n v="43.2"/>
    <x v="1536"/>
    <x v="73"/>
    <x v="69"/>
    <x v="3"/>
    <x v="0"/>
    <x v="1"/>
    <x v="0"/>
    <x v="21"/>
    <x v="3"/>
    <x v="10"/>
    <x v="3"/>
  </r>
  <r>
    <x v="2003"/>
    <x v="9"/>
    <x v="1"/>
    <n v="21.1"/>
    <x v="1283"/>
    <x v="73"/>
    <x v="69"/>
    <x v="0"/>
    <x v="3"/>
    <x v="1"/>
    <x v="0"/>
    <x v="21"/>
    <x v="3"/>
    <x v="10"/>
    <x v="0"/>
  </r>
  <r>
    <x v="2004"/>
    <x v="6"/>
    <x v="12"/>
    <n v="41.3"/>
    <x v="1537"/>
    <x v="73"/>
    <x v="76"/>
    <x v="2"/>
    <x v="3"/>
    <x v="2"/>
    <x v="0"/>
    <x v="1"/>
    <x v="1"/>
    <x v="10"/>
    <x v="2"/>
  </r>
  <r>
    <x v="2005"/>
    <x v="8"/>
    <x v="1"/>
    <n v="15.3"/>
    <x v="1538"/>
    <x v="73"/>
    <x v="73"/>
    <x v="0"/>
    <x v="2"/>
    <x v="2"/>
    <x v="0"/>
    <x v="1"/>
    <x v="2"/>
    <x v="10"/>
    <x v="0"/>
  </r>
  <r>
    <x v="2006"/>
    <x v="1"/>
    <x v="0"/>
    <n v="54.6"/>
    <x v="1539"/>
    <x v="73"/>
    <x v="76"/>
    <x v="1"/>
    <x v="1"/>
    <x v="1"/>
    <x v="0"/>
    <x v="2"/>
    <x v="1"/>
    <x v="10"/>
    <x v="1"/>
  </r>
  <r>
    <x v="2007"/>
    <x v="8"/>
    <x v="0"/>
    <n v="15.9"/>
    <x v="1021"/>
    <x v="73"/>
    <x v="69"/>
    <x v="1"/>
    <x v="0"/>
    <x v="1"/>
    <x v="0"/>
    <x v="22"/>
    <x v="3"/>
    <x v="10"/>
    <x v="1"/>
  </r>
  <r>
    <x v="2008"/>
    <x v="9"/>
    <x v="0"/>
    <n v="50.2"/>
    <x v="486"/>
    <x v="73"/>
    <x v="76"/>
    <x v="2"/>
    <x v="3"/>
    <x v="2"/>
    <x v="0"/>
    <x v="34"/>
    <x v="1"/>
    <x v="10"/>
    <x v="2"/>
  </r>
  <r>
    <x v="2009"/>
    <x v="11"/>
    <x v="12"/>
    <n v="85.1"/>
    <x v="1540"/>
    <x v="73"/>
    <x v="69"/>
    <x v="2"/>
    <x v="3"/>
    <x v="4"/>
    <x v="0"/>
    <x v="34"/>
    <x v="3"/>
    <x v="10"/>
    <x v="2"/>
  </r>
  <r>
    <x v="2010"/>
    <x v="11"/>
    <x v="1"/>
    <n v="41.4"/>
    <x v="1182"/>
    <x v="73"/>
    <x v="69"/>
    <x v="2"/>
    <x v="0"/>
    <x v="2"/>
    <x v="0"/>
    <x v="3"/>
    <x v="3"/>
    <x v="10"/>
    <x v="2"/>
  </r>
  <r>
    <x v="2011"/>
    <x v="4"/>
    <x v="3"/>
    <n v="32.700000000000003"/>
    <x v="1541"/>
    <x v="73"/>
    <x v="69"/>
    <x v="2"/>
    <x v="2"/>
    <x v="1"/>
    <x v="0"/>
    <x v="3"/>
    <x v="3"/>
    <x v="10"/>
    <x v="2"/>
  </r>
  <r>
    <x v="2012"/>
    <x v="4"/>
    <x v="1"/>
    <n v="41.6"/>
    <x v="707"/>
    <x v="73"/>
    <x v="76"/>
    <x v="1"/>
    <x v="4"/>
    <x v="1"/>
    <x v="0"/>
    <x v="3"/>
    <x v="1"/>
    <x v="10"/>
    <x v="1"/>
  </r>
  <r>
    <x v="2013"/>
    <x v="5"/>
    <x v="12"/>
    <n v="64.8"/>
    <x v="629"/>
    <x v="73"/>
    <x v="69"/>
    <x v="0"/>
    <x v="2"/>
    <x v="0"/>
    <x v="0"/>
    <x v="3"/>
    <x v="3"/>
    <x v="10"/>
    <x v="0"/>
  </r>
  <r>
    <x v="2014"/>
    <x v="15"/>
    <x v="1"/>
    <n v="33.6"/>
    <x v="863"/>
    <x v="73"/>
    <x v="69"/>
    <x v="1"/>
    <x v="0"/>
    <x v="2"/>
    <x v="0"/>
    <x v="3"/>
    <x v="3"/>
    <x v="10"/>
    <x v="1"/>
  </r>
  <r>
    <x v="2015"/>
    <x v="6"/>
    <x v="2"/>
    <n v="100.7"/>
    <x v="1542"/>
    <x v="73"/>
    <x v="69"/>
    <x v="0"/>
    <x v="1"/>
    <x v="0"/>
    <x v="0"/>
    <x v="3"/>
    <x v="3"/>
    <x v="10"/>
    <x v="0"/>
  </r>
  <r>
    <x v="2016"/>
    <x v="4"/>
    <x v="1"/>
    <n v="49.3"/>
    <x v="1543"/>
    <x v="74"/>
    <x v="73"/>
    <x v="2"/>
    <x v="4"/>
    <x v="2"/>
    <x v="0"/>
    <x v="3"/>
    <x v="1"/>
    <x v="11"/>
    <x v="2"/>
  </r>
  <r>
    <x v="2017"/>
    <x v="2"/>
    <x v="13"/>
    <n v="97"/>
    <x v="1544"/>
    <x v="74"/>
    <x v="83"/>
    <x v="1"/>
    <x v="2"/>
    <x v="2"/>
    <x v="0"/>
    <x v="3"/>
    <x v="2"/>
    <x v="11"/>
    <x v="1"/>
  </r>
  <r>
    <x v="2018"/>
    <x v="0"/>
    <x v="13"/>
    <n v="25.2"/>
    <x v="277"/>
    <x v="74"/>
    <x v="83"/>
    <x v="2"/>
    <x v="4"/>
    <x v="2"/>
    <x v="0"/>
    <x v="3"/>
    <x v="2"/>
    <x v="11"/>
    <x v="2"/>
  </r>
  <r>
    <x v="2019"/>
    <x v="0"/>
    <x v="5"/>
    <n v="12.2"/>
    <x v="1545"/>
    <x v="74"/>
    <x v="76"/>
    <x v="0"/>
    <x v="0"/>
    <x v="1"/>
    <x v="0"/>
    <x v="3"/>
    <x v="3"/>
    <x v="11"/>
    <x v="0"/>
  </r>
  <r>
    <x v="2020"/>
    <x v="8"/>
    <x v="3"/>
    <n v="38.799999999999997"/>
    <x v="1546"/>
    <x v="74"/>
    <x v="73"/>
    <x v="2"/>
    <x v="1"/>
    <x v="1"/>
    <x v="0"/>
    <x v="23"/>
    <x v="1"/>
    <x v="11"/>
    <x v="2"/>
  </r>
  <r>
    <x v="2021"/>
    <x v="2"/>
    <x v="12"/>
    <n v="53.2"/>
    <x v="1547"/>
    <x v="74"/>
    <x v="76"/>
    <x v="1"/>
    <x v="0"/>
    <x v="2"/>
    <x v="0"/>
    <x v="8"/>
    <x v="3"/>
    <x v="11"/>
    <x v="1"/>
  </r>
  <r>
    <x v="2022"/>
    <x v="6"/>
    <x v="3"/>
    <n v="151"/>
    <x v="1548"/>
    <x v="74"/>
    <x v="76"/>
    <x v="3"/>
    <x v="1"/>
    <x v="1"/>
    <x v="0"/>
    <x v="8"/>
    <x v="3"/>
    <x v="11"/>
    <x v="3"/>
  </r>
  <r>
    <x v="2023"/>
    <x v="1"/>
    <x v="1"/>
    <n v="37.1"/>
    <x v="1314"/>
    <x v="74"/>
    <x v="76"/>
    <x v="2"/>
    <x v="4"/>
    <x v="0"/>
    <x v="0"/>
    <x v="8"/>
    <x v="3"/>
    <x v="11"/>
    <x v="2"/>
  </r>
  <r>
    <x v="2024"/>
    <x v="5"/>
    <x v="1"/>
    <n v="38.9"/>
    <x v="482"/>
    <x v="74"/>
    <x v="76"/>
    <x v="1"/>
    <x v="4"/>
    <x v="0"/>
    <x v="0"/>
    <x v="8"/>
    <x v="3"/>
    <x v="11"/>
    <x v="1"/>
  </r>
  <r>
    <x v="2025"/>
    <x v="10"/>
    <x v="1"/>
    <n v="35.200000000000003"/>
    <x v="1549"/>
    <x v="74"/>
    <x v="76"/>
    <x v="1"/>
    <x v="0"/>
    <x v="2"/>
    <x v="0"/>
    <x v="17"/>
    <x v="3"/>
    <x v="11"/>
    <x v="1"/>
  </r>
  <r>
    <x v="2026"/>
    <x v="0"/>
    <x v="1"/>
    <n v="22.3"/>
    <x v="225"/>
    <x v="74"/>
    <x v="73"/>
    <x v="2"/>
    <x v="1"/>
    <x v="0"/>
    <x v="0"/>
    <x v="9"/>
    <x v="1"/>
    <x v="11"/>
    <x v="2"/>
  </r>
  <r>
    <x v="2027"/>
    <x v="9"/>
    <x v="0"/>
    <n v="43.3"/>
    <x v="1286"/>
    <x v="74"/>
    <x v="83"/>
    <x v="2"/>
    <x v="0"/>
    <x v="2"/>
    <x v="0"/>
    <x v="11"/>
    <x v="2"/>
    <x v="11"/>
    <x v="2"/>
  </r>
  <r>
    <x v="2028"/>
    <x v="6"/>
    <x v="13"/>
    <n v="75.900000000000006"/>
    <x v="1550"/>
    <x v="74"/>
    <x v="80"/>
    <x v="1"/>
    <x v="0"/>
    <x v="0"/>
    <x v="0"/>
    <x v="11"/>
    <x v="4"/>
    <x v="11"/>
    <x v="1"/>
  </r>
  <r>
    <x v="2029"/>
    <x v="6"/>
    <x v="2"/>
    <n v="78.7"/>
    <x v="1551"/>
    <x v="74"/>
    <x v="78"/>
    <x v="2"/>
    <x v="2"/>
    <x v="1"/>
    <x v="0"/>
    <x v="11"/>
    <x v="5"/>
    <x v="11"/>
    <x v="2"/>
  </r>
  <r>
    <x v="2030"/>
    <x v="1"/>
    <x v="0"/>
    <n v="66.3"/>
    <x v="1124"/>
    <x v="74"/>
    <x v="78"/>
    <x v="2"/>
    <x v="0"/>
    <x v="2"/>
    <x v="0"/>
    <x v="19"/>
    <x v="5"/>
    <x v="11"/>
    <x v="2"/>
  </r>
  <r>
    <x v="2031"/>
    <x v="8"/>
    <x v="1"/>
    <n v="33.6"/>
    <x v="863"/>
    <x v="74"/>
    <x v="69"/>
    <x v="1"/>
    <x v="0"/>
    <x v="1"/>
    <x v="0"/>
    <x v="19"/>
    <x v="7"/>
    <x v="11"/>
    <x v="1"/>
  </r>
  <r>
    <x v="2032"/>
    <x v="2"/>
    <x v="3"/>
    <n v="61.4"/>
    <x v="1552"/>
    <x v="74"/>
    <x v="76"/>
    <x v="1"/>
    <x v="4"/>
    <x v="0"/>
    <x v="0"/>
    <x v="19"/>
    <x v="3"/>
    <x v="11"/>
    <x v="1"/>
  </r>
  <r>
    <x v="2033"/>
    <x v="8"/>
    <x v="1"/>
    <n v="17.5"/>
    <x v="1553"/>
    <x v="74"/>
    <x v="83"/>
    <x v="2"/>
    <x v="0"/>
    <x v="0"/>
    <x v="0"/>
    <x v="21"/>
    <x v="2"/>
    <x v="11"/>
    <x v="2"/>
  </r>
  <r>
    <x v="2034"/>
    <x v="8"/>
    <x v="1"/>
    <n v="32.5"/>
    <x v="891"/>
    <x v="74"/>
    <x v="83"/>
    <x v="2"/>
    <x v="1"/>
    <x v="0"/>
    <x v="0"/>
    <x v="21"/>
    <x v="2"/>
    <x v="11"/>
    <x v="2"/>
  </r>
  <r>
    <x v="2035"/>
    <x v="4"/>
    <x v="0"/>
    <n v="34.6"/>
    <x v="169"/>
    <x v="74"/>
    <x v="76"/>
    <x v="2"/>
    <x v="4"/>
    <x v="0"/>
    <x v="0"/>
    <x v="21"/>
    <x v="3"/>
    <x v="11"/>
    <x v="2"/>
  </r>
  <r>
    <x v="2036"/>
    <x v="2"/>
    <x v="0"/>
    <n v="75.900000000000006"/>
    <x v="1554"/>
    <x v="74"/>
    <x v="69"/>
    <x v="1"/>
    <x v="1"/>
    <x v="2"/>
    <x v="0"/>
    <x v="21"/>
    <x v="7"/>
    <x v="11"/>
    <x v="1"/>
  </r>
  <r>
    <x v="2037"/>
    <x v="1"/>
    <x v="2"/>
    <n v="42.1"/>
    <x v="1555"/>
    <x v="74"/>
    <x v="83"/>
    <x v="1"/>
    <x v="1"/>
    <x v="1"/>
    <x v="0"/>
    <x v="21"/>
    <x v="2"/>
    <x v="11"/>
    <x v="1"/>
  </r>
  <r>
    <x v="2038"/>
    <x v="7"/>
    <x v="2"/>
    <n v="65.3"/>
    <x v="243"/>
    <x v="74"/>
    <x v="79"/>
    <x v="1"/>
    <x v="0"/>
    <x v="0"/>
    <x v="0"/>
    <x v="1"/>
    <x v="6"/>
    <x v="11"/>
    <x v="1"/>
  </r>
  <r>
    <x v="2039"/>
    <x v="15"/>
    <x v="0"/>
    <n v="20.6"/>
    <x v="1500"/>
    <x v="74"/>
    <x v="83"/>
    <x v="1"/>
    <x v="3"/>
    <x v="0"/>
    <x v="0"/>
    <x v="42"/>
    <x v="2"/>
    <x v="11"/>
    <x v="1"/>
  </r>
  <r>
    <x v="2040"/>
    <x v="8"/>
    <x v="3"/>
    <n v="16.5"/>
    <x v="100"/>
    <x v="74"/>
    <x v="76"/>
    <x v="1"/>
    <x v="1"/>
    <x v="1"/>
    <x v="0"/>
    <x v="2"/>
    <x v="3"/>
    <x v="11"/>
    <x v="1"/>
  </r>
  <r>
    <x v="2041"/>
    <x v="16"/>
    <x v="7"/>
    <n v="36.200000000000003"/>
    <x v="1556"/>
    <x v="74"/>
    <x v="73"/>
    <x v="1"/>
    <x v="0"/>
    <x v="2"/>
    <x v="0"/>
    <x v="2"/>
    <x v="1"/>
    <x v="11"/>
    <x v="1"/>
  </r>
  <r>
    <x v="2042"/>
    <x v="6"/>
    <x v="0"/>
    <n v="53.2"/>
    <x v="1557"/>
    <x v="74"/>
    <x v="76"/>
    <x v="2"/>
    <x v="0"/>
    <x v="1"/>
    <x v="0"/>
    <x v="22"/>
    <x v="3"/>
    <x v="11"/>
    <x v="2"/>
  </r>
  <r>
    <x v="2043"/>
    <x v="2"/>
    <x v="21"/>
    <n v="176"/>
    <x v="1558"/>
    <x v="74"/>
    <x v="76"/>
    <x v="2"/>
    <x v="0"/>
    <x v="1"/>
    <x v="0"/>
    <x v="3"/>
    <x v="3"/>
    <x v="11"/>
    <x v="2"/>
  </r>
  <r>
    <x v="2044"/>
    <x v="1"/>
    <x v="0"/>
    <n v="52.4"/>
    <x v="1559"/>
    <x v="74"/>
    <x v="76"/>
    <x v="1"/>
    <x v="1"/>
    <x v="0"/>
    <x v="0"/>
    <x v="3"/>
    <x v="3"/>
    <x v="11"/>
    <x v="1"/>
  </r>
  <r>
    <x v="2045"/>
    <x v="10"/>
    <x v="2"/>
    <n v="48.2"/>
    <x v="1435"/>
    <x v="74"/>
    <x v="76"/>
    <x v="2"/>
    <x v="1"/>
    <x v="2"/>
    <x v="0"/>
    <x v="3"/>
    <x v="3"/>
    <x v="11"/>
    <x v="2"/>
  </r>
  <r>
    <x v="2046"/>
    <x v="15"/>
    <x v="0"/>
    <n v="51.6"/>
    <x v="937"/>
    <x v="74"/>
    <x v="78"/>
    <x v="2"/>
    <x v="2"/>
    <x v="1"/>
    <x v="0"/>
    <x v="3"/>
    <x v="5"/>
    <x v="11"/>
    <x v="2"/>
  </r>
  <r>
    <x v="2047"/>
    <x v="0"/>
    <x v="12"/>
    <n v="33.700000000000003"/>
    <x v="1093"/>
    <x v="75"/>
    <x v="73"/>
    <x v="1"/>
    <x v="0"/>
    <x v="0"/>
    <x v="0"/>
    <x v="3"/>
    <x v="3"/>
    <x v="11"/>
    <x v="1"/>
  </r>
  <r>
    <x v="2048"/>
    <x v="4"/>
    <x v="7"/>
    <n v="36.299999999999997"/>
    <x v="1560"/>
    <x v="75"/>
    <x v="83"/>
    <x v="2"/>
    <x v="4"/>
    <x v="1"/>
    <x v="0"/>
    <x v="3"/>
    <x v="1"/>
    <x v="11"/>
    <x v="2"/>
  </r>
  <r>
    <x v="2049"/>
    <x v="8"/>
    <x v="0"/>
    <n v="23.4"/>
    <x v="1561"/>
    <x v="75"/>
    <x v="80"/>
    <x v="2"/>
    <x v="1"/>
    <x v="2"/>
    <x v="0"/>
    <x v="3"/>
    <x v="0"/>
    <x v="11"/>
    <x v="2"/>
  </r>
  <r>
    <x v="2050"/>
    <x v="15"/>
    <x v="8"/>
    <n v="56.6"/>
    <x v="1562"/>
    <x v="75"/>
    <x v="83"/>
    <x v="2"/>
    <x v="1"/>
    <x v="0"/>
    <x v="0"/>
    <x v="3"/>
    <x v="1"/>
    <x v="11"/>
    <x v="2"/>
  </r>
  <r>
    <x v="2051"/>
    <x v="15"/>
    <x v="1"/>
    <n v="26.8"/>
    <x v="1563"/>
    <x v="75"/>
    <x v="73"/>
    <x v="1"/>
    <x v="0"/>
    <x v="0"/>
    <x v="0"/>
    <x v="4"/>
    <x v="3"/>
    <x v="11"/>
    <x v="1"/>
  </r>
  <r>
    <x v="2052"/>
    <x v="0"/>
    <x v="2"/>
    <n v="11.3"/>
    <x v="1564"/>
    <x v="75"/>
    <x v="83"/>
    <x v="1"/>
    <x v="2"/>
    <x v="0"/>
    <x v="0"/>
    <x v="25"/>
    <x v="1"/>
    <x v="11"/>
    <x v="1"/>
  </r>
  <r>
    <x v="2053"/>
    <x v="6"/>
    <x v="2"/>
    <n v="60.1"/>
    <x v="1565"/>
    <x v="75"/>
    <x v="78"/>
    <x v="2"/>
    <x v="0"/>
    <x v="0"/>
    <x v="0"/>
    <x v="7"/>
    <x v="2"/>
    <x v="11"/>
    <x v="2"/>
  </r>
  <r>
    <x v="2054"/>
    <x v="0"/>
    <x v="5"/>
    <n v="27.7"/>
    <x v="1566"/>
    <x v="75"/>
    <x v="80"/>
    <x v="2"/>
    <x v="0"/>
    <x v="0"/>
    <x v="0"/>
    <x v="8"/>
    <x v="0"/>
    <x v="11"/>
    <x v="2"/>
  </r>
  <r>
    <x v="2055"/>
    <x v="15"/>
    <x v="0"/>
    <n v="71.400000000000006"/>
    <x v="660"/>
    <x v="75"/>
    <x v="78"/>
    <x v="1"/>
    <x v="0"/>
    <x v="2"/>
    <x v="0"/>
    <x v="8"/>
    <x v="2"/>
    <x v="11"/>
    <x v="1"/>
  </r>
  <r>
    <x v="2056"/>
    <x v="2"/>
    <x v="1"/>
    <n v="66.7"/>
    <x v="1567"/>
    <x v="75"/>
    <x v="73"/>
    <x v="2"/>
    <x v="0"/>
    <x v="2"/>
    <x v="0"/>
    <x v="8"/>
    <x v="3"/>
    <x v="11"/>
    <x v="2"/>
  </r>
  <r>
    <x v="2057"/>
    <x v="13"/>
    <x v="9"/>
    <n v="39.1"/>
    <x v="1568"/>
    <x v="75"/>
    <x v="73"/>
    <x v="2"/>
    <x v="0"/>
    <x v="0"/>
    <x v="0"/>
    <x v="8"/>
    <x v="3"/>
    <x v="11"/>
    <x v="2"/>
  </r>
  <r>
    <x v="2058"/>
    <x v="8"/>
    <x v="12"/>
    <n v="24.9"/>
    <x v="1569"/>
    <x v="75"/>
    <x v="80"/>
    <x v="1"/>
    <x v="1"/>
    <x v="2"/>
    <x v="0"/>
    <x v="8"/>
    <x v="0"/>
    <x v="11"/>
    <x v="1"/>
  </r>
  <r>
    <x v="2059"/>
    <x v="5"/>
    <x v="9"/>
    <n v="29.2"/>
    <x v="1570"/>
    <x v="75"/>
    <x v="73"/>
    <x v="1"/>
    <x v="0"/>
    <x v="2"/>
    <x v="0"/>
    <x v="17"/>
    <x v="3"/>
    <x v="11"/>
    <x v="1"/>
  </r>
  <r>
    <x v="2060"/>
    <x v="13"/>
    <x v="21"/>
    <n v="28.3"/>
    <x v="1571"/>
    <x v="75"/>
    <x v="83"/>
    <x v="2"/>
    <x v="1"/>
    <x v="0"/>
    <x v="0"/>
    <x v="11"/>
    <x v="1"/>
    <x v="11"/>
    <x v="2"/>
  </r>
  <r>
    <x v="2061"/>
    <x v="9"/>
    <x v="2"/>
    <n v="37.799999999999997"/>
    <x v="1413"/>
    <x v="75"/>
    <x v="73"/>
    <x v="2"/>
    <x v="0"/>
    <x v="1"/>
    <x v="0"/>
    <x v="11"/>
    <x v="3"/>
    <x v="11"/>
    <x v="2"/>
  </r>
  <r>
    <x v="2062"/>
    <x v="14"/>
    <x v="3"/>
    <n v="28.1"/>
    <x v="1572"/>
    <x v="75"/>
    <x v="79"/>
    <x v="2"/>
    <x v="2"/>
    <x v="0"/>
    <x v="0"/>
    <x v="11"/>
    <x v="4"/>
    <x v="11"/>
    <x v="2"/>
  </r>
  <r>
    <x v="2063"/>
    <x v="1"/>
    <x v="2"/>
    <n v="59.7"/>
    <x v="1573"/>
    <x v="75"/>
    <x v="83"/>
    <x v="2"/>
    <x v="2"/>
    <x v="0"/>
    <x v="0"/>
    <x v="11"/>
    <x v="1"/>
    <x v="11"/>
    <x v="2"/>
  </r>
  <r>
    <x v="2064"/>
    <x v="16"/>
    <x v="0"/>
    <n v="71.900000000000006"/>
    <x v="1574"/>
    <x v="75"/>
    <x v="73"/>
    <x v="1"/>
    <x v="1"/>
    <x v="1"/>
    <x v="0"/>
    <x v="11"/>
    <x v="3"/>
    <x v="11"/>
    <x v="1"/>
  </r>
  <r>
    <x v="2065"/>
    <x v="1"/>
    <x v="1"/>
    <n v="56.9"/>
    <x v="1575"/>
    <x v="75"/>
    <x v="73"/>
    <x v="1"/>
    <x v="2"/>
    <x v="0"/>
    <x v="0"/>
    <x v="13"/>
    <x v="3"/>
    <x v="11"/>
    <x v="1"/>
  </r>
  <r>
    <x v="2066"/>
    <x v="8"/>
    <x v="1"/>
    <n v="15.8"/>
    <x v="35"/>
    <x v="75"/>
    <x v="78"/>
    <x v="2"/>
    <x v="2"/>
    <x v="1"/>
    <x v="0"/>
    <x v="1"/>
    <x v="2"/>
    <x v="11"/>
    <x v="2"/>
  </r>
  <r>
    <x v="2067"/>
    <x v="11"/>
    <x v="12"/>
    <n v="61.7"/>
    <x v="1576"/>
    <x v="75"/>
    <x v="83"/>
    <x v="2"/>
    <x v="2"/>
    <x v="0"/>
    <x v="0"/>
    <x v="22"/>
    <x v="1"/>
    <x v="11"/>
    <x v="2"/>
  </r>
  <r>
    <x v="2068"/>
    <x v="2"/>
    <x v="7"/>
    <n v="105.2"/>
    <x v="1577"/>
    <x v="75"/>
    <x v="83"/>
    <x v="1"/>
    <x v="1"/>
    <x v="4"/>
    <x v="0"/>
    <x v="3"/>
    <x v="1"/>
    <x v="11"/>
    <x v="1"/>
  </r>
  <r>
    <x v="2069"/>
    <x v="0"/>
    <x v="1"/>
    <n v="17"/>
    <x v="1222"/>
    <x v="75"/>
    <x v="83"/>
    <x v="2"/>
    <x v="2"/>
    <x v="0"/>
    <x v="0"/>
    <x v="3"/>
    <x v="1"/>
    <x v="11"/>
    <x v="2"/>
  </r>
  <r>
    <x v="2070"/>
    <x v="6"/>
    <x v="2"/>
    <n v="84.1"/>
    <x v="1578"/>
    <x v="75"/>
    <x v="73"/>
    <x v="1"/>
    <x v="2"/>
    <x v="0"/>
    <x v="0"/>
    <x v="3"/>
    <x v="3"/>
    <x v="11"/>
    <x v="1"/>
  </r>
  <r>
    <x v="2071"/>
    <x v="3"/>
    <x v="12"/>
    <n v="59.5"/>
    <x v="1248"/>
    <x v="75"/>
    <x v="80"/>
    <x v="1"/>
    <x v="0"/>
    <x v="2"/>
    <x v="0"/>
    <x v="3"/>
    <x v="0"/>
    <x v="11"/>
    <x v="1"/>
  </r>
  <r>
    <x v="2072"/>
    <x v="8"/>
    <x v="1"/>
    <n v="57.5"/>
    <x v="1579"/>
    <x v="75"/>
    <x v="83"/>
    <x v="1"/>
    <x v="1"/>
    <x v="2"/>
    <x v="0"/>
    <x v="3"/>
    <x v="1"/>
    <x v="11"/>
    <x v="1"/>
  </r>
  <r>
    <x v="2073"/>
    <x v="8"/>
    <x v="0"/>
    <n v="34.299999999999997"/>
    <x v="1580"/>
    <x v="75"/>
    <x v="73"/>
    <x v="2"/>
    <x v="4"/>
    <x v="2"/>
    <x v="0"/>
    <x v="3"/>
    <x v="3"/>
    <x v="11"/>
    <x v="2"/>
  </r>
  <r>
    <x v="2074"/>
    <x v="5"/>
    <x v="1"/>
    <n v="27.8"/>
    <x v="1581"/>
    <x v="76"/>
    <x v="78"/>
    <x v="2"/>
    <x v="0"/>
    <x v="0"/>
    <x v="0"/>
    <x v="3"/>
    <x v="1"/>
    <x v="11"/>
    <x v="2"/>
  </r>
  <r>
    <x v="2075"/>
    <x v="12"/>
    <x v="1"/>
    <n v="85"/>
    <x v="393"/>
    <x v="76"/>
    <x v="73"/>
    <x v="1"/>
    <x v="2"/>
    <x v="2"/>
    <x v="0"/>
    <x v="3"/>
    <x v="7"/>
    <x v="11"/>
    <x v="1"/>
  </r>
  <r>
    <x v="2076"/>
    <x v="6"/>
    <x v="1"/>
    <n v="95"/>
    <x v="1582"/>
    <x v="76"/>
    <x v="78"/>
    <x v="2"/>
    <x v="0"/>
    <x v="0"/>
    <x v="0"/>
    <x v="3"/>
    <x v="1"/>
    <x v="11"/>
    <x v="2"/>
  </r>
  <r>
    <x v="2077"/>
    <x v="16"/>
    <x v="1"/>
    <n v="32"/>
    <x v="34"/>
    <x v="76"/>
    <x v="78"/>
    <x v="1"/>
    <x v="0"/>
    <x v="1"/>
    <x v="0"/>
    <x v="3"/>
    <x v="1"/>
    <x v="11"/>
    <x v="1"/>
  </r>
  <r>
    <x v="2078"/>
    <x v="2"/>
    <x v="1"/>
    <n v="65.2"/>
    <x v="1583"/>
    <x v="76"/>
    <x v="83"/>
    <x v="2"/>
    <x v="1"/>
    <x v="0"/>
    <x v="0"/>
    <x v="3"/>
    <x v="3"/>
    <x v="11"/>
    <x v="2"/>
  </r>
  <r>
    <x v="2079"/>
    <x v="17"/>
    <x v="12"/>
    <n v="22"/>
    <x v="1155"/>
    <x v="76"/>
    <x v="83"/>
    <x v="1"/>
    <x v="1"/>
    <x v="2"/>
    <x v="0"/>
    <x v="3"/>
    <x v="3"/>
    <x v="11"/>
    <x v="1"/>
  </r>
  <r>
    <x v="2080"/>
    <x v="15"/>
    <x v="2"/>
    <n v="69.400000000000006"/>
    <x v="140"/>
    <x v="76"/>
    <x v="75"/>
    <x v="1"/>
    <x v="1"/>
    <x v="2"/>
    <x v="0"/>
    <x v="3"/>
    <x v="2"/>
    <x v="11"/>
    <x v="1"/>
  </r>
  <r>
    <x v="2081"/>
    <x v="10"/>
    <x v="13"/>
    <n v="31.5"/>
    <x v="620"/>
    <x v="76"/>
    <x v="78"/>
    <x v="2"/>
    <x v="0"/>
    <x v="2"/>
    <x v="0"/>
    <x v="3"/>
    <x v="1"/>
    <x v="11"/>
    <x v="2"/>
  </r>
  <r>
    <x v="2082"/>
    <x v="6"/>
    <x v="0"/>
    <n v="45.8"/>
    <x v="494"/>
    <x v="76"/>
    <x v="80"/>
    <x v="3"/>
    <x v="0"/>
    <x v="0"/>
    <x v="0"/>
    <x v="3"/>
    <x v="5"/>
    <x v="11"/>
    <x v="3"/>
  </r>
  <r>
    <x v="2083"/>
    <x v="19"/>
    <x v="12"/>
    <n v="12.8"/>
    <x v="180"/>
    <x v="76"/>
    <x v="82"/>
    <x v="2"/>
    <x v="1"/>
    <x v="1"/>
    <x v="0"/>
    <x v="5"/>
    <x v="6"/>
    <x v="11"/>
    <x v="2"/>
  </r>
  <r>
    <x v="2084"/>
    <x v="5"/>
    <x v="2"/>
    <n v="115.3"/>
    <x v="1584"/>
    <x v="76"/>
    <x v="83"/>
    <x v="2"/>
    <x v="2"/>
    <x v="2"/>
    <x v="0"/>
    <x v="6"/>
    <x v="3"/>
    <x v="11"/>
    <x v="2"/>
  </r>
  <r>
    <x v="2085"/>
    <x v="5"/>
    <x v="1"/>
    <n v="85"/>
    <x v="393"/>
    <x v="76"/>
    <x v="78"/>
    <x v="2"/>
    <x v="1"/>
    <x v="0"/>
    <x v="0"/>
    <x v="7"/>
    <x v="1"/>
    <x v="11"/>
    <x v="2"/>
  </r>
  <r>
    <x v="2086"/>
    <x v="8"/>
    <x v="2"/>
    <n v="56.6"/>
    <x v="1026"/>
    <x v="76"/>
    <x v="83"/>
    <x v="2"/>
    <x v="1"/>
    <x v="2"/>
    <x v="0"/>
    <x v="7"/>
    <x v="3"/>
    <x v="11"/>
    <x v="2"/>
  </r>
  <r>
    <x v="2087"/>
    <x v="15"/>
    <x v="6"/>
    <n v="46.3"/>
    <x v="1585"/>
    <x v="76"/>
    <x v="75"/>
    <x v="1"/>
    <x v="0"/>
    <x v="0"/>
    <x v="0"/>
    <x v="7"/>
    <x v="2"/>
    <x v="11"/>
    <x v="1"/>
  </r>
  <r>
    <x v="2088"/>
    <x v="14"/>
    <x v="12"/>
    <n v="23"/>
    <x v="988"/>
    <x v="76"/>
    <x v="80"/>
    <x v="1"/>
    <x v="3"/>
    <x v="2"/>
    <x v="0"/>
    <x v="7"/>
    <x v="5"/>
    <x v="11"/>
    <x v="1"/>
  </r>
  <r>
    <x v="2089"/>
    <x v="8"/>
    <x v="13"/>
    <n v="42.1"/>
    <x v="1586"/>
    <x v="76"/>
    <x v="78"/>
    <x v="1"/>
    <x v="4"/>
    <x v="0"/>
    <x v="0"/>
    <x v="8"/>
    <x v="1"/>
    <x v="11"/>
    <x v="1"/>
  </r>
  <r>
    <x v="2090"/>
    <x v="5"/>
    <x v="3"/>
    <n v="57.4"/>
    <x v="1587"/>
    <x v="76"/>
    <x v="80"/>
    <x v="2"/>
    <x v="1"/>
    <x v="4"/>
    <x v="0"/>
    <x v="8"/>
    <x v="5"/>
    <x v="11"/>
    <x v="2"/>
  </r>
  <r>
    <x v="2091"/>
    <x v="0"/>
    <x v="13"/>
    <n v="13.2"/>
    <x v="1113"/>
    <x v="76"/>
    <x v="80"/>
    <x v="1"/>
    <x v="2"/>
    <x v="0"/>
    <x v="0"/>
    <x v="8"/>
    <x v="5"/>
    <x v="11"/>
    <x v="1"/>
  </r>
  <r>
    <x v="2092"/>
    <x v="6"/>
    <x v="2"/>
    <n v="52.3"/>
    <x v="1588"/>
    <x v="76"/>
    <x v="83"/>
    <x v="1"/>
    <x v="1"/>
    <x v="0"/>
    <x v="0"/>
    <x v="8"/>
    <x v="3"/>
    <x v="11"/>
    <x v="1"/>
  </r>
  <r>
    <x v="2093"/>
    <x v="8"/>
    <x v="1"/>
    <n v="15.7"/>
    <x v="1323"/>
    <x v="76"/>
    <x v="75"/>
    <x v="1"/>
    <x v="1"/>
    <x v="2"/>
    <x v="0"/>
    <x v="8"/>
    <x v="2"/>
    <x v="11"/>
    <x v="1"/>
  </r>
  <r>
    <x v="2094"/>
    <x v="7"/>
    <x v="2"/>
    <n v="35"/>
    <x v="211"/>
    <x v="76"/>
    <x v="75"/>
    <x v="2"/>
    <x v="1"/>
    <x v="2"/>
    <x v="0"/>
    <x v="9"/>
    <x v="2"/>
    <x v="11"/>
    <x v="2"/>
  </r>
  <r>
    <x v="2095"/>
    <x v="4"/>
    <x v="2"/>
    <n v="26.6"/>
    <x v="1589"/>
    <x v="76"/>
    <x v="73"/>
    <x v="1"/>
    <x v="1"/>
    <x v="2"/>
    <x v="0"/>
    <x v="11"/>
    <x v="7"/>
    <x v="11"/>
    <x v="1"/>
  </r>
  <r>
    <x v="2096"/>
    <x v="4"/>
    <x v="8"/>
    <n v="47.9"/>
    <x v="1590"/>
    <x v="77"/>
    <x v="78"/>
    <x v="2"/>
    <x v="3"/>
    <x v="2"/>
    <x v="0"/>
    <x v="20"/>
    <x v="3"/>
    <x v="11"/>
    <x v="2"/>
  </r>
  <r>
    <x v="2097"/>
    <x v="5"/>
    <x v="0"/>
    <n v="80.099999999999994"/>
    <x v="1133"/>
    <x v="77"/>
    <x v="78"/>
    <x v="1"/>
    <x v="2"/>
    <x v="0"/>
    <x v="0"/>
    <x v="21"/>
    <x v="3"/>
    <x v="11"/>
    <x v="1"/>
  </r>
  <r>
    <x v="2098"/>
    <x v="6"/>
    <x v="9"/>
    <n v="50.4"/>
    <x v="816"/>
    <x v="77"/>
    <x v="78"/>
    <x v="1"/>
    <x v="1"/>
    <x v="2"/>
    <x v="0"/>
    <x v="21"/>
    <x v="3"/>
    <x v="11"/>
    <x v="1"/>
  </r>
  <r>
    <x v="2099"/>
    <x v="10"/>
    <x v="3"/>
    <n v="43.3"/>
    <x v="1591"/>
    <x v="77"/>
    <x v="78"/>
    <x v="1"/>
    <x v="2"/>
    <x v="0"/>
    <x v="0"/>
    <x v="21"/>
    <x v="3"/>
    <x v="11"/>
    <x v="1"/>
  </r>
  <r>
    <x v="2100"/>
    <x v="10"/>
    <x v="12"/>
    <n v="57.5"/>
    <x v="984"/>
    <x v="77"/>
    <x v="78"/>
    <x v="2"/>
    <x v="1"/>
    <x v="2"/>
    <x v="0"/>
    <x v="1"/>
    <x v="3"/>
    <x v="11"/>
    <x v="2"/>
  </r>
  <r>
    <x v="2101"/>
    <x v="9"/>
    <x v="15"/>
    <n v="24.8"/>
    <x v="1592"/>
    <x v="77"/>
    <x v="78"/>
    <x v="1"/>
    <x v="0"/>
    <x v="0"/>
    <x v="0"/>
    <x v="57"/>
    <x v="3"/>
    <x v="11"/>
    <x v="1"/>
  </r>
  <r>
    <x v="2102"/>
    <x v="2"/>
    <x v="11"/>
    <n v="85.7"/>
    <x v="1593"/>
    <x v="77"/>
    <x v="78"/>
    <x v="2"/>
    <x v="0"/>
    <x v="0"/>
    <x v="0"/>
    <x v="42"/>
    <x v="3"/>
    <x v="11"/>
    <x v="2"/>
  </r>
  <r>
    <x v="2103"/>
    <x v="7"/>
    <x v="0"/>
    <n v="47.1"/>
    <x v="392"/>
    <x v="77"/>
    <x v="75"/>
    <x v="2"/>
    <x v="0"/>
    <x v="0"/>
    <x v="0"/>
    <x v="2"/>
    <x v="1"/>
    <x v="11"/>
    <x v="2"/>
  </r>
  <r>
    <x v="2104"/>
    <x v="5"/>
    <x v="7"/>
    <n v="83.2"/>
    <x v="1594"/>
    <x v="77"/>
    <x v="79"/>
    <x v="2"/>
    <x v="0"/>
    <x v="0"/>
    <x v="0"/>
    <x v="33"/>
    <x v="5"/>
    <x v="11"/>
    <x v="2"/>
  </r>
  <r>
    <x v="2105"/>
    <x v="2"/>
    <x v="2"/>
    <n v="157"/>
    <x v="1595"/>
    <x v="77"/>
    <x v="75"/>
    <x v="2"/>
    <x v="0"/>
    <x v="2"/>
    <x v="0"/>
    <x v="22"/>
    <x v="1"/>
    <x v="11"/>
    <x v="2"/>
  </r>
  <r>
    <x v="2106"/>
    <x v="16"/>
    <x v="12"/>
    <n v="33.700000000000003"/>
    <x v="1093"/>
    <x v="77"/>
    <x v="78"/>
    <x v="1"/>
    <x v="2"/>
    <x v="2"/>
    <x v="0"/>
    <x v="22"/>
    <x v="3"/>
    <x v="11"/>
    <x v="1"/>
  </r>
  <r>
    <x v="2107"/>
    <x v="2"/>
    <x v="2"/>
    <n v="60.8"/>
    <x v="1596"/>
    <x v="77"/>
    <x v="79"/>
    <x v="2"/>
    <x v="1"/>
    <x v="1"/>
    <x v="0"/>
    <x v="3"/>
    <x v="5"/>
    <x v="11"/>
    <x v="2"/>
  </r>
  <r>
    <x v="2108"/>
    <x v="7"/>
    <x v="0"/>
    <n v="57.6"/>
    <x v="636"/>
    <x v="77"/>
    <x v="78"/>
    <x v="1"/>
    <x v="1"/>
    <x v="4"/>
    <x v="0"/>
    <x v="3"/>
    <x v="3"/>
    <x v="11"/>
    <x v="1"/>
  </r>
  <r>
    <x v="2109"/>
    <x v="10"/>
    <x v="0"/>
    <n v="32"/>
    <x v="109"/>
    <x v="77"/>
    <x v="75"/>
    <x v="1"/>
    <x v="0"/>
    <x v="0"/>
    <x v="0"/>
    <x v="3"/>
    <x v="1"/>
    <x v="11"/>
    <x v="1"/>
  </r>
  <r>
    <x v="2110"/>
    <x v="10"/>
    <x v="12"/>
    <n v="23.5"/>
    <x v="255"/>
    <x v="77"/>
    <x v="78"/>
    <x v="2"/>
    <x v="0"/>
    <x v="2"/>
    <x v="0"/>
    <x v="3"/>
    <x v="3"/>
    <x v="11"/>
    <x v="2"/>
  </r>
  <r>
    <x v="2111"/>
    <x v="12"/>
    <x v="2"/>
    <n v="44.8"/>
    <x v="1597"/>
    <x v="77"/>
    <x v="78"/>
    <x v="3"/>
    <x v="4"/>
    <x v="0"/>
    <x v="0"/>
    <x v="3"/>
    <x v="3"/>
    <x v="11"/>
    <x v="3"/>
  </r>
  <r>
    <x v="2112"/>
    <x v="0"/>
    <x v="8"/>
    <n v="11.7"/>
    <x v="64"/>
    <x v="77"/>
    <x v="78"/>
    <x v="1"/>
    <x v="2"/>
    <x v="2"/>
    <x v="0"/>
    <x v="3"/>
    <x v="3"/>
    <x v="11"/>
    <x v="1"/>
  </r>
  <r>
    <x v="2113"/>
    <x v="7"/>
    <x v="1"/>
    <n v="38.799999999999997"/>
    <x v="1598"/>
    <x v="77"/>
    <x v="80"/>
    <x v="2"/>
    <x v="2"/>
    <x v="0"/>
    <x v="0"/>
    <x v="3"/>
    <x v="2"/>
    <x v="11"/>
    <x v="2"/>
  </r>
  <r>
    <x v="2114"/>
    <x v="5"/>
    <x v="21"/>
    <n v="86.9"/>
    <x v="1599"/>
    <x v="77"/>
    <x v="77"/>
    <x v="2"/>
    <x v="1"/>
    <x v="0"/>
    <x v="0"/>
    <x v="3"/>
    <x v="0"/>
    <x v="11"/>
    <x v="2"/>
  </r>
  <r>
    <x v="2115"/>
    <x v="8"/>
    <x v="0"/>
    <n v="18.3"/>
    <x v="1600"/>
    <x v="77"/>
    <x v="78"/>
    <x v="2"/>
    <x v="0"/>
    <x v="0"/>
    <x v="0"/>
    <x v="3"/>
    <x v="3"/>
    <x v="11"/>
    <x v="2"/>
  </r>
  <r>
    <x v="2116"/>
    <x v="5"/>
    <x v="0"/>
    <n v="47.5"/>
    <x v="1601"/>
    <x v="77"/>
    <x v="79"/>
    <x v="1"/>
    <x v="4"/>
    <x v="2"/>
    <x v="0"/>
    <x v="3"/>
    <x v="5"/>
    <x v="11"/>
    <x v="1"/>
  </r>
  <r>
    <x v="2117"/>
    <x v="1"/>
    <x v="1"/>
    <n v="78.599999999999994"/>
    <x v="507"/>
    <x v="77"/>
    <x v="78"/>
    <x v="1"/>
    <x v="2"/>
    <x v="2"/>
    <x v="0"/>
    <x v="3"/>
    <x v="3"/>
    <x v="11"/>
    <x v="1"/>
  </r>
  <r>
    <x v="2118"/>
    <x v="6"/>
    <x v="12"/>
    <n v="87.3"/>
    <x v="1602"/>
    <x v="77"/>
    <x v="78"/>
    <x v="1"/>
    <x v="0"/>
    <x v="0"/>
    <x v="0"/>
    <x v="3"/>
    <x v="3"/>
    <x v="11"/>
    <x v="1"/>
  </r>
  <r>
    <x v="2119"/>
    <x v="9"/>
    <x v="1"/>
    <n v="63.2"/>
    <x v="628"/>
    <x v="77"/>
    <x v="83"/>
    <x v="1"/>
    <x v="4"/>
    <x v="1"/>
    <x v="0"/>
    <x v="3"/>
    <x v="7"/>
    <x v="11"/>
    <x v="1"/>
  </r>
  <r>
    <x v="2120"/>
    <x v="5"/>
    <x v="9"/>
    <n v="33.700000000000003"/>
    <x v="1603"/>
    <x v="77"/>
    <x v="78"/>
    <x v="2"/>
    <x v="0"/>
    <x v="0"/>
    <x v="0"/>
    <x v="3"/>
    <x v="3"/>
    <x v="11"/>
    <x v="2"/>
  </r>
  <r>
    <x v="2121"/>
    <x v="2"/>
    <x v="2"/>
    <n v="107.4"/>
    <x v="1604"/>
    <x v="77"/>
    <x v="84"/>
    <x v="2"/>
    <x v="1"/>
    <x v="2"/>
    <x v="0"/>
    <x v="3"/>
    <x v="10"/>
    <x v="11"/>
    <x v="2"/>
  </r>
  <r>
    <x v="2122"/>
    <x v="4"/>
    <x v="12"/>
    <n v="22.2"/>
    <x v="1605"/>
    <x v="77"/>
    <x v="78"/>
    <x v="0"/>
    <x v="1"/>
    <x v="2"/>
    <x v="0"/>
    <x v="24"/>
    <x v="3"/>
    <x v="11"/>
    <x v="0"/>
  </r>
  <r>
    <x v="2123"/>
    <x v="18"/>
    <x v="2"/>
    <n v="52.8"/>
    <x v="1329"/>
    <x v="77"/>
    <x v="78"/>
    <x v="1"/>
    <x v="3"/>
    <x v="2"/>
    <x v="0"/>
    <x v="24"/>
    <x v="3"/>
    <x v="11"/>
    <x v="1"/>
  </r>
  <r>
    <x v="2124"/>
    <x v="8"/>
    <x v="2"/>
    <n v="41.5"/>
    <x v="376"/>
    <x v="77"/>
    <x v="80"/>
    <x v="2"/>
    <x v="0"/>
    <x v="0"/>
    <x v="0"/>
    <x v="25"/>
    <x v="2"/>
    <x v="11"/>
    <x v="2"/>
  </r>
  <r>
    <x v="2125"/>
    <x v="12"/>
    <x v="8"/>
    <n v="103.5"/>
    <x v="1606"/>
    <x v="77"/>
    <x v="80"/>
    <x v="2"/>
    <x v="0"/>
    <x v="2"/>
    <x v="0"/>
    <x v="23"/>
    <x v="2"/>
    <x v="11"/>
    <x v="2"/>
  </r>
  <r>
    <x v="2126"/>
    <x v="4"/>
    <x v="21"/>
    <n v="37.5"/>
    <x v="1469"/>
    <x v="77"/>
    <x v="83"/>
    <x v="2"/>
    <x v="1"/>
    <x v="2"/>
    <x v="0"/>
    <x v="6"/>
    <x v="7"/>
    <x v="11"/>
    <x v="2"/>
  </r>
  <r>
    <x v="2127"/>
    <x v="15"/>
    <x v="8"/>
    <n v="44.4"/>
    <x v="1607"/>
    <x v="77"/>
    <x v="82"/>
    <x v="2"/>
    <x v="3"/>
    <x v="2"/>
    <x v="0"/>
    <x v="7"/>
    <x v="4"/>
    <x v="11"/>
    <x v="2"/>
  </r>
  <r>
    <x v="2128"/>
    <x v="8"/>
    <x v="2"/>
    <n v="26.2"/>
    <x v="1608"/>
    <x v="77"/>
    <x v="78"/>
    <x v="1"/>
    <x v="0"/>
    <x v="0"/>
    <x v="0"/>
    <x v="8"/>
    <x v="3"/>
    <x v="11"/>
    <x v="1"/>
  </r>
  <r>
    <x v="2129"/>
    <x v="1"/>
    <x v="3"/>
    <n v="32.200000000000003"/>
    <x v="1009"/>
    <x v="77"/>
    <x v="78"/>
    <x v="2"/>
    <x v="1"/>
    <x v="2"/>
    <x v="0"/>
    <x v="8"/>
    <x v="3"/>
    <x v="11"/>
    <x v="2"/>
  </r>
  <r>
    <x v="2130"/>
    <x v="8"/>
    <x v="0"/>
    <n v="17.399999999999999"/>
    <x v="1609"/>
    <x v="77"/>
    <x v="79"/>
    <x v="0"/>
    <x v="2"/>
    <x v="1"/>
    <x v="0"/>
    <x v="8"/>
    <x v="5"/>
    <x v="11"/>
    <x v="0"/>
  </r>
  <r>
    <x v="2131"/>
    <x v="8"/>
    <x v="13"/>
    <n v="72.3"/>
    <x v="1610"/>
    <x v="77"/>
    <x v="80"/>
    <x v="2"/>
    <x v="0"/>
    <x v="0"/>
    <x v="0"/>
    <x v="8"/>
    <x v="2"/>
    <x v="11"/>
    <x v="2"/>
  </r>
  <r>
    <x v="2132"/>
    <x v="8"/>
    <x v="5"/>
    <n v="24.3"/>
    <x v="1611"/>
    <x v="77"/>
    <x v="78"/>
    <x v="1"/>
    <x v="0"/>
    <x v="0"/>
    <x v="0"/>
    <x v="8"/>
    <x v="3"/>
    <x v="11"/>
    <x v="1"/>
  </r>
  <r>
    <x v="2133"/>
    <x v="13"/>
    <x v="2"/>
    <n v="49.1"/>
    <x v="824"/>
    <x v="77"/>
    <x v="82"/>
    <x v="1"/>
    <x v="2"/>
    <x v="4"/>
    <x v="0"/>
    <x v="8"/>
    <x v="4"/>
    <x v="11"/>
    <x v="1"/>
  </r>
  <r>
    <x v="2134"/>
    <x v="2"/>
    <x v="7"/>
    <n v="234.7"/>
    <x v="1612"/>
    <x v="77"/>
    <x v="78"/>
    <x v="1"/>
    <x v="3"/>
    <x v="1"/>
    <x v="0"/>
    <x v="8"/>
    <x v="3"/>
    <x v="11"/>
    <x v="1"/>
  </r>
  <r>
    <x v="2135"/>
    <x v="3"/>
    <x v="9"/>
    <n v="76.099999999999994"/>
    <x v="1613"/>
    <x v="77"/>
    <x v="75"/>
    <x v="1"/>
    <x v="1"/>
    <x v="1"/>
    <x v="0"/>
    <x v="17"/>
    <x v="1"/>
    <x v="11"/>
    <x v="1"/>
  </r>
  <r>
    <x v="2136"/>
    <x v="1"/>
    <x v="2"/>
    <n v="93.9"/>
    <x v="1614"/>
    <x v="77"/>
    <x v="78"/>
    <x v="1"/>
    <x v="1"/>
    <x v="4"/>
    <x v="0"/>
    <x v="11"/>
    <x v="3"/>
    <x v="11"/>
    <x v="1"/>
  </r>
  <r>
    <x v="2137"/>
    <x v="2"/>
    <x v="12"/>
    <n v="187"/>
    <x v="1615"/>
    <x v="78"/>
    <x v="79"/>
    <x v="1"/>
    <x v="0"/>
    <x v="0"/>
    <x v="0"/>
    <x v="11"/>
    <x v="2"/>
    <x v="11"/>
    <x v="1"/>
  </r>
  <r>
    <x v="2138"/>
    <x v="8"/>
    <x v="1"/>
    <n v="18"/>
    <x v="53"/>
    <x v="78"/>
    <x v="75"/>
    <x v="2"/>
    <x v="1"/>
    <x v="2"/>
    <x v="0"/>
    <x v="53"/>
    <x v="3"/>
    <x v="11"/>
    <x v="2"/>
  </r>
  <r>
    <x v="2139"/>
    <x v="4"/>
    <x v="0"/>
    <n v="24.4"/>
    <x v="1616"/>
    <x v="78"/>
    <x v="75"/>
    <x v="2"/>
    <x v="4"/>
    <x v="2"/>
    <x v="0"/>
    <x v="21"/>
    <x v="3"/>
    <x v="11"/>
    <x v="2"/>
  </r>
  <r>
    <x v="2140"/>
    <x v="10"/>
    <x v="1"/>
    <n v="38.799999999999997"/>
    <x v="1598"/>
    <x v="78"/>
    <x v="75"/>
    <x v="1"/>
    <x v="4"/>
    <x v="1"/>
    <x v="0"/>
    <x v="3"/>
    <x v="3"/>
    <x v="11"/>
    <x v="1"/>
  </r>
  <r>
    <x v="2141"/>
    <x v="3"/>
    <x v="0"/>
    <n v="59.7"/>
    <x v="1201"/>
    <x v="78"/>
    <x v="79"/>
    <x v="1"/>
    <x v="3"/>
    <x v="0"/>
    <x v="0"/>
    <x v="3"/>
    <x v="2"/>
    <x v="11"/>
    <x v="1"/>
  </r>
  <r>
    <x v="2142"/>
    <x v="7"/>
    <x v="0"/>
    <n v="31.2"/>
    <x v="406"/>
    <x v="78"/>
    <x v="75"/>
    <x v="1"/>
    <x v="1"/>
    <x v="2"/>
    <x v="0"/>
    <x v="3"/>
    <x v="3"/>
    <x v="11"/>
    <x v="1"/>
  </r>
  <r>
    <x v="2143"/>
    <x v="0"/>
    <x v="0"/>
    <n v="16.8"/>
    <x v="749"/>
    <x v="78"/>
    <x v="75"/>
    <x v="2"/>
    <x v="2"/>
    <x v="1"/>
    <x v="0"/>
    <x v="3"/>
    <x v="3"/>
    <x v="11"/>
    <x v="2"/>
  </r>
  <r>
    <x v="2144"/>
    <x v="8"/>
    <x v="0"/>
    <n v="46"/>
    <x v="716"/>
    <x v="78"/>
    <x v="75"/>
    <x v="1"/>
    <x v="0"/>
    <x v="0"/>
    <x v="0"/>
    <x v="3"/>
    <x v="3"/>
    <x v="11"/>
    <x v="1"/>
  </r>
  <r>
    <x v="2145"/>
    <x v="9"/>
    <x v="8"/>
    <n v="42.2"/>
    <x v="1617"/>
    <x v="78"/>
    <x v="79"/>
    <x v="2"/>
    <x v="3"/>
    <x v="2"/>
    <x v="0"/>
    <x v="3"/>
    <x v="2"/>
    <x v="11"/>
    <x v="2"/>
  </r>
  <r>
    <x v="2146"/>
    <x v="1"/>
    <x v="2"/>
    <n v="71.5"/>
    <x v="523"/>
    <x v="78"/>
    <x v="85"/>
    <x v="2"/>
    <x v="0"/>
    <x v="0"/>
    <x v="0"/>
    <x v="3"/>
    <x v="12"/>
    <x v="11"/>
    <x v="2"/>
  </r>
  <r>
    <x v="2147"/>
    <x v="1"/>
    <x v="1"/>
    <n v="76.599999999999994"/>
    <x v="1618"/>
    <x v="78"/>
    <x v="78"/>
    <x v="1"/>
    <x v="0"/>
    <x v="2"/>
    <x v="0"/>
    <x v="3"/>
    <x v="7"/>
    <x v="11"/>
    <x v="1"/>
  </r>
  <r>
    <x v="2148"/>
    <x v="12"/>
    <x v="1"/>
    <n v="87.3"/>
    <x v="1619"/>
    <x v="78"/>
    <x v="86"/>
    <x v="2"/>
    <x v="3"/>
    <x v="2"/>
    <x v="0"/>
    <x v="3"/>
    <x v="9"/>
    <x v="11"/>
    <x v="2"/>
  </r>
  <r>
    <x v="2149"/>
    <x v="1"/>
    <x v="0"/>
    <n v="63"/>
    <x v="1620"/>
    <x v="78"/>
    <x v="79"/>
    <x v="1"/>
    <x v="3"/>
    <x v="0"/>
    <x v="0"/>
    <x v="3"/>
    <x v="2"/>
    <x v="11"/>
    <x v="1"/>
  </r>
  <r>
    <x v="2150"/>
    <x v="8"/>
    <x v="1"/>
    <n v="41.7"/>
    <x v="925"/>
    <x v="78"/>
    <x v="75"/>
    <x v="2"/>
    <x v="4"/>
    <x v="1"/>
    <x v="0"/>
    <x v="43"/>
    <x v="3"/>
    <x v="11"/>
    <x v="2"/>
  </r>
  <r>
    <x v="2151"/>
    <x v="6"/>
    <x v="1"/>
    <n v="76.099999999999994"/>
    <x v="1621"/>
    <x v="78"/>
    <x v="78"/>
    <x v="2"/>
    <x v="4"/>
    <x v="2"/>
    <x v="0"/>
    <x v="16"/>
    <x v="7"/>
    <x v="11"/>
    <x v="2"/>
  </r>
  <r>
    <x v="2152"/>
    <x v="13"/>
    <x v="1"/>
    <n v="28.5"/>
    <x v="933"/>
    <x v="78"/>
    <x v="75"/>
    <x v="2"/>
    <x v="0"/>
    <x v="2"/>
    <x v="0"/>
    <x v="4"/>
    <x v="3"/>
    <x v="11"/>
    <x v="2"/>
  </r>
  <r>
    <x v="2153"/>
    <x v="0"/>
    <x v="12"/>
    <n v="32.1"/>
    <x v="58"/>
    <x v="78"/>
    <x v="75"/>
    <x v="2"/>
    <x v="1"/>
    <x v="2"/>
    <x v="0"/>
    <x v="25"/>
    <x v="3"/>
    <x v="11"/>
    <x v="2"/>
  </r>
  <r>
    <x v="2154"/>
    <x v="4"/>
    <x v="2"/>
    <n v="39"/>
    <x v="1622"/>
    <x v="78"/>
    <x v="79"/>
    <x v="1"/>
    <x v="1"/>
    <x v="2"/>
    <x v="0"/>
    <x v="25"/>
    <x v="2"/>
    <x v="11"/>
    <x v="1"/>
  </r>
  <r>
    <x v="2155"/>
    <x v="6"/>
    <x v="0"/>
    <n v="78.5"/>
    <x v="1623"/>
    <x v="78"/>
    <x v="75"/>
    <x v="1"/>
    <x v="1"/>
    <x v="0"/>
    <x v="0"/>
    <x v="6"/>
    <x v="3"/>
    <x v="11"/>
    <x v="1"/>
  </r>
  <r>
    <x v="2156"/>
    <x v="4"/>
    <x v="9"/>
    <n v="49.7"/>
    <x v="1624"/>
    <x v="78"/>
    <x v="80"/>
    <x v="2"/>
    <x v="0"/>
    <x v="0"/>
    <x v="0"/>
    <x v="6"/>
    <x v="1"/>
    <x v="11"/>
    <x v="2"/>
  </r>
  <r>
    <x v="2157"/>
    <x v="1"/>
    <x v="12"/>
    <n v="68.400000000000006"/>
    <x v="1625"/>
    <x v="78"/>
    <x v="75"/>
    <x v="2"/>
    <x v="2"/>
    <x v="2"/>
    <x v="0"/>
    <x v="7"/>
    <x v="3"/>
    <x v="11"/>
    <x v="2"/>
  </r>
  <r>
    <x v="2158"/>
    <x v="3"/>
    <x v="1"/>
    <n v="72.900000000000006"/>
    <x v="1626"/>
    <x v="78"/>
    <x v="79"/>
    <x v="0"/>
    <x v="0"/>
    <x v="2"/>
    <x v="0"/>
    <x v="7"/>
    <x v="2"/>
    <x v="11"/>
    <x v="0"/>
  </r>
  <r>
    <x v="2159"/>
    <x v="5"/>
    <x v="15"/>
    <n v="30.3"/>
    <x v="1627"/>
    <x v="78"/>
    <x v="75"/>
    <x v="1"/>
    <x v="4"/>
    <x v="0"/>
    <x v="0"/>
    <x v="7"/>
    <x v="3"/>
    <x v="11"/>
    <x v="1"/>
  </r>
  <r>
    <x v="2160"/>
    <x v="6"/>
    <x v="5"/>
    <n v="57.9"/>
    <x v="1628"/>
    <x v="78"/>
    <x v="75"/>
    <x v="2"/>
    <x v="0"/>
    <x v="0"/>
    <x v="0"/>
    <x v="8"/>
    <x v="3"/>
    <x v="11"/>
    <x v="2"/>
  </r>
  <r>
    <x v="2161"/>
    <x v="1"/>
    <x v="0"/>
    <n v="96.7"/>
    <x v="1629"/>
    <x v="78"/>
    <x v="75"/>
    <x v="1"/>
    <x v="0"/>
    <x v="0"/>
    <x v="0"/>
    <x v="8"/>
    <x v="3"/>
    <x v="11"/>
    <x v="1"/>
  </r>
  <r>
    <x v="2162"/>
    <x v="8"/>
    <x v="4"/>
    <n v="27.6"/>
    <x v="1630"/>
    <x v="78"/>
    <x v="80"/>
    <x v="1"/>
    <x v="2"/>
    <x v="2"/>
    <x v="0"/>
    <x v="8"/>
    <x v="1"/>
    <x v="11"/>
    <x v="1"/>
  </r>
  <r>
    <x v="2163"/>
    <x v="6"/>
    <x v="12"/>
    <n v="64.7"/>
    <x v="536"/>
    <x v="78"/>
    <x v="78"/>
    <x v="1"/>
    <x v="3"/>
    <x v="2"/>
    <x v="0"/>
    <x v="8"/>
    <x v="7"/>
    <x v="11"/>
    <x v="1"/>
  </r>
  <r>
    <x v="2164"/>
    <x v="10"/>
    <x v="13"/>
    <n v="30.5"/>
    <x v="1143"/>
    <x v="78"/>
    <x v="75"/>
    <x v="1"/>
    <x v="4"/>
    <x v="0"/>
    <x v="0"/>
    <x v="8"/>
    <x v="3"/>
    <x v="11"/>
    <x v="1"/>
  </r>
  <r>
    <x v="2165"/>
    <x v="6"/>
    <x v="47"/>
    <n v="106"/>
    <x v="1631"/>
    <x v="79"/>
    <x v="79"/>
    <x v="1"/>
    <x v="4"/>
    <x v="2"/>
    <x v="0"/>
    <x v="8"/>
    <x v="1"/>
    <x v="11"/>
    <x v="1"/>
  </r>
  <r>
    <x v="2166"/>
    <x v="12"/>
    <x v="9"/>
    <n v="76.8"/>
    <x v="1632"/>
    <x v="79"/>
    <x v="87"/>
    <x v="0"/>
    <x v="1"/>
    <x v="1"/>
    <x v="0"/>
    <x v="18"/>
    <x v="4"/>
    <x v="11"/>
    <x v="0"/>
  </r>
  <r>
    <x v="2167"/>
    <x v="6"/>
    <x v="1"/>
    <n v="80.400000000000006"/>
    <x v="1530"/>
    <x v="79"/>
    <x v="80"/>
    <x v="2"/>
    <x v="2"/>
    <x v="0"/>
    <x v="0"/>
    <x v="13"/>
    <x v="3"/>
    <x v="11"/>
    <x v="2"/>
  </r>
  <r>
    <x v="2168"/>
    <x v="6"/>
    <x v="12"/>
    <n v="69.099999999999994"/>
    <x v="1633"/>
    <x v="79"/>
    <x v="80"/>
    <x v="1"/>
    <x v="1"/>
    <x v="2"/>
    <x v="0"/>
    <x v="21"/>
    <x v="3"/>
    <x v="11"/>
    <x v="1"/>
  </r>
  <r>
    <x v="2169"/>
    <x v="18"/>
    <x v="1"/>
    <n v="76.400000000000006"/>
    <x v="1634"/>
    <x v="79"/>
    <x v="75"/>
    <x v="1"/>
    <x v="3"/>
    <x v="0"/>
    <x v="0"/>
    <x v="21"/>
    <x v="7"/>
    <x v="11"/>
    <x v="1"/>
  </r>
  <r>
    <x v="2170"/>
    <x v="2"/>
    <x v="1"/>
    <n v="61.3"/>
    <x v="384"/>
    <x v="79"/>
    <x v="80"/>
    <x v="2"/>
    <x v="1"/>
    <x v="1"/>
    <x v="0"/>
    <x v="21"/>
    <x v="3"/>
    <x v="11"/>
    <x v="2"/>
  </r>
  <r>
    <x v="2171"/>
    <x v="7"/>
    <x v="0"/>
    <n v="58"/>
    <x v="1635"/>
    <x v="79"/>
    <x v="80"/>
    <x v="1"/>
    <x v="3"/>
    <x v="1"/>
    <x v="0"/>
    <x v="1"/>
    <x v="3"/>
    <x v="11"/>
    <x v="1"/>
  </r>
  <r>
    <x v="2172"/>
    <x v="2"/>
    <x v="8"/>
    <n v="102.3"/>
    <x v="1636"/>
    <x v="79"/>
    <x v="79"/>
    <x v="1"/>
    <x v="2"/>
    <x v="0"/>
    <x v="0"/>
    <x v="42"/>
    <x v="1"/>
    <x v="11"/>
    <x v="1"/>
  </r>
  <r>
    <x v="2173"/>
    <x v="19"/>
    <x v="1"/>
    <n v="13.8"/>
    <x v="1637"/>
    <x v="79"/>
    <x v="80"/>
    <x v="2"/>
    <x v="4"/>
    <x v="2"/>
    <x v="0"/>
    <x v="2"/>
    <x v="3"/>
    <x v="11"/>
    <x v="2"/>
  </r>
  <r>
    <x v="2174"/>
    <x v="8"/>
    <x v="2"/>
    <n v="33.299999999999997"/>
    <x v="1638"/>
    <x v="79"/>
    <x v="77"/>
    <x v="2"/>
    <x v="2"/>
    <x v="0"/>
    <x v="0"/>
    <x v="22"/>
    <x v="2"/>
    <x v="11"/>
    <x v="2"/>
  </r>
  <r>
    <x v="2175"/>
    <x v="10"/>
    <x v="0"/>
    <n v="27.4"/>
    <x v="1639"/>
    <x v="79"/>
    <x v="77"/>
    <x v="1"/>
    <x v="0"/>
    <x v="2"/>
    <x v="0"/>
    <x v="22"/>
    <x v="2"/>
    <x v="11"/>
    <x v="1"/>
  </r>
  <r>
    <x v="2176"/>
    <x v="14"/>
    <x v="1"/>
    <n v="25.6"/>
    <x v="180"/>
    <x v="79"/>
    <x v="80"/>
    <x v="2"/>
    <x v="1"/>
    <x v="1"/>
    <x v="0"/>
    <x v="3"/>
    <x v="3"/>
    <x v="11"/>
    <x v="2"/>
  </r>
  <r>
    <x v="2177"/>
    <x v="13"/>
    <x v="0"/>
    <n v="58.4"/>
    <x v="305"/>
    <x v="79"/>
    <x v="80"/>
    <x v="2"/>
    <x v="2"/>
    <x v="2"/>
    <x v="0"/>
    <x v="3"/>
    <x v="3"/>
    <x v="11"/>
    <x v="2"/>
  </r>
  <r>
    <x v="2178"/>
    <x v="11"/>
    <x v="17"/>
    <n v="27"/>
    <x v="906"/>
    <x v="79"/>
    <x v="80"/>
    <x v="2"/>
    <x v="4"/>
    <x v="0"/>
    <x v="0"/>
    <x v="3"/>
    <x v="3"/>
    <x v="11"/>
    <x v="2"/>
  </r>
  <r>
    <x v="2179"/>
    <x v="0"/>
    <x v="12"/>
    <n v="14.2"/>
    <x v="1640"/>
    <x v="79"/>
    <x v="80"/>
    <x v="1"/>
    <x v="0"/>
    <x v="2"/>
    <x v="0"/>
    <x v="3"/>
    <x v="3"/>
    <x v="11"/>
    <x v="1"/>
  </r>
  <r>
    <x v="2180"/>
    <x v="7"/>
    <x v="1"/>
    <n v="68"/>
    <x v="1641"/>
    <x v="79"/>
    <x v="88"/>
    <x v="1"/>
    <x v="2"/>
    <x v="1"/>
    <x v="0"/>
    <x v="3"/>
    <x v="14"/>
    <x v="11"/>
    <x v="1"/>
  </r>
  <r>
    <x v="2181"/>
    <x v="8"/>
    <x v="0"/>
    <n v="30.7"/>
    <x v="1642"/>
    <x v="79"/>
    <x v="80"/>
    <x v="1"/>
    <x v="0"/>
    <x v="0"/>
    <x v="0"/>
    <x v="3"/>
    <x v="3"/>
    <x v="11"/>
    <x v="1"/>
  </r>
  <r>
    <x v="2182"/>
    <x v="17"/>
    <x v="15"/>
    <n v="51.6"/>
    <x v="1643"/>
    <x v="79"/>
    <x v="77"/>
    <x v="3"/>
    <x v="1"/>
    <x v="2"/>
    <x v="0"/>
    <x v="3"/>
    <x v="2"/>
    <x v="11"/>
    <x v="3"/>
  </r>
  <r>
    <x v="2183"/>
    <x v="8"/>
    <x v="2"/>
    <n v="20.6"/>
    <x v="957"/>
    <x v="79"/>
    <x v="82"/>
    <x v="2"/>
    <x v="4"/>
    <x v="2"/>
    <x v="0"/>
    <x v="3"/>
    <x v="5"/>
    <x v="11"/>
    <x v="2"/>
  </r>
  <r>
    <x v="2184"/>
    <x v="8"/>
    <x v="0"/>
    <n v="24.8"/>
    <x v="1644"/>
    <x v="79"/>
    <x v="80"/>
    <x v="1"/>
    <x v="4"/>
    <x v="0"/>
    <x v="0"/>
    <x v="3"/>
    <x v="3"/>
    <x v="11"/>
    <x v="1"/>
  </r>
  <r>
    <x v="2185"/>
    <x v="0"/>
    <x v="3"/>
    <n v="11.2"/>
    <x v="1645"/>
    <x v="79"/>
    <x v="77"/>
    <x v="1"/>
    <x v="1"/>
    <x v="0"/>
    <x v="0"/>
    <x v="3"/>
    <x v="2"/>
    <x v="11"/>
    <x v="1"/>
  </r>
  <r>
    <x v="2186"/>
    <x v="11"/>
    <x v="1"/>
    <n v="51.2"/>
    <x v="298"/>
    <x v="79"/>
    <x v="80"/>
    <x v="2"/>
    <x v="1"/>
    <x v="2"/>
    <x v="0"/>
    <x v="3"/>
    <x v="3"/>
    <x v="11"/>
    <x v="2"/>
  </r>
  <r>
    <x v="2187"/>
    <x v="7"/>
    <x v="13"/>
    <n v="90.5"/>
    <x v="1646"/>
    <x v="79"/>
    <x v="80"/>
    <x v="2"/>
    <x v="1"/>
    <x v="4"/>
    <x v="0"/>
    <x v="3"/>
    <x v="3"/>
    <x v="11"/>
    <x v="2"/>
  </r>
  <r>
    <x v="2188"/>
    <x v="1"/>
    <x v="1"/>
    <n v="42.4"/>
    <x v="1647"/>
    <x v="79"/>
    <x v="80"/>
    <x v="1"/>
    <x v="1"/>
    <x v="2"/>
    <x v="0"/>
    <x v="4"/>
    <x v="3"/>
    <x v="11"/>
    <x v="1"/>
  </r>
  <r>
    <x v="2189"/>
    <x v="1"/>
    <x v="1"/>
    <n v="38.200000000000003"/>
    <x v="1648"/>
    <x v="79"/>
    <x v="80"/>
    <x v="1"/>
    <x v="0"/>
    <x v="0"/>
    <x v="0"/>
    <x v="5"/>
    <x v="3"/>
    <x v="11"/>
    <x v="1"/>
  </r>
  <r>
    <x v="2190"/>
    <x v="2"/>
    <x v="11"/>
    <n v="121.3"/>
    <x v="1649"/>
    <x v="79"/>
    <x v="81"/>
    <x v="1"/>
    <x v="0"/>
    <x v="0"/>
    <x v="0"/>
    <x v="6"/>
    <x v="0"/>
    <x v="11"/>
    <x v="1"/>
  </r>
  <r>
    <x v="2191"/>
    <x v="6"/>
    <x v="1"/>
    <n v="46.9"/>
    <x v="1650"/>
    <x v="79"/>
    <x v="86"/>
    <x v="1"/>
    <x v="0"/>
    <x v="0"/>
    <x v="0"/>
    <x v="8"/>
    <x v="6"/>
    <x v="11"/>
    <x v="1"/>
  </r>
  <r>
    <x v="2192"/>
    <x v="10"/>
    <x v="0"/>
    <n v="55.3"/>
    <x v="6"/>
    <x v="79"/>
    <x v="79"/>
    <x v="1"/>
    <x v="0"/>
    <x v="0"/>
    <x v="0"/>
    <x v="8"/>
    <x v="1"/>
    <x v="11"/>
    <x v="1"/>
  </r>
  <r>
    <x v="2193"/>
    <x v="2"/>
    <x v="2"/>
    <n v="70.599999999999994"/>
    <x v="1651"/>
    <x v="80"/>
    <x v="80"/>
    <x v="2"/>
    <x v="0"/>
    <x v="1"/>
    <x v="0"/>
    <x v="8"/>
    <x v="7"/>
    <x v="11"/>
    <x v="2"/>
  </r>
  <r>
    <x v="2194"/>
    <x v="14"/>
    <x v="12"/>
    <n v="26.1"/>
    <x v="1652"/>
    <x v="80"/>
    <x v="77"/>
    <x v="1"/>
    <x v="0"/>
    <x v="0"/>
    <x v="0"/>
    <x v="8"/>
    <x v="1"/>
    <x v="11"/>
    <x v="1"/>
  </r>
  <r>
    <x v="2195"/>
    <x v="9"/>
    <x v="5"/>
    <n v="34.5"/>
    <x v="1653"/>
    <x v="80"/>
    <x v="81"/>
    <x v="1"/>
    <x v="2"/>
    <x v="0"/>
    <x v="0"/>
    <x v="17"/>
    <x v="5"/>
    <x v="11"/>
    <x v="1"/>
  </r>
  <r>
    <x v="2196"/>
    <x v="1"/>
    <x v="1"/>
    <n v="64.2"/>
    <x v="58"/>
    <x v="80"/>
    <x v="79"/>
    <x v="2"/>
    <x v="0"/>
    <x v="1"/>
    <x v="0"/>
    <x v="17"/>
    <x v="3"/>
    <x v="11"/>
    <x v="2"/>
  </r>
  <r>
    <x v="2197"/>
    <x v="2"/>
    <x v="12"/>
    <n v="145.69999999999999"/>
    <x v="1654"/>
    <x v="80"/>
    <x v="79"/>
    <x v="2"/>
    <x v="0"/>
    <x v="4"/>
    <x v="0"/>
    <x v="17"/>
    <x v="3"/>
    <x v="11"/>
    <x v="2"/>
  </r>
  <r>
    <x v="2198"/>
    <x v="12"/>
    <x v="1"/>
    <n v="78.5"/>
    <x v="1655"/>
    <x v="80"/>
    <x v="79"/>
    <x v="1"/>
    <x v="2"/>
    <x v="0"/>
    <x v="0"/>
    <x v="26"/>
    <x v="3"/>
    <x v="11"/>
    <x v="1"/>
  </r>
  <r>
    <x v="2199"/>
    <x v="1"/>
    <x v="0"/>
    <n v="34.200000000000003"/>
    <x v="1656"/>
    <x v="80"/>
    <x v="77"/>
    <x v="1"/>
    <x v="0"/>
    <x v="0"/>
    <x v="0"/>
    <x v="9"/>
    <x v="1"/>
    <x v="11"/>
    <x v="1"/>
  </r>
  <r>
    <x v="2200"/>
    <x v="19"/>
    <x v="0"/>
    <n v="26.2"/>
    <x v="1102"/>
    <x v="80"/>
    <x v="79"/>
    <x v="1"/>
    <x v="2"/>
    <x v="0"/>
    <x v="0"/>
    <x v="9"/>
    <x v="3"/>
    <x v="11"/>
    <x v="1"/>
  </r>
  <r>
    <x v="2201"/>
    <x v="6"/>
    <x v="12"/>
    <n v="53.2"/>
    <x v="1547"/>
    <x v="80"/>
    <x v="79"/>
    <x v="1"/>
    <x v="1"/>
    <x v="1"/>
    <x v="0"/>
    <x v="11"/>
    <x v="3"/>
    <x v="11"/>
    <x v="1"/>
  </r>
  <r>
    <x v="2202"/>
    <x v="1"/>
    <x v="0"/>
    <n v="35.4"/>
    <x v="1657"/>
    <x v="80"/>
    <x v="81"/>
    <x v="1"/>
    <x v="1"/>
    <x v="4"/>
    <x v="0"/>
    <x v="18"/>
    <x v="5"/>
    <x v="11"/>
    <x v="1"/>
  </r>
  <r>
    <x v="2203"/>
    <x v="14"/>
    <x v="1"/>
    <n v="21.3"/>
    <x v="440"/>
    <x v="80"/>
    <x v="79"/>
    <x v="1"/>
    <x v="2"/>
    <x v="0"/>
    <x v="0"/>
    <x v="20"/>
    <x v="3"/>
    <x v="11"/>
    <x v="1"/>
  </r>
  <r>
    <x v="2204"/>
    <x v="8"/>
    <x v="12"/>
    <n v="32.9"/>
    <x v="1423"/>
    <x v="80"/>
    <x v="82"/>
    <x v="2"/>
    <x v="4"/>
    <x v="2"/>
    <x v="0"/>
    <x v="21"/>
    <x v="2"/>
    <x v="11"/>
    <x v="2"/>
  </r>
  <r>
    <x v="2205"/>
    <x v="5"/>
    <x v="20"/>
    <n v="85.5"/>
    <x v="1658"/>
    <x v="80"/>
    <x v="77"/>
    <x v="2"/>
    <x v="3"/>
    <x v="1"/>
    <x v="0"/>
    <x v="21"/>
    <x v="1"/>
    <x v="11"/>
    <x v="2"/>
  </r>
  <r>
    <x v="2206"/>
    <x v="4"/>
    <x v="0"/>
    <n v="26.8"/>
    <x v="63"/>
    <x v="80"/>
    <x v="79"/>
    <x v="2"/>
    <x v="0"/>
    <x v="1"/>
    <x v="0"/>
    <x v="2"/>
    <x v="3"/>
    <x v="11"/>
    <x v="2"/>
  </r>
  <r>
    <x v="2207"/>
    <x v="9"/>
    <x v="18"/>
    <n v="31.7"/>
    <x v="1659"/>
    <x v="80"/>
    <x v="80"/>
    <x v="2"/>
    <x v="3"/>
    <x v="0"/>
    <x v="0"/>
    <x v="2"/>
    <x v="7"/>
    <x v="11"/>
    <x v="2"/>
  </r>
  <r>
    <x v="2208"/>
    <x v="1"/>
    <x v="1"/>
    <n v="78.3"/>
    <x v="1660"/>
    <x v="80"/>
    <x v="77"/>
    <x v="2"/>
    <x v="1"/>
    <x v="1"/>
    <x v="0"/>
    <x v="3"/>
    <x v="1"/>
    <x v="11"/>
    <x v="2"/>
  </r>
  <r>
    <x v="2209"/>
    <x v="6"/>
    <x v="0"/>
    <n v="43.9"/>
    <x v="1661"/>
    <x v="80"/>
    <x v="79"/>
    <x v="1"/>
    <x v="0"/>
    <x v="0"/>
    <x v="0"/>
    <x v="3"/>
    <x v="3"/>
    <x v="11"/>
    <x v="1"/>
  </r>
  <r>
    <x v="2210"/>
    <x v="18"/>
    <x v="2"/>
    <n v="84"/>
    <x v="816"/>
    <x v="80"/>
    <x v="77"/>
    <x v="0"/>
    <x v="3"/>
    <x v="2"/>
    <x v="0"/>
    <x v="3"/>
    <x v="1"/>
    <x v="11"/>
    <x v="0"/>
  </r>
  <r>
    <x v="2211"/>
    <x v="0"/>
    <x v="2"/>
    <n v="11.4"/>
    <x v="1656"/>
    <x v="80"/>
    <x v="79"/>
    <x v="1"/>
    <x v="4"/>
    <x v="0"/>
    <x v="0"/>
    <x v="3"/>
    <x v="3"/>
    <x v="11"/>
    <x v="1"/>
  </r>
  <r>
    <x v="2212"/>
    <x v="12"/>
    <x v="8"/>
    <n v="47.5"/>
    <x v="1662"/>
    <x v="80"/>
    <x v="89"/>
    <x v="2"/>
    <x v="0"/>
    <x v="0"/>
    <x v="0"/>
    <x v="3"/>
    <x v="9"/>
    <x v="11"/>
    <x v="2"/>
  </r>
  <r>
    <x v="2213"/>
    <x v="9"/>
    <x v="5"/>
    <n v="50.5"/>
    <x v="1663"/>
    <x v="80"/>
    <x v="77"/>
    <x v="1"/>
    <x v="2"/>
    <x v="0"/>
    <x v="0"/>
    <x v="3"/>
    <x v="1"/>
    <x v="11"/>
    <x v="1"/>
  </r>
  <r>
    <x v="2214"/>
    <x v="15"/>
    <x v="0"/>
    <n v="36.299999999999997"/>
    <x v="1277"/>
    <x v="80"/>
    <x v="82"/>
    <x v="3"/>
    <x v="0"/>
    <x v="1"/>
    <x v="0"/>
    <x v="8"/>
    <x v="2"/>
    <x v="11"/>
    <x v="3"/>
  </r>
  <r>
    <x v="2215"/>
    <x v="8"/>
    <x v="1"/>
    <n v="35.4"/>
    <x v="1664"/>
    <x v="80"/>
    <x v="79"/>
    <x v="2"/>
    <x v="0"/>
    <x v="0"/>
    <x v="0"/>
    <x v="17"/>
    <x v="3"/>
    <x v="11"/>
    <x v="2"/>
  </r>
  <r>
    <x v="2216"/>
    <x v="1"/>
    <x v="2"/>
    <n v="45.9"/>
    <x v="223"/>
    <x v="81"/>
    <x v="77"/>
    <x v="1"/>
    <x v="3"/>
    <x v="0"/>
    <x v="0"/>
    <x v="9"/>
    <x v="3"/>
    <x v="12"/>
    <x v="1"/>
  </r>
  <r>
    <x v="2217"/>
    <x v="6"/>
    <x v="7"/>
    <n v="41.2"/>
    <x v="1665"/>
    <x v="81"/>
    <x v="87"/>
    <x v="1"/>
    <x v="0"/>
    <x v="0"/>
    <x v="0"/>
    <x v="11"/>
    <x v="5"/>
    <x v="12"/>
    <x v="1"/>
  </r>
  <r>
    <x v="2218"/>
    <x v="17"/>
    <x v="1"/>
    <n v="45.1"/>
    <x v="244"/>
    <x v="81"/>
    <x v="77"/>
    <x v="1"/>
    <x v="1"/>
    <x v="1"/>
    <x v="0"/>
    <x v="21"/>
    <x v="3"/>
    <x v="12"/>
    <x v="1"/>
  </r>
  <r>
    <x v="2219"/>
    <x v="6"/>
    <x v="7"/>
    <n v="63.6"/>
    <x v="1666"/>
    <x v="81"/>
    <x v="79"/>
    <x v="1"/>
    <x v="2"/>
    <x v="0"/>
    <x v="0"/>
    <x v="1"/>
    <x v="7"/>
    <x v="12"/>
    <x v="1"/>
  </r>
  <r>
    <x v="2220"/>
    <x v="8"/>
    <x v="0"/>
    <n v="70.5"/>
    <x v="1012"/>
    <x v="81"/>
    <x v="77"/>
    <x v="1"/>
    <x v="0"/>
    <x v="0"/>
    <x v="0"/>
    <x v="3"/>
    <x v="3"/>
    <x v="12"/>
    <x v="1"/>
  </r>
  <r>
    <x v="2221"/>
    <x v="6"/>
    <x v="0"/>
    <n v="41.3"/>
    <x v="1667"/>
    <x v="81"/>
    <x v="79"/>
    <x v="1"/>
    <x v="4"/>
    <x v="0"/>
    <x v="0"/>
    <x v="3"/>
    <x v="7"/>
    <x v="12"/>
    <x v="1"/>
  </r>
  <r>
    <x v="2222"/>
    <x v="4"/>
    <x v="0"/>
    <n v="35.299999999999997"/>
    <x v="1668"/>
    <x v="81"/>
    <x v="81"/>
    <x v="2"/>
    <x v="4"/>
    <x v="2"/>
    <x v="0"/>
    <x v="3"/>
    <x v="2"/>
    <x v="12"/>
    <x v="2"/>
  </r>
  <r>
    <x v="2223"/>
    <x v="8"/>
    <x v="9"/>
    <n v="34.700000000000003"/>
    <x v="1669"/>
    <x v="81"/>
    <x v="77"/>
    <x v="2"/>
    <x v="0"/>
    <x v="2"/>
    <x v="0"/>
    <x v="3"/>
    <x v="3"/>
    <x v="12"/>
    <x v="2"/>
  </r>
  <r>
    <x v="2224"/>
    <x v="8"/>
    <x v="2"/>
    <n v="26.1"/>
    <x v="1670"/>
    <x v="81"/>
    <x v="77"/>
    <x v="2"/>
    <x v="0"/>
    <x v="0"/>
    <x v="0"/>
    <x v="3"/>
    <x v="3"/>
    <x v="12"/>
    <x v="2"/>
  </r>
  <r>
    <x v="2225"/>
    <x v="9"/>
    <x v="9"/>
    <n v="22.6"/>
    <x v="548"/>
    <x v="81"/>
    <x v="79"/>
    <x v="2"/>
    <x v="1"/>
    <x v="2"/>
    <x v="0"/>
    <x v="3"/>
    <x v="7"/>
    <x v="12"/>
    <x v="2"/>
  </r>
  <r>
    <x v="2226"/>
    <x v="2"/>
    <x v="1"/>
    <n v="154.4"/>
    <x v="1671"/>
    <x v="81"/>
    <x v="81"/>
    <x v="1"/>
    <x v="1"/>
    <x v="1"/>
    <x v="0"/>
    <x v="3"/>
    <x v="2"/>
    <x v="12"/>
    <x v="1"/>
  </r>
  <r>
    <x v="2227"/>
    <x v="8"/>
    <x v="1"/>
    <n v="18.399999999999999"/>
    <x v="791"/>
    <x v="81"/>
    <x v="77"/>
    <x v="1"/>
    <x v="0"/>
    <x v="0"/>
    <x v="0"/>
    <x v="3"/>
    <x v="3"/>
    <x v="12"/>
    <x v="1"/>
  </r>
  <r>
    <x v="2228"/>
    <x v="14"/>
    <x v="0"/>
    <n v="25"/>
    <x v="1672"/>
    <x v="81"/>
    <x v="81"/>
    <x v="2"/>
    <x v="0"/>
    <x v="0"/>
    <x v="0"/>
    <x v="3"/>
    <x v="2"/>
    <x v="12"/>
    <x v="2"/>
  </r>
  <r>
    <x v="2229"/>
    <x v="2"/>
    <x v="13"/>
    <n v="105.6"/>
    <x v="1673"/>
    <x v="81"/>
    <x v="79"/>
    <x v="2"/>
    <x v="0"/>
    <x v="0"/>
    <x v="0"/>
    <x v="3"/>
    <x v="7"/>
    <x v="12"/>
    <x v="2"/>
  </r>
  <r>
    <x v="2230"/>
    <x v="18"/>
    <x v="8"/>
    <n v="59.6"/>
    <x v="1674"/>
    <x v="81"/>
    <x v="79"/>
    <x v="2"/>
    <x v="0"/>
    <x v="2"/>
    <x v="0"/>
    <x v="23"/>
    <x v="7"/>
    <x v="12"/>
    <x v="2"/>
  </r>
  <r>
    <x v="2231"/>
    <x v="15"/>
    <x v="2"/>
    <n v="75.400000000000006"/>
    <x v="1675"/>
    <x v="81"/>
    <x v="86"/>
    <x v="1"/>
    <x v="0"/>
    <x v="1"/>
    <x v="0"/>
    <x v="7"/>
    <x v="0"/>
    <x v="12"/>
    <x v="1"/>
  </r>
  <r>
    <x v="2232"/>
    <x v="7"/>
    <x v="0"/>
    <n v="104.4"/>
    <x v="1652"/>
    <x v="81"/>
    <x v="77"/>
    <x v="2"/>
    <x v="0"/>
    <x v="0"/>
    <x v="0"/>
    <x v="8"/>
    <x v="3"/>
    <x v="12"/>
    <x v="2"/>
  </r>
  <r>
    <x v="2233"/>
    <x v="2"/>
    <x v="7"/>
    <n v="208.2"/>
    <x v="1676"/>
    <x v="81"/>
    <x v="77"/>
    <x v="1"/>
    <x v="0"/>
    <x v="2"/>
    <x v="0"/>
    <x v="8"/>
    <x v="3"/>
    <x v="12"/>
    <x v="1"/>
  </r>
  <r>
    <x v="2234"/>
    <x v="6"/>
    <x v="1"/>
    <n v="45"/>
    <x v="645"/>
    <x v="81"/>
    <x v="81"/>
    <x v="2"/>
    <x v="0"/>
    <x v="0"/>
    <x v="0"/>
    <x v="10"/>
    <x v="2"/>
    <x v="12"/>
    <x v="2"/>
  </r>
  <r>
    <x v="2235"/>
    <x v="15"/>
    <x v="1"/>
    <n v="20.3"/>
    <x v="1352"/>
    <x v="82"/>
    <x v="81"/>
    <x v="0"/>
    <x v="1"/>
    <x v="0"/>
    <x v="0"/>
    <x v="11"/>
    <x v="1"/>
    <x v="12"/>
    <x v="0"/>
  </r>
  <r>
    <x v="2236"/>
    <x v="2"/>
    <x v="2"/>
    <n v="94.4"/>
    <x v="1677"/>
    <x v="82"/>
    <x v="82"/>
    <x v="2"/>
    <x v="0"/>
    <x v="2"/>
    <x v="0"/>
    <x v="11"/>
    <x v="3"/>
    <x v="12"/>
    <x v="2"/>
  </r>
  <r>
    <x v="2237"/>
    <x v="9"/>
    <x v="0"/>
    <n v="49"/>
    <x v="268"/>
    <x v="82"/>
    <x v="81"/>
    <x v="2"/>
    <x v="0"/>
    <x v="2"/>
    <x v="0"/>
    <x v="20"/>
    <x v="1"/>
    <x v="12"/>
    <x v="2"/>
  </r>
  <r>
    <x v="2238"/>
    <x v="4"/>
    <x v="1"/>
    <n v="27.2"/>
    <x v="630"/>
    <x v="82"/>
    <x v="81"/>
    <x v="1"/>
    <x v="0"/>
    <x v="2"/>
    <x v="0"/>
    <x v="1"/>
    <x v="1"/>
    <x v="12"/>
    <x v="1"/>
  </r>
  <r>
    <x v="2239"/>
    <x v="2"/>
    <x v="13"/>
    <n v="72.599999999999994"/>
    <x v="349"/>
    <x v="82"/>
    <x v="82"/>
    <x v="2"/>
    <x v="0"/>
    <x v="2"/>
    <x v="0"/>
    <x v="2"/>
    <x v="3"/>
    <x v="12"/>
    <x v="2"/>
  </r>
  <r>
    <x v="2240"/>
    <x v="15"/>
    <x v="12"/>
    <n v="62.4"/>
    <x v="1267"/>
    <x v="82"/>
    <x v="82"/>
    <x v="2"/>
    <x v="0"/>
    <x v="0"/>
    <x v="0"/>
    <x v="3"/>
    <x v="3"/>
    <x v="12"/>
    <x v="2"/>
  </r>
  <r>
    <x v="2241"/>
    <x v="8"/>
    <x v="2"/>
    <n v="19.100000000000001"/>
    <x v="1281"/>
    <x v="82"/>
    <x v="81"/>
    <x v="1"/>
    <x v="0"/>
    <x v="1"/>
    <x v="0"/>
    <x v="3"/>
    <x v="1"/>
    <x v="12"/>
    <x v="1"/>
  </r>
  <r>
    <x v="2242"/>
    <x v="10"/>
    <x v="0"/>
    <n v="29.6"/>
    <x v="1678"/>
    <x v="82"/>
    <x v="86"/>
    <x v="1"/>
    <x v="0"/>
    <x v="4"/>
    <x v="0"/>
    <x v="3"/>
    <x v="5"/>
    <x v="12"/>
    <x v="1"/>
  </r>
  <r>
    <x v="2243"/>
    <x v="8"/>
    <x v="1"/>
    <n v="18.899999999999999"/>
    <x v="463"/>
    <x v="82"/>
    <x v="81"/>
    <x v="2"/>
    <x v="4"/>
    <x v="2"/>
    <x v="0"/>
    <x v="3"/>
    <x v="1"/>
    <x v="12"/>
    <x v="2"/>
  </r>
  <r>
    <x v="2244"/>
    <x v="10"/>
    <x v="9"/>
    <n v="41.4"/>
    <x v="461"/>
    <x v="82"/>
    <x v="82"/>
    <x v="1"/>
    <x v="3"/>
    <x v="0"/>
    <x v="0"/>
    <x v="3"/>
    <x v="3"/>
    <x v="12"/>
    <x v="1"/>
  </r>
  <r>
    <x v="2245"/>
    <x v="2"/>
    <x v="0"/>
    <n v="118.4"/>
    <x v="1250"/>
    <x v="82"/>
    <x v="82"/>
    <x v="2"/>
    <x v="0"/>
    <x v="2"/>
    <x v="0"/>
    <x v="3"/>
    <x v="3"/>
    <x v="12"/>
    <x v="2"/>
  </r>
  <r>
    <x v="2246"/>
    <x v="2"/>
    <x v="1"/>
    <n v="125.3"/>
    <x v="1679"/>
    <x v="82"/>
    <x v="87"/>
    <x v="2"/>
    <x v="0"/>
    <x v="2"/>
    <x v="0"/>
    <x v="3"/>
    <x v="2"/>
    <x v="12"/>
    <x v="2"/>
  </r>
  <r>
    <x v="2247"/>
    <x v="3"/>
    <x v="1"/>
    <n v="85.8"/>
    <x v="1512"/>
    <x v="82"/>
    <x v="82"/>
    <x v="2"/>
    <x v="1"/>
    <x v="4"/>
    <x v="0"/>
    <x v="3"/>
    <x v="3"/>
    <x v="12"/>
    <x v="2"/>
  </r>
  <r>
    <x v="2248"/>
    <x v="6"/>
    <x v="0"/>
    <n v="44.2"/>
    <x v="573"/>
    <x v="82"/>
    <x v="87"/>
    <x v="1"/>
    <x v="1"/>
    <x v="0"/>
    <x v="0"/>
    <x v="3"/>
    <x v="2"/>
    <x v="12"/>
    <x v="1"/>
  </r>
  <r>
    <x v="2249"/>
    <x v="5"/>
    <x v="12"/>
    <n v="74.099999999999994"/>
    <x v="764"/>
    <x v="82"/>
    <x v="81"/>
    <x v="2"/>
    <x v="0"/>
    <x v="0"/>
    <x v="0"/>
    <x v="3"/>
    <x v="1"/>
    <x v="12"/>
    <x v="2"/>
  </r>
  <r>
    <x v="2250"/>
    <x v="8"/>
    <x v="0"/>
    <n v="33.799999999999997"/>
    <x v="1680"/>
    <x v="82"/>
    <x v="82"/>
    <x v="2"/>
    <x v="2"/>
    <x v="2"/>
    <x v="0"/>
    <x v="24"/>
    <x v="3"/>
    <x v="12"/>
    <x v="2"/>
  </r>
  <r>
    <x v="2251"/>
    <x v="1"/>
    <x v="1"/>
    <n v="39.1"/>
    <x v="1148"/>
    <x v="82"/>
    <x v="82"/>
    <x v="1"/>
    <x v="0"/>
    <x v="1"/>
    <x v="0"/>
    <x v="24"/>
    <x v="3"/>
    <x v="12"/>
    <x v="1"/>
  </r>
  <r>
    <x v="2252"/>
    <x v="0"/>
    <x v="0"/>
    <n v="37.200000000000003"/>
    <x v="804"/>
    <x v="82"/>
    <x v="82"/>
    <x v="1"/>
    <x v="0"/>
    <x v="1"/>
    <x v="0"/>
    <x v="16"/>
    <x v="3"/>
    <x v="12"/>
    <x v="1"/>
  </r>
  <r>
    <x v="2253"/>
    <x v="15"/>
    <x v="2"/>
    <n v="33.9"/>
    <x v="1681"/>
    <x v="82"/>
    <x v="81"/>
    <x v="1"/>
    <x v="2"/>
    <x v="0"/>
    <x v="0"/>
    <x v="6"/>
    <x v="1"/>
    <x v="12"/>
    <x v="1"/>
  </r>
  <r>
    <x v="2254"/>
    <x v="7"/>
    <x v="20"/>
    <n v="73.3"/>
    <x v="1682"/>
    <x v="82"/>
    <x v="87"/>
    <x v="2"/>
    <x v="2"/>
    <x v="1"/>
    <x v="0"/>
    <x v="8"/>
    <x v="2"/>
    <x v="12"/>
    <x v="2"/>
  </r>
  <r>
    <x v="2255"/>
    <x v="8"/>
    <x v="12"/>
    <n v="35"/>
    <x v="1683"/>
    <x v="82"/>
    <x v="81"/>
    <x v="2"/>
    <x v="1"/>
    <x v="0"/>
    <x v="0"/>
    <x v="8"/>
    <x v="1"/>
    <x v="12"/>
    <x v="2"/>
  </r>
  <r>
    <x v="2256"/>
    <x v="0"/>
    <x v="2"/>
    <n v="22.2"/>
    <x v="815"/>
    <x v="82"/>
    <x v="82"/>
    <x v="1"/>
    <x v="1"/>
    <x v="0"/>
    <x v="0"/>
    <x v="17"/>
    <x v="3"/>
    <x v="12"/>
    <x v="1"/>
  </r>
  <r>
    <x v="2257"/>
    <x v="10"/>
    <x v="0"/>
    <n v="32.4"/>
    <x v="1684"/>
    <x v="82"/>
    <x v="82"/>
    <x v="2"/>
    <x v="0"/>
    <x v="0"/>
    <x v="0"/>
    <x v="11"/>
    <x v="3"/>
    <x v="12"/>
    <x v="2"/>
  </r>
  <r>
    <x v="2258"/>
    <x v="5"/>
    <x v="2"/>
    <n v="88.4"/>
    <x v="1685"/>
    <x v="83"/>
    <x v="87"/>
    <x v="2"/>
    <x v="1"/>
    <x v="1"/>
    <x v="0"/>
    <x v="11"/>
    <x v="1"/>
    <x v="12"/>
    <x v="2"/>
  </r>
  <r>
    <x v="2259"/>
    <x v="5"/>
    <x v="27"/>
    <n v="30.5"/>
    <x v="865"/>
    <x v="83"/>
    <x v="81"/>
    <x v="2"/>
    <x v="2"/>
    <x v="0"/>
    <x v="0"/>
    <x v="11"/>
    <x v="3"/>
    <x v="12"/>
    <x v="2"/>
  </r>
  <r>
    <x v="2260"/>
    <x v="1"/>
    <x v="13"/>
    <n v="38.1"/>
    <x v="1686"/>
    <x v="83"/>
    <x v="87"/>
    <x v="2"/>
    <x v="0"/>
    <x v="1"/>
    <x v="0"/>
    <x v="11"/>
    <x v="1"/>
    <x v="12"/>
    <x v="2"/>
  </r>
  <r>
    <x v="2261"/>
    <x v="10"/>
    <x v="9"/>
    <n v="37.6"/>
    <x v="885"/>
    <x v="83"/>
    <x v="90"/>
    <x v="1"/>
    <x v="0"/>
    <x v="0"/>
    <x v="0"/>
    <x v="11"/>
    <x v="5"/>
    <x v="12"/>
    <x v="1"/>
  </r>
  <r>
    <x v="2262"/>
    <x v="15"/>
    <x v="1"/>
    <n v="31.4"/>
    <x v="143"/>
    <x v="83"/>
    <x v="81"/>
    <x v="1"/>
    <x v="0"/>
    <x v="2"/>
    <x v="0"/>
    <x v="11"/>
    <x v="3"/>
    <x v="12"/>
    <x v="1"/>
  </r>
  <r>
    <x v="2263"/>
    <x v="6"/>
    <x v="1"/>
    <n v="61.5"/>
    <x v="1287"/>
    <x v="83"/>
    <x v="81"/>
    <x v="1"/>
    <x v="3"/>
    <x v="0"/>
    <x v="0"/>
    <x v="31"/>
    <x v="3"/>
    <x v="12"/>
    <x v="1"/>
  </r>
  <r>
    <x v="2264"/>
    <x v="6"/>
    <x v="0"/>
    <n v="72.599999999999994"/>
    <x v="1325"/>
    <x v="83"/>
    <x v="81"/>
    <x v="1"/>
    <x v="0"/>
    <x v="1"/>
    <x v="0"/>
    <x v="21"/>
    <x v="3"/>
    <x v="12"/>
    <x v="1"/>
  </r>
  <r>
    <x v="2265"/>
    <x v="9"/>
    <x v="2"/>
    <n v="26.9"/>
    <x v="1687"/>
    <x v="83"/>
    <x v="89"/>
    <x v="3"/>
    <x v="4"/>
    <x v="1"/>
    <x v="0"/>
    <x v="46"/>
    <x v="0"/>
    <x v="12"/>
    <x v="3"/>
  </r>
  <r>
    <x v="2266"/>
    <x v="17"/>
    <x v="4"/>
    <n v="29.4"/>
    <x v="1688"/>
    <x v="83"/>
    <x v="81"/>
    <x v="2"/>
    <x v="1"/>
    <x v="0"/>
    <x v="0"/>
    <x v="51"/>
    <x v="3"/>
    <x v="12"/>
    <x v="2"/>
  </r>
  <r>
    <x v="2267"/>
    <x v="17"/>
    <x v="1"/>
    <n v="42.1"/>
    <x v="903"/>
    <x v="83"/>
    <x v="81"/>
    <x v="2"/>
    <x v="3"/>
    <x v="1"/>
    <x v="0"/>
    <x v="1"/>
    <x v="3"/>
    <x v="12"/>
    <x v="2"/>
  </r>
  <r>
    <x v="2268"/>
    <x v="5"/>
    <x v="0"/>
    <n v="40.5"/>
    <x v="1117"/>
    <x v="83"/>
    <x v="81"/>
    <x v="2"/>
    <x v="2"/>
    <x v="1"/>
    <x v="0"/>
    <x v="1"/>
    <x v="3"/>
    <x v="12"/>
    <x v="2"/>
  </r>
  <r>
    <x v="2269"/>
    <x v="2"/>
    <x v="12"/>
    <n v="182.3"/>
    <x v="1689"/>
    <x v="83"/>
    <x v="81"/>
    <x v="2"/>
    <x v="1"/>
    <x v="0"/>
    <x v="0"/>
    <x v="1"/>
    <x v="3"/>
    <x v="12"/>
    <x v="2"/>
  </r>
  <r>
    <x v="2270"/>
    <x v="2"/>
    <x v="9"/>
    <n v="157"/>
    <x v="1690"/>
    <x v="83"/>
    <x v="86"/>
    <x v="2"/>
    <x v="1"/>
    <x v="2"/>
    <x v="0"/>
    <x v="2"/>
    <x v="2"/>
    <x v="12"/>
    <x v="2"/>
  </r>
  <r>
    <x v="2271"/>
    <x v="17"/>
    <x v="9"/>
    <n v="45.2"/>
    <x v="326"/>
    <x v="83"/>
    <x v="86"/>
    <x v="2"/>
    <x v="1"/>
    <x v="0"/>
    <x v="0"/>
    <x v="22"/>
    <x v="2"/>
    <x v="12"/>
    <x v="2"/>
  </r>
  <r>
    <x v="2272"/>
    <x v="15"/>
    <x v="12"/>
    <n v="27.4"/>
    <x v="1239"/>
    <x v="83"/>
    <x v="87"/>
    <x v="2"/>
    <x v="0"/>
    <x v="0"/>
    <x v="0"/>
    <x v="3"/>
    <x v="1"/>
    <x v="12"/>
    <x v="2"/>
  </r>
  <r>
    <x v="2273"/>
    <x v="5"/>
    <x v="9"/>
    <n v="34.1"/>
    <x v="1691"/>
    <x v="83"/>
    <x v="87"/>
    <x v="1"/>
    <x v="0"/>
    <x v="2"/>
    <x v="0"/>
    <x v="3"/>
    <x v="1"/>
    <x v="12"/>
    <x v="1"/>
  </r>
  <r>
    <x v="2274"/>
    <x v="0"/>
    <x v="1"/>
    <n v="26"/>
    <x v="1692"/>
    <x v="83"/>
    <x v="87"/>
    <x v="1"/>
    <x v="2"/>
    <x v="1"/>
    <x v="0"/>
    <x v="3"/>
    <x v="1"/>
    <x v="12"/>
    <x v="1"/>
  </r>
  <r>
    <x v="2275"/>
    <x v="8"/>
    <x v="3"/>
    <n v="19.399999999999999"/>
    <x v="1693"/>
    <x v="83"/>
    <x v="87"/>
    <x v="0"/>
    <x v="1"/>
    <x v="1"/>
    <x v="0"/>
    <x v="3"/>
    <x v="1"/>
    <x v="12"/>
    <x v="0"/>
  </r>
  <r>
    <x v="2276"/>
    <x v="16"/>
    <x v="2"/>
    <n v="30.3"/>
    <x v="407"/>
    <x v="83"/>
    <x v="86"/>
    <x v="2"/>
    <x v="1"/>
    <x v="2"/>
    <x v="0"/>
    <x v="3"/>
    <x v="2"/>
    <x v="12"/>
    <x v="2"/>
  </r>
  <r>
    <x v="2277"/>
    <x v="2"/>
    <x v="2"/>
    <n v="101.4"/>
    <x v="1694"/>
    <x v="83"/>
    <x v="81"/>
    <x v="1"/>
    <x v="0"/>
    <x v="0"/>
    <x v="0"/>
    <x v="3"/>
    <x v="3"/>
    <x v="12"/>
    <x v="1"/>
  </r>
  <r>
    <x v="2278"/>
    <x v="3"/>
    <x v="9"/>
    <n v="55.5"/>
    <x v="819"/>
    <x v="83"/>
    <x v="86"/>
    <x v="1"/>
    <x v="1"/>
    <x v="0"/>
    <x v="0"/>
    <x v="24"/>
    <x v="2"/>
    <x v="12"/>
    <x v="1"/>
  </r>
  <r>
    <x v="2279"/>
    <x v="8"/>
    <x v="0"/>
    <n v="23.1"/>
    <x v="1695"/>
    <x v="83"/>
    <x v="81"/>
    <x v="1"/>
    <x v="0"/>
    <x v="0"/>
    <x v="0"/>
    <x v="25"/>
    <x v="3"/>
    <x v="12"/>
    <x v="1"/>
  </r>
  <r>
    <x v="2280"/>
    <x v="18"/>
    <x v="1"/>
    <n v="38.9"/>
    <x v="482"/>
    <x v="83"/>
    <x v="81"/>
    <x v="1"/>
    <x v="2"/>
    <x v="0"/>
    <x v="0"/>
    <x v="25"/>
    <x v="3"/>
    <x v="12"/>
    <x v="1"/>
  </r>
  <r>
    <x v="2281"/>
    <x v="6"/>
    <x v="11"/>
    <n v="116.3"/>
    <x v="1696"/>
    <x v="83"/>
    <x v="90"/>
    <x v="2"/>
    <x v="0"/>
    <x v="0"/>
    <x v="0"/>
    <x v="5"/>
    <x v="5"/>
    <x v="12"/>
    <x v="2"/>
  </r>
  <r>
    <x v="2282"/>
    <x v="16"/>
    <x v="11"/>
    <n v="64.099999999999994"/>
    <x v="1697"/>
    <x v="83"/>
    <x v="82"/>
    <x v="2"/>
    <x v="0"/>
    <x v="2"/>
    <x v="0"/>
    <x v="6"/>
    <x v="7"/>
    <x v="12"/>
    <x v="2"/>
  </r>
  <r>
    <x v="2283"/>
    <x v="2"/>
    <x v="13"/>
    <n v="109.2"/>
    <x v="1698"/>
    <x v="83"/>
    <x v="87"/>
    <x v="1"/>
    <x v="0"/>
    <x v="1"/>
    <x v="0"/>
    <x v="8"/>
    <x v="1"/>
    <x v="12"/>
    <x v="1"/>
  </r>
  <r>
    <x v="2284"/>
    <x v="10"/>
    <x v="9"/>
    <n v="23.2"/>
    <x v="1699"/>
    <x v="84"/>
    <x v="87"/>
    <x v="1"/>
    <x v="0"/>
    <x v="1"/>
    <x v="0"/>
    <x v="8"/>
    <x v="3"/>
    <x v="12"/>
    <x v="1"/>
  </r>
  <r>
    <x v="2285"/>
    <x v="18"/>
    <x v="13"/>
    <n v="81.2"/>
    <x v="1700"/>
    <x v="84"/>
    <x v="86"/>
    <x v="1"/>
    <x v="2"/>
    <x v="2"/>
    <x v="0"/>
    <x v="8"/>
    <x v="1"/>
    <x v="12"/>
    <x v="1"/>
  </r>
  <r>
    <x v="2286"/>
    <x v="1"/>
    <x v="21"/>
    <n v="35.700000000000003"/>
    <x v="1701"/>
    <x v="84"/>
    <x v="87"/>
    <x v="1"/>
    <x v="3"/>
    <x v="0"/>
    <x v="0"/>
    <x v="8"/>
    <x v="3"/>
    <x v="12"/>
    <x v="1"/>
  </r>
  <r>
    <x v="2287"/>
    <x v="7"/>
    <x v="1"/>
    <n v="44.5"/>
    <x v="1702"/>
    <x v="84"/>
    <x v="90"/>
    <x v="1"/>
    <x v="4"/>
    <x v="0"/>
    <x v="0"/>
    <x v="9"/>
    <x v="2"/>
    <x v="12"/>
    <x v="1"/>
  </r>
  <r>
    <x v="2288"/>
    <x v="1"/>
    <x v="9"/>
    <n v="32"/>
    <x v="444"/>
    <x v="84"/>
    <x v="86"/>
    <x v="3"/>
    <x v="1"/>
    <x v="1"/>
    <x v="0"/>
    <x v="9"/>
    <x v="1"/>
    <x v="12"/>
    <x v="3"/>
  </r>
  <r>
    <x v="2289"/>
    <x v="8"/>
    <x v="0"/>
    <n v="25.7"/>
    <x v="1703"/>
    <x v="84"/>
    <x v="87"/>
    <x v="1"/>
    <x v="0"/>
    <x v="0"/>
    <x v="0"/>
    <x v="10"/>
    <x v="3"/>
    <x v="12"/>
    <x v="1"/>
  </r>
  <r>
    <x v="2290"/>
    <x v="16"/>
    <x v="2"/>
    <n v="65.599999999999994"/>
    <x v="487"/>
    <x v="84"/>
    <x v="84"/>
    <x v="1"/>
    <x v="0"/>
    <x v="0"/>
    <x v="0"/>
    <x v="11"/>
    <x v="4"/>
    <x v="12"/>
    <x v="1"/>
  </r>
  <r>
    <x v="2291"/>
    <x v="1"/>
    <x v="12"/>
    <n v="52.1"/>
    <x v="1704"/>
    <x v="84"/>
    <x v="87"/>
    <x v="2"/>
    <x v="0"/>
    <x v="2"/>
    <x v="0"/>
    <x v="11"/>
    <x v="3"/>
    <x v="12"/>
    <x v="2"/>
  </r>
  <r>
    <x v="2292"/>
    <x v="8"/>
    <x v="0"/>
    <n v="31"/>
    <x v="1705"/>
    <x v="84"/>
    <x v="87"/>
    <x v="1"/>
    <x v="0"/>
    <x v="1"/>
    <x v="0"/>
    <x v="19"/>
    <x v="3"/>
    <x v="12"/>
    <x v="1"/>
  </r>
  <r>
    <x v="2293"/>
    <x v="8"/>
    <x v="0"/>
    <n v="32"/>
    <x v="109"/>
    <x v="84"/>
    <x v="86"/>
    <x v="3"/>
    <x v="3"/>
    <x v="1"/>
    <x v="0"/>
    <x v="31"/>
    <x v="1"/>
    <x v="12"/>
    <x v="3"/>
  </r>
  <r>
    <x v="2294"/>
    <x v="16"/>
    <x v="12"/>
    <n v="58.3"/>
    <x v="1706"/>
    <x v="84"/>
    <x v="89"/>
    <x v="1"/>
    <x v="1"/>
    <x v="4"/>
    <x v="0"/>
    <x v="20"/>
    <x v="5"/>
    <x v="12"/>
    <x v="1"/>
  </r>
  <r>
    <x v="2295"/>
    <x v="8"/>
    <x v="2"/>
    <n v="31"/>
    <x v="1707"/>
    <x v="84"/>
    <x v="86"/>
    <x v="2"/>
    <x v="2"/>
    <x v="4"/>
    <x v="0"/>
    <x v="13"/>
    <x v="1"/>
    <x v="12"/>
    <x v="2"/>
  </r>
  <r>
    <x v="2296"/>
    <x v="3"/>
    <x v="0"/>
    <n v="40.299999999999997"/>
    <x v="518"/>
    <x v="84"/>
    <x v="87"/>
    <x v="1"/>
    <x v="1"/>
    <x v="2"/>
    <x v="0"/>
    <x v="54"/>
    <x v="3"/>
    <x v="12"/>
    <x v="1"/>
  </r>
  <r>
    <x v="2297"/>
    <x v="6"/>
    <x v="2"/>
    <n v="47.3"/>
    <x v="1708"/>
    <x v="84"/>
    <x v="86"/>
    <x v="1"/>
    <x v="4"/>
    <x v="2"/>
    <x v="0"/>
    <x v="2"/>
    <x v="1"/>
    <x v="12"/>
    <x v="1"/>
  </r>
  <r>
    <x v="2298"/>
    <x v="2"/>
    <x v="0"/>
    <n v="82.8"/>
    <x v="1182"/>
    <x v="84"/>
    <x v="87"/>
    <x v="1"/>
    <x v="0"/>
    <x v="0"/>
    <x v="0"/>
    <x v="2"/>
    <x v="3"/>
    <x v="12"/>
    <x v="1"/>
  </r>
  <r>
    <x v="2299"/>
    <x v="8"/>
    <x v="0"/>
    <n v="18.5"/>
    <x v="1709"/>
    <x v="84"/>
    <x v="91"/>
    <x v="2"/>
    <x v="0"/>
    <x v="0"/>
    <x v="0"/>
    <x v="44"/>
    <x v="12"/>
    <x v="12"/>
    <x v="2"/>
  </r>
  <r>
    <x v="2300"/>
    <x v="3"/>
    <x v="1"/>
    <n v="60.4"/>
    <x v="1710"/>
    <x v="84"/>
    <x v="87"/>
    <x v="1"/>
    <x v="2"/>
    <x v="0"/>
    <x v="0"/>
    <x v="22"/>
    <x v="3"/>
    <x v="12"/>
    <x v="1"/>
  </r>
  <r>
    <x v="2301"/>
    <x v="6"/>
    <x v="9"/>
    <n v="80.2"/>
    <x v="1711"/>
    <x v="84"/>
    <x v="92"/>
    <x v="1"/>
    <x v="1"/>
    <x v="1"/>
    <x v="0"/>
    <x v="50"/>
    <x v="6"/>
    <x v="12"/>
    <x v="1"/>
  </r>
  <r>
    <x v="2302"/>
    <x v="4"/>
    <x v="0"/>
    <n v="41.5"/>
    <x v="1712"/>
    <x v="84"/>
    <x v="86"/>
    <x v="1"/>
    <x v="2"/>
    <x v="0"/>
    <x v="0"/>
    <x v="3"/>
    <x v="1"/>
    <x v="12"/>
    <x v="1"/>
  </r>
  <r>
    <x v="2303"/>
    <x v="2"/>
    <x v="1"/>
    <n v="83.9"/>
    <x v="1713"/>
    <x v="84"/>
    <x v="90"/>
    <x v="2"/>
    <x v="0"/>
    <x v="0"/>
    <x v="0"/>
    <x v="3"/>
    <x v="2"/>
    <x v="12"/>
    <x v="2"/>
  </r>
  <r>
    <x v="2304"/>
    <x v="8"/>
    <x v="1"/>
    <n v="16.7"/>
    <x v="1417"/>
    <x v="84"/>
    <x v="89"/>
    <x v="2"/>
    <x v="0"/>
    <x v="1"/>
    <x v="0"/>
    <x v="3"/>
    <x v="5"/>
    <x v="12"/>
    <x v="2"/>
  </r>
  <r>
    <x v="2305"/>
    <x v="9"/>
    <x v="1"/>
    <n v="72.900000000000006"/>
    <x v="1626"/>
    <x v="84"/>
    <x v="87"/>
    <x v="1"/>
    <x v="2"/>
    <x v="1"/>
    <x v="0"/>
    <x v="3"/>
    <x v="3"/>
    <x v="12"/>
    <x v="1"/>
  </r>
  <r>
    <x v="2306"/>
    <x v="5"/>
    <x v="1"/>
    <n v="50.2"/>
    <x v="862"/>
    <x v="84"/>
    <x v="86"/>
    <x v="2"/>
    <x v="1"/>
    <x v="2"/>
    <x v="0"/>
    <x v="3"/>
    <x v="1"/>
    <x v="12"/>
    <x v="2"/>
  </r>
  <r>
    <x v="2307"/>
    <x v="3"/>
    <x v="1"/>
    <n v="34.200000000000003"/>
    <x v="1714"/>
    <x v="84"/>
    <x v="93"/>
    <x v="0"/>
    <x v="1"/>
    <x v="0"/>
    <x v="0"/>
    <x v="3"/>
    <x v="14"/>
    <x v="12"/>
    <x v="0"/>
  </r>
  <r>
    <x v="2308"/>
    <x v="5"/>
    <x v="1"/>
    <n v="107.9"/>
    <x v="1715"/>
    <x v="84"/>
    <x v="81"/>
    <x v="1"/>
    <x v="1"/>
    <x v="4"/>
    <x v="0"/>
    <x v="3"/>
    <x v="7"/>
    <x v="12"/>
    <x v="1"/>
  </r>
  <r>
    <x v="2309"/>
    <x v="0"/>
    <x v="2"/>
    <n v="17.5"/>
    <x v="413"/>
    <x v="84"/>
    <x v="86"/>
    <x v="1"/>
    <x v="4"/>
    <x v="0"/>
    <x v="0"/>
    <x v="3"/>
    <x v="1"/>
    <x v="12"/>
    <x v="1"/>
  </r>
  <r>
    <x v="2310"/>
    <x v="13"/>
    <x v="20"/>
    <n v="44.7"/>
    <x v="1716"/>
    <x v="84"/>
    <x v="87"/>
    <x v="1"/>
    <x v="0"/>
    <x v="1"/>
    <x v="0"/>
    <x v="3"/>
    <x v="3"/>
    <x v="12"/>
    <x v="1"/>
  </r>
  <r>
    <x v="2311"/>
    <x v="12"/>
    <x v="13"/>
    <n v="92.7"/>
    <x v="1717"/>
    <x v="84"/>
    <x v="86"/>
    <x v="2"/>
    <x v="2"/>
    <x v="1"/>
    <x v="0"/>
    <x v="3"/>
    <x v="1"/>
    <x v="12"/>
    <x v="2"/>
  </r>
  <r>
    <x v="2312"/>
    <x v="7"/>
    <x v="2"/>
    <n v="48.8"/>
    <x v="1718"/>
    <x v="84"/>
    <x v="86"/>
    <x v="2"/>
    <x v="2"/>
    <x v="0"/>
    <x v="0"/>
    <x v="3"/>
    <x v="1"/>
    <x v="12"/>
    <x v="2"/>
  </r>
  <r>
    <x v="2313"/>
    <x v="4"/>
    <x v="27"/>
    <n v="21.3"/>
    <x v="1153"/>
    <x v="84"/>
    <x v="89"/>
    <x v="2"/>
    <x v="3"/>
    <x v="3"/>
    <x v="0"/>
    <x v="3"/>
    <x v="5"/>
    <x v="12"/>
    <x v="2"/>
  </r>
  <r>
    <x v="2314"/>
    <x v="16"/>
    <x v="0"/>
    <n v="52.5"/>
    <x v="413"/>
    <x v="84"/>
    <x v="87"/>
    <x v="2"/>
    <x v="0"/>
    <x v="0"/>
    <x v="0"/>
    <x v="3"/>
    <x v="3"/>
    <x v="12"/>
    <x v="2"/>
  </r>
  <r>
    <x v="2315"/>
    <x v="1"/>
    <x v="1"/>
    <n v="92.4"/>
    <x v="827"/>
    <x v="84"/>
    <x v="84"/>
    <x v="2"/>
    <x v="0"/>
    <x v="2"/>
    <x v="0"/>
    <x v="3"/>
    <x v="4"/>
    <x v="12"/>
    <x v="2"/>
  </r>
  <r>
    <x v="2316"/>
    <x v="4"/>
    <x v="5"/>
    <n v="58.3"/>
    <x v="1719"/>
    <x v="84"/>
    <x v="86"/>
    <x v="1"/>
    <x v="1"/>
    <x v="2"/>
    <x v="0"/>
    <x v="3"/>
    <x v="1"/>
    <x v="12"/>
    <x v="1"/>
  </r>
  <r>
    <x v="2317"/>
    <x v="6"/>
    <x v="44"/>
    <n v="152.6"/>
    <x v="1720"/>
    <x v="85"/>
    <x v="90"/>
    <x v="0"/>
    <x v="0"/>
    <x v="0"/>
    <x v="0"/>
    <x v="3"/>
    <x v="1"/>
    <x v="12"/>
    <x v="0"/>
  </r>
  <r>
    <x v="2318"/>
    <x v="8"/>
    <x v="1"/>
    <n v="26"/>
    <x v="1692"/>
    <x v="85"/>
    <x v="87"/>
    <x v="0"/>
    <x v="0"/>
    <x v="1"/>
    <x v="0"/>
    <x v="3"/>
    <x v="7"/>
    <x v="12"/>
    <x v="0"/>
  </r>
  <r>
    <x v="2319"/>
    <x v="1"/>
    <x v="12"/>
    <n v="33.1"/>
    <x v="979"/>
    <x v="85"/>
    <x v="87"/>
    <x v="1"/>
    <x v="2"/>
    <x v="4"/>
    <x v="0"/>
    <x v="5"/>
    <x v="7"/>
    <x v="12"/>
    <x v="1"/>
  </r>
  <r>
    <x v="2320"/>
    <x v="18"/>
    <x v="0"/>
    <n v="51.4"/>
    <x v="1045"/>
    <x v="85"/>
    <x v="90"/>
    <x v="2"/>
    <x v="1"/>
    <x v="1"/>
    <x v="0"/>
    <x v="5"/>
    <x v="1"/>
    <x v="12"/>
    <x v="2"/>
  </r>
  <r>
    <x v="2321"/>
    <x v="8"/>
    <x v="1"/>
    <n v="30.2"/>
    <x v="266"/>
    <x v="85"/>
    <x v="86"/>
    <x v="2"/>
    <x v="2"/>
    <x v="2"/>
    <x v="0"/>
    <x v="6"/>
    <x v="3"/>
    <x v="12"/>
    <x v="2"/>
  </r>
  <r>
    <x v="2322"/>
    <x v="2"/>
    <x v="13"/>
    <n v="97"/>
    <x v="1544"/>
    <x v="85"/>
    <x v="88"/>
    <x v="2"/>
    <x v="0"/>
    <x v="2"/>
    <x v="0"/>
    <x v="7"/>
    <x v="5"/>
    <x v="12"/>
    <x v="2"/>
  </r>
  <r>
    <x v="2323"/>
    <x v="2"/>
    <x v="0"/>
    <n v="76.900000000000006"/>
    <x v="1721"/>
    <x v="85"/>
    <x v="86"/>
    <x v="1"/>
    <x v="1"/>
    <x v="2"/>
    <x v="0"/>
    <x v="8"/>
    <x v="3"/>
    <x v="12"/>
    <x v="1"/>
  </r>
  <r>
    <x v="2324"/>
    <x v="7"/>
    <x v="13"/>
    <n v="36.1"/>
    <x v="1722"/>
    <x v="85"/>
    <x v="88"/>
    <x v="2"/>
    <x v="0"/>
    <x v="0"/>
    <x v="0"/>
    <x v="8"/>
    <x v="5"/>
    <x v="12"/>
    <x v="2"/>
  </r>
  <r>
    <x v="2325"/>
    <x v="1"/>
    <x v="3"/>
    <n v="34.4"/>
    <x v="1723"/>
    <x v="85"/>
    <x v="87"/>
    <x v="2"/>
    <x v="2"/>
    <x v="1"/>
    <x v="0"/>
    <x v="11"/>
    <x v="7"/>
    <x v="12"/>
    <x v="2"/>
  </r>
  <r>
    <x v="2326"/>
    <x v="1"/>
    <x v="31"/>
    <n v="53.4"/>
    <x v="1724"/>
    <x v="85"/>
    <x v="90"/>
    <x v="2"/>
    <x v="1"/>
    <x v="0"/>
    <x v="0"/>
    <x v="18"/>
    <x v="1"/>
    <x v="12"/>
    <x v="2"/>
  </r>
  <r>
    <x v="2327"/>
    <x v="2"/>
    <x v="0"/>
    <n v="77.599999999999994"/>
    <x v="1598"/>
    <x v="85"/>
    <x v="86"/>
    <x v="2"/>
    <x v="0"/>
    <x v="1"/>
    <x v="0"/>
    <x v="19"/>
    <x v="3"/>
    <x v="12"/>
    <x v="2"/>
  </r>
  <r>
    <x v="2328"/>
    <x v="1"/>
    <x v="2"/>
    <n v="71.7"/>
    <x v="1725"/>
    <x v="85"/>
    <x v="89"/>
    <x v="2"/>
    <x v="1"/>
    <x v="0"/>
    <x v="0"/>
    <x v="19"/>
    <x v="2"/>
    <x v="12"/>
    <x v="2"/>
  </r>
  <r>
    <x v="2329"/>
    <x v="3"/>
    <x v="2"/>
    <n v="80.599999999999994"/>
    <x v="1726"/>
    <x v="85"/>
    <x v="86"/>
    <x v="1"/>
    <x v="4"/>
    <x v="1"/>
    <x v="0"/>
    <x v="19"/>
    <x v="3"/>
    <x v="12"/>
    <x v="1"/>
  </r>
  <r>
    <x v="2330"/>
    <x v="1"/>
    <x v="20"/>
    <n v="70"/>
    <x v="1727"/>
    <x v="85"/>
    <x v="90"/>
    <x v="1"/>
    <x v="0"/>
    <x v="0"/>
    <x v="0"/>
    <x v="20"/>
    <x v="1"/>
    <x v="12"/>
    <x v="1"/>
  </r>
  <r>
    <x v="2331"/>
    <x v="4"/>
    <x v="13"/>
    <n v="27.3"/>
    <x v="1728"/>
    <x v="85"/>
    <x v="90"/>
    <x v="2"/>
    <x v="1"/>
    <x v="1"/>
    <x v="0"/>
    <x v="2"/>
    <x v="1"/>
    <x v="12"/>
    <x v="2"/>
  </r>
  <r>
    <x v="2332"/>
    <x v="8"/>
    <x v="21"/>
    <n v="37.6"/>
    <x v="1729"/>
    <x v="85"/>
    <x v="90"/>
    <x v="1"/>
    <x v="1"/>
    <x v="0"/>
    <x v="0"/>
    <x v="3"/>
    <x v="1"/>
    <x v="12"/>
    <x v="1"/>
  </r>
  <r>
    <x v="2333"/>
    <x v="5"/>
    <x v="2"/>
    <n v="36.6"/>
    <x v="17"/>
    <x v="85"/>
    <x v="90"/>
    <x v="2"/>
    <x v="4"/>
    <x v="0"/>
    <x v="0"/>
    <x v="3"/>
    <x v="1"/>
    <x v="12"/>
    <x v="2"/>
  </r>
  <r>
    <x v="2334"/>
    <x v="13"/>
    <x v="0"/>
    <n v="55.2"/>
    <x v="291"/>
    <x v="85"/>
    <x v="90"/>
    <x v="1"/>
    <x v="3"/>
    <x v="0"/>
    <x v="0"/>
    <x v="3"/>
    <x v="1"/>
    <x v="12"/>
    <x v="1"/>
  </r>
  <r>
    <x v="2335"/>
    <x v="6"/>
    <x v="9"/>
    <n v="59.9"/>
    <x v="1444"/>
    <x v="85"/>
    <x v="90"/>
    <x v="1"/>
    <x v="0"/>
    <x v="0"/>
    <x v="0"/>
    <x v="3"/>
    <x v="1"/>
    <x v="12"/>
    <x v="1"/>
  </r>
  <r>
    <x v="2336"/>
    <x v="6"/>
    <x v="0"/>
    <n v="44"/>
    <x v="945"/>
    <x v="85"/>
    <x v="86"/>
    <x v="2"/>
    <x v="2"/>
    <x v="2"/>
    <x v="0"/>
    <x v="3"/>
    <x v="3"/>
    <x v="12"/>
    <x v="2"/>
  </r>
  <r>
    <x v="2337"/>
    <x v="9"/>
    <x v="1"/>
    <n v="68.7"/>
    <x v="1730"/>
    <x v="85"/>
    <x v="87"/>
    <x v="1"/>
    <x v="0"/>
    <x v="0"/>
    <x v="0"/>
    <x v="3"/>
    <x v="7"/>
    <x v="12"/>
    <x v="1"/>
  </r>
  <r>
    <x v="2338"/>
    <x v="5"/>
    <x v="1"/>
    <n v="61.6"/>
    <x v="1432"/>
    <x v="85"/>
    <x v="88"/>
    <x v="1"/>
    <x v="3"/>
    <x v="1"/>
    <x v="0"/>
    <x v="3"/>
    <x v="5"/>
    <x v="12"/>
    <x v="1"/>
  </r>
  <r>
    <x v="2339"/>
    <x v="7"/>
    <x v="3"/>
    <n v="51.8"/>
    <x v="1731"/>
    <x v="85"/>
    <x v="86"/>
    <x v="1"/>
    <x v="0"/>
    <x v="0"/>
    <x v="0"/>
    <x v="3"/>
    <x v="3"/>
    <x v="12"/>
    <x v="1"/>
  </r>
  <r>
    <x v="2340"/>
    <x v="8"/>
    <x v="7"/>
    <n v="46.2"/>
    <x v="1236"/>
    <x v="85"/>
    <x v="90"/>
    <x v="1"/>
    <x v="1"/>
    <x v="2"/>
    <x v="0"/>
    <x v="3"/>
    <x v="1"/>
    <x v="12"/>
    <x v="1"/>
  </r>
  <r>
    <x v="2341"/>
    <x v="0"/>
    <x v="1"/>
    <n v="19.399999999999999"/>
    <x v="1732"/>
    <x v="85"/>
    <x v="90"/>
    <x v="2"/>
    <x v="1"/>
    <x v="2"/>
    <x v="0"/>
    <x v="6"/>
    <x v="1"/>
    <x v="12"/>
    <x v="2"/>
  </r>
  <r>
    <x v="2342"/>
    <x v="11"/>
    <x v="2"/>
    <n v="52.1"/>
    <x v="1733"/>
    <x v="85"/>
    <x v="89"/>
    <x v="1"/>
    <x v="3"/>
    <x v="3"/>
    <x v="0"/>
    <x v="6"/>
    <x v="2"/>
    <x v="12"/>
    <x v="1"/>
  </r>
  <r>
    <x v="2343"/>
    <x v="6"/>
    <x v="0"/>
    <n v="74.900000000000006"/>
    <x v="1734"/>
    <x v="85"/>
    <x v="90"/>
    <x v="3"/>
    <x v="0"/>
    <x v="0"/>
    <x v="0"/>
    <x v="7"/>
    <x v="1"/>
    <x v="12"/>
    <x v="3"/>
  </r>
  <r>
    <x v="2344"/>
    <x v="9"/>
    <x v="3"/>
    <n v="49.6"/>
    <x v="1735"/>
    <x v="85"/>
    <x v="89"/>
    <x v="2"/>
    <x v="4"/>
    <x v="0"/>
    <x v="0"/>
    <x v="8"/>
    <x v="2"/>
    <x v="12"/>
    <x v="2"/>
  </r>
  <r>
    <x v="2345"/>
    <x v="16"/>
    <x v="12"/>
    <n v="82.8"/>
    <x v="1736"/>
    <x v="86"/>
    <x v="88"/>
    <x v="2"/>
    <x v="4"/>
    <x v="0"/>
    <x v="0"/>
    <x v="8"/>
    <x v="2"/>
    <x v="12"/>
    <x v="2"/>
  </r>
  <r>
    <x v="2346"/>
    <x v="2"/>
    <x v="0"/>
    <n v="97.7"/>
    <x v="68"/>
    <x v="86"/>
    <x v="90"/>
    <x v="2"/>
    <x v="1"/>
    <x v="0"/>
    <x v="0"/>
    <x v="8"/>
    <x v="3"/>
    <x v="12"/>
    <x v="2"/>
  </r>
  <r>
    <x v="2347"/>
    <x v="6"/>
    <x v="9"/>
    <n v="83.6"/>
    <x v="378"/>
    <x v="86"/>
    <x v="90"/>
    <x v="2"/>
    <x v="4"/>
    <x v="0"/>
    <x v="0"/>
    <x v="8"/>
    <x v="3"/>
    <x v="12"/>
    <x v="2"/>
  </r>
  <r>
    <x v="2348"/>
    <x v="8"/>
    <x v="9"/>
    <n v="23.5"/>
    <x v="1737"/>
    <x v="86"/>
    <x v="84"/>
    <x v="3"/>
    <x v="0"/>
    <x v="0"/>
    <x v="0"/>
    <x v="8"/>
    <x v="5"/>
    <x v="12"/>
    <x v="3"/>
  </r>
  <r>
    <x v="2349"/>
    <x v="9"/>
    <x v="2"/>
    <n v="44.6"/>
    <x v="981"/>
    <x v="86"/>
    <x v="88"/>
    <x v="2"/>
    <x v="4"/>
    <x v="1"/>
    <x v="0"/>
    <x v="26"/>
    <x v="2"/>
    <x v="12"/>
    <x v="2"/>
  </r>
  <r>
    <x v="2350"/>
    <x v="0"/>
    <x v="2"/>
    <n v="20.100000000000001"/>
    <x v="1738"/>
    <x v="86"/>
    <x v="89"/>
    <x v="2"/>
    <x v="3"/>
    <x v="4"/>
    <x v="0"/>
    <x v="11"/>
    <x v="1"/>
    <x v="12"/>
    <x v="2"/>
  </r>
  <r>
    <x v="2351"/>
    <x v="2"/>
    <x v="9"/>
    <n v="153.6"/>
    <x v="1739"/>
    <x v="86"/>
    <x v="90"/>
    <x v="2"/>
    <x v="1"/>
    <x v="2"/>
    <x v="0"/>
    <x v="53"/>
    <x v="3"/>
    <x v="12"/>
    <x v="2"/>
  </r>
  <r>
    <x v="2352"/>
    <x v="1"/>
    <x v="1"/>
    <n v="71.8"/>
    <x v="897"/>
    <x v="86"/>
    <x v="84"/>
    <x v="2"/>
    <x v="1"/>
    <x v="0"/>
    <x v="0"/>
    <x v="1"/>
    <x v="5"/>
    <x v="12"/>
    <x v="2"/>
  </r>
  <r>
    <x v="2353"/>
    <x v="10"/>
    <x v="0"/>
    <n v="64.7"/>
    <x v="1740"/>
    <x v="86"/>
    <x v="89"/>
    <x v="0"/>
    <x v="0"/>
    <x v="1"/>
    <x v="0"/>
    <x v="1"/>
    <x v="1"/>
    <x v="12"/>
    <x v="0"/>
  </r>
  <r>
    <x v="2354"/>
    <x v="9"/>
    <x v="8"/>
    <n v="60.4"/>
    <x v="1741"/>
    <x v="86"/>
    <x v="89"/>
    <x v="2"/>
    <x v="3"/>
    <x v="2"/>
    <x v="0"/>
    <x v="2"/>
    <x v="1"/>
    <x v="12"/>
    <x v="2"/>
  </r>
  <r>
    <x v="2355"/>
    <x v="6"/>
    <x v="12"/>
    <n v="86"/>
    <x v="1213"/>
    <x v="86"/>
    <x v="88"/>
    <x v="2"/>
    <x v="2"/>
    <x v="2"/>
    <x v="0"/>
    <x v="22"/>
    <x v="2"/>
    <x v="12"/>
    <x v="2"/>
  </r>
  <r>
    <x v="2356"/>
    <x v="12"/>
    <x v="1"/>
    <n v="42.1"/>
    <x v="903"/>
    <x v="86"/>
    <x v="90"/>
    <x v="2"/>
    <x v="4"/>
    <x v="1"/>
    <x v="0"/>
    <x v="34"/>
    <x v="3"/>
    <x v="12"/>
    <x v="2"/>
  </r>
  <r>
    <x v="2357"/>
    <x v="16"/>
    <x v="11"/>
    <n v="51.1"/>
    <x v="1742"/>
    <x v="86"/>
    <x v="90"/>
    <x v="1"/>
    <x v="2"/>
    <x v="1"/>
    <x v="0"/>
    <x v="3"/>
    <x v="3"/>
    <x v="12"/>
    <x v="1"/>
  </r>
  <r>
    <x v="2358"/>
    <x v="9"/>
    <x v="12"/>
    <n v="73.8"/>
    <x v="1743"/>
    <x v="86"/>
    <x v="90"/>
    <x v="1"/>
    <x v="4"/>
    <x v="0"/>
    <x v="0"/>
    <x v="3"/>
    <x v="3"/>
    <x v="12"/>
    <x v="1"/>
  </r>
  <r>
    <x v="2359"/>
    <x v="8"/>
    <x v="9"/>
    <n v="27"/>
    <x v="340"/>
    <x v="86"/>
    <x v="88"/>
    <x v="2"/>
    <x v="2"/>
    <x v="2"/>
    <x v="0"/>
    <x v="3"/>
    <x v="2"/>
    <x v="12"/>
    <x v="2"/>
  </r>
  <r>
    <x v="2360"/>
    <x v="8"/>
    <x v="13"/>
    <n v="60.1"/>
    <x v="116"/>
    <x v="86"/>
    <x v="90"/>
    <x v="1"/>
    <x v="3"/>
    <x v="0"/>
    <x v="0"/>
    <x v="3"/>
    <x v="3"/>
    <x v="12"/>
    <x v="1"/>
  </r>
  <r>
    <x v="2361"/>
    <x v="2"/>
    <x v="3"/>
    <n v="94.1"/>
    <x v="1744"/>
    <x v="86"/>
    <x v="89"/>
    <x v="2"/>
    <x v="4"/>
    <x v="1"/>
    <x v="0"/>
    <x v="3"/>
    <x v="1"/>
    <x v="12"/>
    <x v="2"/>
  </r>
  <r>
    <x v="2362"/>
    <x v="2"/>
    <x v="1"/>
    <n v="124.1"/>
    <x v="1235"/>
    <x v="86"/>
    <x v="86"/>
    <x v="2"/>
    <x v="2"/>
    <x v="3"/>
    <x v="0"/>
    <x v="43"/>
    <x v="7"/>
    <x v="12"/>
    <x v="2"/>
  </r>
  <r>
    <x v="2363"/>
    <x v="8"/>
    <x v="12"/>
    <n v="16.899999999999999"/>
    <x v="821"/>
    <x v="86"/>
    <x v="88"/>
    <x v="1"/>
    <x v="3"/>
    <x v="0"/>
    <x v="0"/>
    <x v="6"/>
    <x v="2"/>
    <x v="12"/>
    <x v="1"/>
  </r>
  <r>
    <x v="2364"/>
    <x v="1"/>
    <x v="0"/>
    <n v="36.9"/>
    <x v="1745"/>
    <x v="86"/>
    <x v="90"/>
    <x v="1"/>
    <x v="0"/>
    <x v="0"/>
    <x v="0"/>
    <x v="6"/>
    <x v="3"/>
    <x v="12"/>
    <x v="1"/>
  </r>
  <r>
    <x v="2365"/>
    <x v="9"/>
    <x v="1"/>
    <n v="22.6"/>
    <x v="705"/>
    <x v="86"/>
    <x v="94"/>
    <x v="2"/>
    <x v="2"/>
    <x v="1"/>
    <x v="0"/>
    <x v="8"/>
    <x v="10"/>
    <x v="12"/>
    <x v="2"/>
  </r>
  <r>
    <x v="2366"/>
    <x v="7"/>
    <x v="12"/>
    <n v="35"/>
    <x v="1683"/>
    <x v="86"/>
    <x v="92"/>
    <x v="1"/>
    <x v="3"/>
    <x v="1"/>
    <x v="0"/>
    <x v="8"/>
    <x v="0"/>
    <x v="12"/>
    <x v="1"/>
  </r>
  <r>
    <x v="2367"/>
    <x v="9"/>
    <x v="13"/>
    <n v="63.6"/>
    <x v="1746"/>
    <x v="86"/>
    <x v="95"/>
    <x v="0"/>
    <x v="1"/>
    <x v="2"/>
    <x v="0"/>
    <x v="8"/>
    <x v="6"/>
    <x v="12"/>
    <x v="0"/>
  </r>
  <r>
    <x v="2368"/>
    <x v="15"/>
    <x v="12"/>
    <n v="78.599999999999994"/>
    <x v="1747"/>
    <x v="86"/>
    <x v="90"/>
    <x v="1"/>
    <x v="4"/>
    <x v="1"/>
    <x v="0"/>
    <x v="8"/>
    <x v="3"/>
    <x v="12"/>
    <x v="1"/>
  </r>
  <r>
    <x v="2369"/>
    <x v="3"/>
    <x v="1"/>
    <n v="38.5"/>
    <x v="445"/>
    <x v="86"/>
    <x v="90"/>
    <x v="1"/>
    <x v="0"/>
    <x v="2"/>
    <x v="0"/>
    <x v="8"/>
    <x v="3"/>
    <x v="12"/>
    <x v="1"/>
  </r>
  <r>
    <x v="2370"/>
    <x v="8"/>
    <x v="5"/>
    <n v="71.5"/>
    <x v="1748"/>
    <x v="86"/>
    <x v="90"/>
    <x v="2"/>
    <x v="1"/>
    <x v="4"/>
    <x v="0"/>
    <x v="8"/>
    <x v="3"/>
    <x v="12"/>
    <x v="2"/>
  </r>
  <r>
    <x v="2371"/>
    <x v="6"/>
    <x v="12"/>
    <n v="121.4"/>
    <x v="1749"/>
    <x v="86"/>
    <x v="84"/>
    <x v="1"/>
    <x v="1"/>
    <x v="2"/>
    <x v="0"/>
    <x v="17"/>
    <x v="5"/>
    <x v="12"/>
    <x v="1"/>
  </r>
  <r>
    <x v="2372"/>
    <x v="11"/>
    <x v="0"/>
    <n v="40.200000000000003"/>
    <x v="282"/>
    <x v="86"/>
    <x v="88"/>
    <x v="2"/>
    <x v="0"/>
    <x v="2"/>
    <x v="0"/>
    <x v="11"/>
    <x v="2"/>
    <x v="12"/>
    <x v="2"/>
  </r>
  <r>
    <x v="2373"/>
    <x v="5"/>
    <x v="9"/>
    <n v="31.9"/>
    <x v="1750"/>
    <x v="86"/>
    <x v="89"/>
    <x v="2"/>
    <x v="2"/>
    <x v="2"/>
    <x v="0"/>
    <x v="28"/>
    <x v="1"/>
    <x v="12"/>
    <x v="2"/>
  </r>
  <r>
    <x v="2374"/>
    <x v="14"/>
    <x v="9"/>
    <n v="15.8"/>
    <x v="1751"/>
    <x v="87"/>
    <x v="89"/>
    <x v="1"/>
    <x v="3"/>
    <x v="2"/>
    <x v="0"/>
    <x v="21"/>
    <x v="3"/>
    <x v="12"/>
    <x v="1"/>
  </r>
  <r>
    <x v="2375"/>
    <x v="10"/>
    <x v="1"/>
    <n v="25.1"/>
    <x v="486"/>
    <x v="87"/>
    <x v="88"/>
    <x v="0"/>
    <x v="1"/>
    <x v="0"/>
    <x v="0"/>
    <x v="21"/>
    <x v="1"/>
    <x v="12"/>
    <x v="0"/>
  </r>
  <r>
    <x v="2376"/>
    <x v="1"/>
    <x v="44"/>
    <n v="38.1"/>
    <x v="1752"/>
    <x v="87"/>
    <x v="89"/>
    <x v="2"/>
    <x v="4"/>
    <x v="0"/>
    <x v="0"/>
    <x v="1"/>
    <x v="3"/>
    <x v="12"/>
    <x v="2"/>
  </r>
  <r>
    <x v="2377"/>
    <x v="3"/>
    <x v="1"/>
    <n v="42.2"/>
    <x v="533"/>
    <x v="87"/>
    <x v="88"/>
    <x v="2"/>
    <x v="0"/>
    <x v="2"/>
    <x v="0"/>
    <x v="1"/>
    <x v="1"/>
    <x v="12"/>
    <x v="2"/>
  </r>
  <r>
    <x v="2378"/>
    <x v="0"/>
    <x v="7"/>
    <n v="12.3"/>
    <x v="1287"/>
    <x v="87"/>
    <x v="89"/>
    <x v="2"/>
    <x v="4"/>
    <x v="0"/>
    <x v="0"/>
    <x v="2"/>
    <x v="3"/>
    <x v="12"/>
    <x v="2"/>
  </r>
  <r>
    <x v="2379"/>
    <x v="7"/>
    <x v="0"/>
    <n v="30.2"/>
    <x v="242"/>
    <x v="87"/>
    <x v="88"/>
    <x v="2"/>
    <x v="1"/>
    <x v="2"/>
    <x v="0"/>
    <x v="34"/>
    <x v="1"/>
    <x v="12"/>
    <x v="2"/>
  </r>
  <r>
    <x v="2380"/>
    <x v="5"/>
    <x v="2"/>
    <n v="25.3"/>
    <x v="1554"/>
    <x v="87"/>
    <x v="84"/>
    <x v="2"/>
    <x v="2"/>
    <x v="0"/>
    <x v="0"/>
    <x v="3"/>
    <x v="2"/>
    <x v="12"/>
    <x v="2"/>
  </r>
  <r>
    <x v="2381"/>
    <x v="8"/>
    <x v="9"/>
    <n v="29.7"/>
    <x v="1753"/>
    <x v="87"/>
    <x v="88"/>
    <x v="1"/>
    <x v="3"/>
    <x v="0"/>
    <x v="0"/>
    <x v="3"/>
    <x v="1"/>
    <x v="12"/>
    <x v="1"/>
  </r>
  <r>
    <x v="2382"/>
    <x v="9"/>
    <x v="8"/>
    <n v="32.9"/>
    <x v="1754"/>
    <x v="87"/>
    <x v="89"/>
    <x v="0"/>
    <x v="3"/>
    <x v="2"/>
    <x v="0"/>
    <x v="3"/>
    <x v="3"/>
    <x v="12"/>
    <x v="0"/>
  </r>
  <r>
    <x v="2383"/>
    <x v="10"/>
    <x v="1"/>
    <n v="43.6"/>
    <x v="640"/>
    <x v="87"/>
    <x v="89"/>
    <x v="1"/>
    <x v="1"/>
    <x v="2"/>
    <x v="0"/>
    <x v="3"/>
    <x v="3"/>
    <x v="12"/>
    <x v="1"/>
  </r>
  <r>
    <x v="2384"/>
    <x v="15"/>
    <x v="12"/>
    <n v="78.400000000000006"/>
    <x v="1755"/>
    <x v="87"/>
    <x v="89"/>
    <x v="1"/>
    <x v="2"/>
    <x v="0"/>
    <x v="0"/>
    <x v="3"/>
    <x v="3"/>
    <x v="12"/>
    <x v="1"/>
  </r>
  <r>
    <x v="2385"/>
    <x v="6"/>
    <x v="1"/>
    <n v="56.5"/>
    <x v="548"/>
    <x v="87"/>
    <x v="92"/>
    <x v="1"/>
    <x v="1"/>
    <x v="1"/>
    <x v="0"/>
    <x v="3"/>
    <x v="5"/>
    <x v="12"/>
    <x v="1"/>
  </r>
  <r>
    <x v="2386"/>
    <x v="16"/>
    <x v="0"/>
    <n v="36.700000000000003"/>
    <x v="329"/>
    <x v="87"/>
    <x v="89"/>
    <x v="2"/>
    <x v="0"/>
    <x v="2"/>
    <x v="0"/>
    <x v="3"/>
    <x v="3"/>
    <x v="12"/>
    <x v="2"/>
  </r>
  <r>
    <x v="2387"/>
    <x v="2"/>
    <x v="12"/>
    <n v="103.6"/>
    <x v="1756"/>
    <x v="87"/>
    <x v="91"/>
    <x v="1"/>
    <x v="4"/>
    <x v="2"/>
    <x v="0"/>
    <x v="3"/>
    <x v="11"/>
    <x v="12"/>
    <x v="1"/>
  </r>
  <r>
    <x v="2388"/>
    <x v="8"/>
    <x v="13"/>
    <n v="16.2"/>
    <x v="1757"/>
    <x v="87"/>
    <x v="92"/>
    <x v="1"/>
    <x v="1"/>
    <x v="2"/>
    <x v="0"/>
    <x v="6"/>
    <x v="5"/>
    <x v="12"/>
    <x v="1"/>
  </r>
  <r>
    <x v="2389"/>
    <x v="8"/>
    <x v="1"/>
    <n v="20.2"/>
    <x v="1400"/>
    <x v="87"/>
    <x v="89"/>
    <x v="2"/>
    <x v="0"/>
    <x v="0"/>
    <x v="0"/>
    <x v="6"/>
    <x v="3"/>
    <x v="12"/>
    <x v="2"/>
  </r>
  <r>
    <x v="2390"/>
    <x v="11"/>
    <x v="1"/>
    <n v="26.9"/>
    <x v="1758"/>
    <x v="87"/>
    <x v="88"/>
    <x v="2"/>
    <x v="2"/>
    <x v="0"/>
    <x v="0"/>
    <x v="6"/>
    <x v="1"/>
    <x v="12"/>
    <x v="2"/>
  </r>
  <r>
    <x v="2391"/>
    <x v="1"/>
    <x v="1"/>
    <n v="82.4"/>
    <x v="1759"/>
    <x v="87"/>
    <x v="84"/>
    <x v="0"/>
    <x v="0"/>
    <x v="0"/>
    <x v="0"/>
    <x v="7"/>
    <x v="2"/>
    <x v="12"/>
    <x v="0"/>
  </r>
  <r>
    <x v="2392"/>
    <x v="2"/>
    <x v="1"/>
    <n v="117.8"/>
    <x v="1760"/>
    <x v="87"/>
    <x v="88"/>
    <x v="1"/>
    <x v="1"/>
    <x v="2"/>
    <x v="0"/>
    <x v="8"/>
    <x v="1"/>
    <x v="12"/>
    <x v="1"/>
  </r>
  <r>
    <x v="2393"/>
    <x v="11"/>
    <x v="12"/>
    <n v="36.700000000000003"/>
    <x v="1761"/>
    <x v="87"/>
    <x v="89"/>
    <x v="1"/>
    <x v="1"/>
    <x v="0"/>
    <x v="0"/>
    <x v="8"/>
    <x v="3"/>
    <x v="12"/>
    <x v="1"/>
  </r>
  <r>
    <x v="2394"/>
    <x v="17"/>
    <x v="2"/>
    <n v="46.8"/>
    <x v="1762"/>
    <x v="87"/>
    <x v="89"/>
    <x v="1"/>
    <x v="4"/>
    <x v="2"/>
    <x v="0"/>
    <x v="10"/>
    <x v="3"/>
    <x v="12"/>
    <x v="1"/>
  </r>
  <r>
    <x v="2395"/>
    <x v="3"/>
    <x v="0"/>
    <n v="61.4"/>
    <x v="886"/>
    <x v="87"/>
    <x v="89"/>
    <x v="1"/>
    <x v="1"/>
    <x v="0"/>
    <x v="0"/>
    <x v="10"/>
    <x v="3"/>
    <x v="12"/>
    <x v="1"/>
  </r>
  <r>
    <x v="2396"/>
    <x v="15"/>
    <x v="1"/>
    <n v="22.9"/>
    <x v="494"/>
    <x v="87"/>
    <x v="89"/>
    <x v="1"/>
    <x v="0"/>
    <x v="0"/>
    <x v="0"/>
    <x v="11"/>
    <x v="3"/>
    <x v="12"/>
    <x v="1"/>
  </r>
  <r>
    <x v="2397"/>
    <x v="10"/>
    <x v="1"/>
    <n v="22.1"/>
    <x v="573"/>
    <x v="87"/>
    <x v="89"/>
    <x v="2"/>
    <x v="4"/>
    <x v="0"/>
    <x v="0"/>
    <x v="11"/>
    <x v="3"/>
    <x v="12"/>
    <x v="2"/>
  </r>
  <r>
    <x v="2398"/>
    <x v="12"/>
    <x v="1"/>
    <n v="31"/>
    <x v="85"/>
    <x v="87"/>
    <x v="88"/>
    <x v="2"/>
    <x v="2"/>
    <x v="0"/>
    <x v="0"/>
    <x v="18"/>
    <x v="1"/>
    <x v="12"/>
    <x v="2"/>
  </r>
  <r>
    <x v="2399"/>
    <x v="18"/>
    <x v="1"/>
    <n v="84.2"/>
    <x v="1763"/>
    <x v="87"/>
    <x v="88"/>
    <x v="1"/>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B6B456-01CE-4DBD-AD85-EAC537A7471E}" name="delivery day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B29:C45" firstHeaderRow="1" firstDataRow="1"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items count="21">
        <item x="14"/>
        <item x="10"/>
        <item x="12"/>
        <item x="15"/>
        <item x="4"/>
        <item x="7"/>
        <item x="6"/>
        <item x="19"/>
        <item x="18"/>
        <item x="11"/>
        <item x="17"/>
        <item x="5"/>
        <item x="0"/>
        <item x="2"/>
        <item x="9"/>
        <item x="16"/>
        <item x="1"/>
        <item x="13"/>
        <item x="8"/>
        <item x="3"/>
        <item t="default"/>
      </items>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items count="1765">
        <item x="0"/>
        <item x="432"/>
        <item x="1482"/>
        <item x="178"/>
        <item x="1436"/>
        <item x="239"/>
        <item x="591"/>
        <item x="1426"/>
        <item x="1021"/>
        <item x="283"/>
        <item x="1494"/>
        <item x="749"/>
        <item x="1609"/>
        <item x="248"/>
        <item x="135"/>
        <item x="836"/>
        <item x="832"/>
        <item x="1200"/>
        <item x="1600"/>
        <item x="1709"/>
        <item x="670"/>
        <item x="1492"/>
        <item x="134"/>
        <item x="447"/>
        <item x="688"/>
        <item x="1219"/>
        <item x="614"/>
        <item x="1137"/>
        <item x="132"/>
        <item x="190"/>
        <item x="1500"/>
        <item x="323"/>
        <item x="798"/>
        <item x="333"/>
        <item x="1429"/>
        <item x="1349"/>
        <item x="483"/>
        <item x="731"/>
        <item x="1084"/>
        <item x="258"/>
        <item x="968"/>
        <item x="525"/>
        <item x="249"/>
        <item x="1246"/>
        <item x="61"/>
        <item x="1695"/>
        <item x="772"/>
        <item x="126"/>
        <item x="1561"/>
        <item x="779"/>
        <item x="301"/>
        <item x="835"/>
        <item x="1057"/>
        <item x="1616"/>
        <item x="830"/>
        <item x="1644"/>
        <item x="202"/>
        <item x="1672"/>
        <item x="19"/>
        <item x="382"/>
        <item x="1441"/>
        <item x="1703"/>
        <item x="1191"/>
        <item x="601"/>
        <item x="1102"/>
        <item x="38"/>
        <item x="534"/>
        <item x="63"/>
        <item x="49"/>
        <item x="1116"/>
        <item x="1639"/>
        <item x="1637"/>
        <item x="879"/>
        <item x="293"/>
        <item x="425"/>
        <item x="1034"/>
        <item x="1076"/>
        <item x="1678"/>
        <item x="47"/>
        <item x="1493"/>
        <item x="242"/>
        <item x="928"/>
        <item x="1538"/>
        <item x="1642"/>
        <item x="558"/>
        <item x="1705"/>
        <item x="406"/>
        <item x="1323"/>
        <item x="1455"/>
        <item x="35"/>
        <item x="137"/>
        <item x="627"/>
        <item x="109"/>
        <item x="1158"/>
        <item x="390"/>
        <item x="1684"/>
        <item x="1229"/>
        <item x="944"/>
        <item x="860"/>
        <item x="940"/>
        <item x="698"/>
        <item x="1417"/>
        <item x="253"/>
        <item x="1680"/>
        <item x="1564"/>
        <item x="1222"/>
        <item x="607"/>
        <item x="1656"/>
        <item x="1580"/>
        <item x="1114"/>
        <item x="169"/>
        <item x="1553"/>
        <item x="1668"/>
        <item x="1657"/>
        <item x="519"/>
        <item x="72"/>
        <item x="1520"/>
        <item x="53"/>
        <item x="168"/>
        <item x="1277"/>
        <item x="547"/>
        <item x="329"/>
        <item x="791"/>
        <item x="1745"/>
        <item x="804"/>
        <item x="463"/>
        <item x="853"/>
        <item x="753"/>
        <item x="220"/>
        <item x="1139"/>
        <item x="1320"/>
        <item x="1732"/>
        <item x="923"/>
        <item x="496"/>
        <item x="864"/>
        <item x="736"/>
        <item x="341"/>
        <item x="144"/>
        <item x="165"/>
        <item x="282"/>
        <item x="518"/>
        <item x="1400"/>
        <item x="1117"/>
        <item x="1352"/>
        <item x="274"/>
        <item x="803"/>
        <item x="783"/>
        <item x="1184"/>
        <item x="504"/>
        <item x="1667"/>
        <item x="50"/>
        <item x="1712"/>
        <item x="480"/>
        <item x="1465"/>
        <item x="1151"/>
        <item x="337"/>
        <item x="1283"/>
        <item x="469"/>
        <item x="440"/>
        <item x="39"/>
        <item x="1286"/>
        <item x="181"/>
        <item x="1422"/>
        <item x="1195"/>
        <item x="328"/>
        <item x="1661"/>
        <item x="945"/>
        <item x="573"/>
        <item x="225"/>
        <item x="1456"/>
        <item x="438"/>
        <item x="938"/>
        <item x="583"/>
        <item x="1212"/>
        <item x="705"/>
        <item x="204"/>
        <item x="962"/>
        <item x="494"/>
        <item x="716"/>
        <item x="722"/>
        <item x="1063"/>
        <item x="516"/>
        <item x="434"/>
        <item x="1447"/>
        <item x="594"/>
        <item x="86"/>
        <item x="179"/>
        <item x="392"/>
        <item x="828"/>
        <item x="1601"/>
        <item x="538"/>
        <item x="510"/>
        <item x="959"/>
        <item x="1293"/>
        <item x="655"/>
        <item x="319"/>
        <item x="1247"/>
        <item x="51"/>
        <item x="268"/>
        <item x="528"/>
        <item x="1111"/>
        <item x="256"/>
        <item x="1474"/>
        <item x="500"/>
        <item x="1039"/>
        <item x="486"/>
        <item x="813"/>
        <item x="458"/>
        <item x="578"/>
        <item x="163"/>
        <item x="180"/>
        <item x="1045"/>
        <item x="937"/>
        <item x="733"/>
        <item x="964"/>
        <item x="954"/>
        <item x="1074"/>
        <item x="1692"/>
        <item x="475"/>
        <item x="1342"/>
        <item x="773"/>
        <item x="1559"/>
        <item x="413"/>
        <item x="1228"/>
        <item x="112"/>
        <item x="513"/>
        <item x="535"/>
        <item x="1557"/>
        <item x="287"/>
        <item x="1563"/>
        <item x="789"/>
        <item x="1309"/>
        <item x="1758"/>
        <item x="1260"/>
        <item x="1089"/>
        <item x="521"/>
        <item x="1364"/>
        <item x="630"/>
        <item x="1107"/>
        <item x="1539"/>
        <item x="1407"/>
        <item x="1090"/>
        <item x="252"/>
        <item x="898"/>
        <item x="291"/>
        <item x="6"/>
        <item x="466"/>
        <item x="102"/>
        <item x="1581"/>
        <item x="391"/>
        <item x="571"/>
        <item x="1007"/>
        <item x="1498"/>
        <item x="1640"/>
        <item x="933"/>
        <item x="472"/>
        <item x="473"/>
        <item x="1177"/>
        <item x="1281"/>
        <item x="1253"/>
        <item x="636"/>
        <item x="569"/>
        <item x="687"/>
        <item x="1356"/>
        <item x="1635"/>
        <item x="331"/>
        <item x="305"/>
        <item x="902"/>
        <item x="150"/>
        <item x="572"/>
        <item x="1242"/>
        <item x="1478"/>
        <item x="676"/>
        <item x="1100"/>
        <item x="254"/>
        <item x="1176"/>
        <item x="1201"/>
        <item x="1738"/>
        <item x="266"/>
        <item x="408"/>
        <item x="1035"/>
        <item x="1297"/>
        <item x="170"/>
        <item x="1"/>
        <item x="886"/>
        <item x="1085"/>
        <item x="834"/>
        <item x="546"/>
        <item x="957"/>
        <item x="85"/>
        <item x="1448"/>
        <item x="1197"/>
        <item x="1030"/>
        <item x="683"/>
        <item x="1016"/>
        <item x="143"/>
        <item x="1620"/>
        <item x="1220"/>
        <item x="1276"/>
        <item x="34"/>
        <item x="1005"/>
        <item x="1394"/>
        <item x="453"/>
        <item x="1099"/>
        <item x="1740"/>
        <item x="460"/>
        <item x="891"/>
        <item x="221"/>
        <item x="212"/>
        <item x="1481"/>
        <item x="499"/>
        <item x="511"/>
        <item x="812"/>
        <item x="387"/>
        <item x="1124"/>
        <item x="702"/>
        <item x="815"/>
        <item x="14"/>
        <item x="119"/>
        <item x="884"/>
        <item x="966"/>
        <item x="863"/>
        <item x="1476"/>
        <item x="693"/>
        <item x="509"/>
        <item x="821"/>
        <item x="418"/>
        <item x="745"/>
        <item x="1714"/>
        <item x="508"/>
        <item x="1043"/>
        <item x="564"/>
        <item x="59"/>
        <item x="299"/>
        <item x="1154"/>
        <item x="952"/>
        <item x="474"/>
        <item x="1549"/>
        <item x="1012"/>
        <item x="527"/>
        <item x="1664"/>
        <item x="184"/>
        <item x="1321"/>
        <item x="1013"/>
        <item x="660"/>
        <item x="1574"/>
        <item x="503"/>
        <item x="1289"/>
        <item x="623"/>
        <item x="1325"/>
        <item x="236"/>
        <item x="1285"/>
        <item x="936"/>
        <item x="1524"/>
        <item x="426"/>
        <item x="1517"/>
        <item x="800"/>
        <item x="372"/>
        <item x="1314"/>
        <item x="610"/>
        <item x="110"/>
        <item x="965"/>
        <item x="1734"/>
        <item x="611"/>
        <item x="495"/>
        <item x="108"/>
        <item x="1554"/>
        <item x="998"/>
        <item x="172"/>
        <item x="1488"/>
        <item x="1648"/>
        <item x="514"/>
        <item x="882"/>
        <item x="714"/>
        <item x="332"/>
        <item x="1721"/>
        <item x="445"/>
        <item x="1003"/>
        <item x="837"/>
        <item x="83"/>
        <item x="771"/>
        <item x="1598"/>
        <item x="1233"/>
        <item x="482"/>
        <item x="292"/>
        <item x="648"/>
        <item x="1148"/>
        <item x="166"/>
        <item x="1670"/>
        <item x="1645"/>
        <item x="491"/>
        <item x="1623"/>
        <item x="1608"/>
        <item x="1751"/>
        <item x="1113"/>
        <item x="84"/>
        <item x="1187"/>
        <item x="1589"/>
        <item x="479"/>
        <item x="1133"/>
        <item x="556"/>
        <item x="48"/>
        <item x="7"/>
        <item x="1687"/>
        <item x="41"/>
        <item x="1443"/>
        <item x="969"/>
        <item x="1101"/>
        <item x="1523"/>
        <item x="330"/>
        <item x="1135"/>
        <item x="673"/>
        <item x="1518"/>
        <item x="462"/>
        <item x="1182"/>
        <item x="470"/>
        <item x="707"/>
        <item x="925"/>
        <item x="681"/>
        <item x="433"/>
        <item x="1405"/>
        <item x="903"/>
        <item x="278"/>
        <item x="533"/>
        <item x="1274"/>
        <item x="1647"/>
        <item x="1331"/>
        <item x="464"/>
        <item x="825"/>
        <item x="1216"/>
        <item x="1172"/>
        <item x="550"/>
        <item x="1324"/>
        <item x="1024"/>
        <item x="1360"/>
        <item x="616"/>
        <item x="781"/>
        <item x="700"/>
        <item x="626"/>
        <item x="1053"/>
        <item x="640"/>
        <item x="631"/>
        <item x="697"/>
        <item x="485"/>
        <item x="1205"/>
        <item x="1155"/>
        <item x="1047"/>
        <item x="787"/>
        <item x="1605"/>
        <item x="1702"/>
        <item x="542"/>
        <item x="70"/>
        <item x="32"/>
        <item x="817"/>
        <item x="645"/>
        <item x="244"/>
        <item x="786"/>
        <item x="497"/>
        <item x="742"/>
        <item x="407"/>
        <item x="1270"/>
        <item x="411"/>
        <item x="1058"/>
        <item x="758"/>
        <item x="988"/>
        <item x="1152"/>
        <item x="974"/>
        <item x="1196"/>
        <item x="737"/>
        <item x="1487"/>
        <item x="1707"/>
        <item x="16"/>
        <item x="1261"/>
        <item x="64"/>
        <item x="1650"/>
        <item x="442"/>
        <item x="255"/>
        <item x="1467"/>
        <item x="725"/>
        <item x="234"/>
        <item x="422"/>
        <item x="415"/>
        <item x="296"/>
        <item x="233"/>
        <item x="139"/>
        <item x="802"/>
        <item x="586"/>
        <item x="854"/>
        <item x="219"/>
        <item x="334"/>
        <item x="1629"/>
        <item x="73"/>
        <item x="980"/>
        <item x="1757"/>
        <item x="451"/>
        <item x="647"/>
        <item x="131"/>
        <item x="68"/>
        <item x="11"/>
        <item x="196"/>
        <item x="1543"/>
        <item x="197"/>
        <item x="643"/>
        <item x="1033"/>
        <item x="1300"/>
        <item x="1569"/>
        <item x="1459"/>
        <item x="350"/>
        <item x="1638"/>
        <item x="1217"/>
        <item x="1326"/>
        <item x="862"/>
        <item x="427"/>
        <item x="90"/>
        <item x="95"/>
        <item x="855"/>
        <item x="1171"/>
        <item x="857"/>
        <item x="1681"/>
        <item x="530"/>
        <item x="1062"/>
        <item x="646"/>
        <item x="298"/>
        <item x="125"/>
        <item x="576"/>
        <item x="1223"/>
        <item x="186"/>
        <item x="1454"/>
        <item x="1389"/>
        <item x="748"/>
        <item x="199"/>
        <item x="1652"/>
        <item x="661"/>
        <item x="211"/>
        <item x="1049"/>
        <item x="852"/>
        <item x="568"/>
        <item x="142"/>
        <item x="101"/>
        <item x="872"/>
        <item x="793"/>
        <item x="619"/>
        <item x="694"/>
        <item x="1002"/>
        <item x="1511"/>
        <item x="799"/>
        <item x="1311"/>
        <item x="215"/>
        <item x="807"/>
        <item x="1061"/>
        <item x="939"/>
        <item x="10"/>
        <item x="1178"/>
        <item x="42"/>
        <item x="659"/>
        <item x="414"/>
        <item x="1239"/>
        <item x="17"/>
        <item x="81"/>
        <item x="918"/>
        <item x="579"/>
        <item x="806"/>
        <item x="622"/>
        <item x="1097"/>
        <item x="1483"/>
        <item x="883"/>
        <item x="1006"/>
        <item x="1534"/>
        <item x="881"/>
        <item x="794"/>
        <item x="158"/>
        <item x="380"/>
        <item x="548"/>
        <item x="1413"/>
        <item x="1129"/>
        <item x="247"/>
        <item x="1127"/>
        <item x="1575"/>
        <item x="717"/>
        <item x="1466"/>
        <item x="488"/>
        <item x="1449"/>
        <item x="311"/>
        <item x="574"/>
        <item x="1579"/>
        <item x="151"/>
        <item x="1484"/>
        <item x="100"/>
        <item x="446"/>
        <item x="1699"/>
        <item x="565"/>
        <item x="1622"/>
        <item x="726"/>
        <item x="1527"/>
        <item x="1737"/>
        <item x="833"/>
        <item x="557"/>
        <item x="841"/>
        <item x="1098"/>
        <item x="593"/>
        <item x="1250"/>
        <item x="193"/>
        <item x="1402"/>
        <item x="120"/>
        <item x="111"/>
        <item x="160"/>
        <item x="493"/>
        <item x="92"/>
        <item x="1710"/>
        <item x="297"/>
        <item x="1087"/>
        <item x="164"/>
        <item x="641"/>
        <item x="1296"/>
        <item x="384"/>
        <item x="544"/>
        <item x="949"/>
        <item x="1287"/>
        <item x="1432"/>
        <item x="1268"/>
        <item x="553"/>
        <item x="302"/>
        <item x="145"/>
        <item x="376"/>
        <item x="1109"/>
        <item x="570"/>
        <item x="52"/>
        <item x="1415"/>
        <item x="352"/>
        <item x="967"/>
        <item x="624"/>
        <item x="1555"/>
        <item x="628"/>
        <item x="888"/>
        <item x="1077"/>
        <item x="1208"/>
        <item x="1332"/>
        <item x="520"/>
        <item x="1071"/>
        <item x="823"/>
        <item x="1193"/>
        <item x="618"/>
        <item x="539"/>
        <item x="58"/>
        <item x="580"/>
        <item x="1403"/>
        <item x="309"/>
        <item x="769"/>
        <item x="385"/>
        <item x="632"/>
        <item x="1060"/>
        <item x="33"/>
        <item x="1583"/>
        <item x="848"/>
        <item x="1272"/>
        <item x="1249"/>
        <item x="1209"/>
        <item x="1423"/>
        <item x="955"/>
        <item x="431"/>
        <item x="979"/>
        <item x="927"/>
        <item x="1265"/>
        <item x="117"/>
        <item x="986"/>
        <item x="1567"/>
        <item x="260"/>
        <item x="30"/>
        <item x="981"/>
        <item x="1545"/>
        <item x="1597"/>
        <item x="1048"/>
        <item x="531"/>
        <item x="1093"/>
        <item x="340"/>
        <item x="246"/>
        <item x="685"/>
        <item x="1693"/>
        <item x="1411"/>
        <item x="336"/>
        <item x="1641"/>
        <item x="1134"/>
        <item x="517"/>
        <item x="1294"/>
        <item x="996"/>
        <item x="383"/>
        <item x="1068"/>
        <item x="1387"/>
        <item x="1730"/>
        <item x="1367"/>
        <item x="223"/>
        <item x="304"/>
        <item x="639"/>
        <item x="374"/>
        <item x="209"/>
        <item x="194"/>
        <item x="388"/>
        <item x="377"/>
        <item x="1457"/>
        <item x="1683"/>
        <item x="634"/>
        <item x="1762"/>
        <item x="381"/>
        <item x="684"/>
        <item x="1427"/>
        <item x="1038"/>
        <item x="780"/>
        <item x="932"/>
        <item x="1708"/>
        <item x="1175"/>
        <item x="60"/>
        <item x="1419"/>
        <item x="275"/>
        <item x="1298"/>
        <item x="1391"/>
        <item x="1489"/>
        <item x="897"/>
        <item x="1410"/>
        <item x="1096"/>
        <item x="625"/>
        <item x="613"/>
        <item x="1435"/>
        <item x="1262"/>
        <item x="353"/>
        <item x="1401"/>
        <item x="468"/>
        <item x="973"/>
        <item x="675"/>
        <item x="1626"/>
        <item x="1570"/>
        <item x="599"/>
        <item x="1718"/>
        <item x="1207"/>
        <item x="1363"/>
        <item x="1761"/>
        <item x="926"/>
        <item x="824"/>
        <item x="1224"/>
        <item x="203"/>
        <item x="1119"/>
        <item x="1753"/>
        <item x="956"/>
        <item x="1501"/>
        <item x="689"/>
        <item x="315"/>
        <item x="638"/>
        <item x="379"/>
        <item x="562"/>
        <item x="842"/>
        <item x="354"/>
        <item x="277"/>
        <item x="174"/>
        <item x="318"/>
        <item x="465"/>
        <item x="1621"/>
        <item x="1388"/>
        <item x="1634"/>
        <item x="1065"/>
        <item x="1618"/>
        <item x="1145"/>
        <item x="1330"/>
        <item x="1506"/>
        <item x="608"/>
        <item x="1399"/>
        <item x="55"/>
        <item x="1384"/>
        <item x="831"/>
        <item x="1120"/>
        <item x="1040"/>
        <item x="351"/>
        <item x="1230"/>
        <item x="515"/>
        <item x="1126"/>
        <item x="1733"/>
        <item x="1660"/>
        <item x="9"/>
        <item x="963"/>
        <item x="1588"/>
        <item x="1655"/>
        <item x="507"/>
        <item x="1022"/>
        <item x="905"/>
        <item x="739"/>
        <item x="1355"/>
        <item x="402"/>
        <item x="1329"/>
        <item x="409"/>
        <item x="1750"/>
        <item x="1344"/>
        <item x="444"/>
        <item x="250"/>
        <item x="950"/>
        <item x="1271"/>
        <item x="1530"/>
        <item x="811"/>
        <item x="759"/>
        <item x="154"/>
        <item x="1095"/>
        <item x="1157"/>
        <item x="915"/>
        <item x="435"/>
        <item x="1288"/>
        <item x="1164"/>
        <item x="1475"/>
        <item x="1128"/>
        <item x="838"/>
        <item x="1728"/>
        <item x="657"/>
        <item x="1183"/>
        <item x="522"/>
        <item x="1080"/>
        <item x="1759"/>
        <item x="1445"/>
        <item x="1537"/>
        <item x="312"/>
        <item x="1345"/>
        <item x="1251"/>
        <item x="1189"/>
        <item x="1256"/>
        <item x="701"/>
        <item x="762"/>
        <item x="606"/>
        <item x="589"/>
        <item x="1243"/>
        <item x="750"/>
        <item x="1713"/>
        <item x="66"/>
        <item x="1763"/>
        <item x="1603"/>
        <item x="1531"/>
        <item x="900"/>
        <item x="362"/>
        <item x="1026"/>
        <item x="612"/>
        <item x="393"/>
        <item x="4"/>
        <item x="1284"/>
        <item x="1691"/>
        <item x="307"/>
        <item x="443"/>
        <item x="727"/>
        <item x="1512"/>
        <item x="1522"/>
        <item x="595"/>
        <item x="231"/>
        <item x="826"/>
        <item x="187"/>
        <item x="162"/>
        <item x="775"/>
        <item x="893"/>
        <item x="1669"/>
        <item x="597"/>
        <item x="1434"/>
        <item x="889"/>
        <item x="1337"/>
        <item x="1619"/>
        <item x="1395"/>
        <item x="224"/>
        <item x="25"/>
        <item x="122"/>
        <item x="766"/>
        <item x="218"/>
        <item x="1525"/>
        <item x="1350"/>
        <item x="257"/>
        <item x="983"/>
        <item x="633"/>
        <item x="74"/>
        <item x="394"/>
        <item x="67"/>
        <item x="1020"/>
        <item x="1573"/>
        <item x="476"/>
        <item x="359"/>
        <item x="366"/>
        <item x="1565"/>
        <item x="1142"/>
        <item x="1275"/>
        <item x="1452"/>
        <item x="690"/>
        <item x="106"/>
        <item x="364"/>
        <item x="316"/>
        <item x="1596"/>
        <item x="1143"/>
        <item x="1180"/>
        <item x="1165"/>
        <item x="156"/>
        <item x="79"/>
        <item x="808"/>
        <item x="1173"/>
        <item x="412"/>
        <item x="827"/>
        <item x="1390"/>
        <item x="1458"/>
        <item x="885"/>
        <item x="620"/>
        <item x="975"/>
        <item x="455"/>
        <item x="1385"/>
        <item x="118"/>
        <item x="1001"/>
        <item x="1582"/>
        <item x="1131"/>
        <item x="1086"/>
        <item x="1372"/>
        <item x="1348"/>
        <item x="724"/>
        <item x="213"/>
        <item x="1451"/>
        <item x="796"/>
        <item x="1042"/>
        <item x="1343"/>
        <item x="529"/>
        <item x="345"/>
        <item x="261"/>
        <item x="1473"/>
        <item x="94"/>
        <item x="1174"/>
        <item x="280"/>
        <item x="1568"/>
        <item x="1327"/>
        <item x="243"/>
        <item x="338"/>
        <item x="756"/>
        <item x="1572"/>
        <item x="487"/>
        <item x="436"/>
        <item x="958"/>
        <item x="167"/>
        <item x="1192"/>
        <item x="1210"/>
        <item x="896"/>
        <item x="308"/>
        <item x="271"/>
        <item x="1519"/>
        <item x="420"/>
        <item x="861"/>
        <item x="763"/>
        <item x="152"/>
        <item x="228"/>
        <item x="577"/>
        <item x="977"/>
        <item x="294"/>
        <item x="214"/>
        <item x="403"/>
        <item x="877"/>
        <item x="1186"/>
        <item x="43"/>
        <item x="454"/>
        <item x="461"/>
        <item x="1428"/>
        <item x="904"/>
        <item x="140"/>
        <item x="1704"/>
        <item x="1416"/>
        <item x="922"/>
        <item x="549"/>
        <item x="1336"/>
        <item x="264"/>
        <item x="609"/>
        <item x="138"/>
        <item x="1130"/>
        <item x="1202"/>
        <item x="23"/>
        <item x="1168"/>
        <item x="667"/>
        <item x="1651"/>
        <item x="1066"/>
        <item x="230"/>
        <item x="801"/>
        <item x="267"/>
        <item x="1547"/>
        <item x="226"/>
        <item x="325"/>
        <item x="560"/>
        <item x="523"/>
        <item x="818"/>
        <item x="679"/>
        <item x="1431"/>
        <item x="1725"/>
        <item x="303"/>
        <item x="397"/>
        <item x="1094"/>
        <item x="206"/>
        <item x="1715"/>
        <item x="760"/>
        <item x="358"/>
        <item x="1722"/>
        <item x="991"/>
        <item x="1433"/>
        <item x="1479"/>
        <item x="1282"/>
        <item x="104"/>
        <item x="985"/>
        <item x="20"/>
        <item x="77"/>
        <item x="1199"/>
        <item x="1437"/>
        <item x="1055"/>
        <item x="765"/>
        <item x="1156"/>
        <item x="839"/>
        <item x="642"/>
        <item x="961"/>
        <item x="1169"/>
        <item x="692"/>
        <item x="1141"/>
        <item x="901"/>
        <item x="846"/>
        <item x="890"/>
        <item x="873"/>
        <item x="317"/>
        <item x="1009"/>
        <item x="776"/>
        <item x="1535"/>
        <item x="326"/>
        <item x="1675"/>
        <item x="65"/>
        <item x="662"/>
        <item x="129"/>
        <item x="416"/>
        <item x="1279"/>
        <item x="147"/>
        <item x="1686"/>
        <item x="27"/>
        <item x="1541"/>
        <item x="1167"/>
        <item x="822"/>
        <item x="1166"/>
        <item x="984"/>
        <item x="743"/>
        <item x="1404"/>
        <item x="1161"/>
        <item x="1359"/>
        <item x="217"/>
        <item x="615"/>
        <item x="757"/>
        <item x="123"/>
        <item x="976"/>
        <item x="1412"/>
        <item x="1706"/>
        <item x="1118"/>
        <item x="540"/>
        <item x="76"/>
        <item x="666"/>
        <item x="1069"/>
        <item x="1760"/>
        <item x="989"/>
        <item x="1551"/>
        <item x="78"/>
        <item x="237"/>
        <item x="1396"/>
        <item x="1365"/>
        <item x="1150"/>
        <item x="1248"/>
        <item x="987"/>
        <item x="342"/>
        <item x="1533"/>
        <item x="1723"/>
        <item x="1044"/>
        <item x="1234"/>
        <item x="805"/>
        <item x="1726"/>
        <item x="1231"/>
        <item x="1017"/>
        <item x="596"/>
        <item x="1316"/>
        <item x="262"/>
        <item x="719"/>
        <item x="441"/>
        <item x="672"/>
        <item x="1031"/>
        <item x="1204"/>
        <item x="598"/>
        <item x="1576"/>
        <item x="721"/>
        <item x="238"/>
        <item x="1310"/>
        <item x="1235"/>
        <item x="216"/>
        <item x="1624"/>
        <item x="543"/>
        <item x="1267"/>
        <item x="467"/>
        <item x="1679"/>
        <item x="1136"/>
        <item x="545"/>
        <item x="1206"/>
        <item x="816"/>
        <item x="1578"/>
        <item x="1586"/>
        <item x="103"/>
        <item x="1306"/>
        <item x="754"/>
        <item x="343"/>
        <item x="28"/>
        <item x="133"/>
        <item x="951"/>
        <item x="281"/>
        <item x="755"/>
        <item x="300"/>
        <item x="87"/>
        <item x="1371"/>
        <item x="1292"/>
        <item x="946"/>
        <item x="536"/>
        <item x="650"/>
        <item x="155"/>
        <item x="629"/>
        <item x="1468"/>
        <item x="1499"/>
        <item x="1486"/>
        <item x="195"/>
        <item x="600"/>
        <item x="1290"/>
        <item x="960"/>
        <item x="361"/>
        <item x="1104"/>
        <item x="175"/>
        <item x="1754"/>
        <item x="124"/>
        <item x="948"/>
        <item x="3"/>
        <item x="723"/>
        <item x="1685"/>
        <item x="1497"/>
        <item x="751"/>
        <item x="1370"/>
        <item x="1611"/>
        <item x="1317"/>
        <item x="1266"/>
        <item x="792"/>
        <item x="844"/>
        <item x="843"/>
        <item x="1439"/>
        <item x="357"/>
        <item x="1083"/>
        <item x="1546"/>
        <item x="1123"/>
        <item x="259"/>
        <item x="1430"/>
        <item x="88"/>
        <item x="1625"/>
        <item x="54"/>
        <item x="899"/>
        <item x="1291"/>
        <item x="1029"/>
        <item x="208"/>
        <item x="1633"/>
        <item x="907"/>
        <item x="819"/>
        <item x="1144"/>
        <item x="1340"/>
        <item x="313"/>
        <item x="1409"/>
        <item x="97"/>
        <item x="276"/>
        <item x="552"/>
        <item x="1614"/>
        <item x="917"/>
        <item x="788"/>
        <item x="585"/>
        <item x="584"/>
        <item x="1677"/>
        <item x="45"/>
        <item x="592"/>
        <item x="674"/>
        <item x="1073"/>
        <item x="1004"/>
        <item x="1420"/>
        <item x="423"/>
        <item x="770"/>
        <item x="990"/>
        <item x="29"/>
        <item x="1241"/>
        <item x="1125"/>
        <item x="346"/>
        <item x="537"/>
        <item x="1264"/>
        <item x="1375"/>
        <item x="1008"/>
        <item x="1122"/>
        <item x="232"/>
        <item x="452"/>
        <item x="1368"/>
        <item x="1140"/>
        <item x="1526"/>
        <item x="457"/>
        <item x="1121"/>
        <item x="1743"/>
        <item x="1381"/>
        <item x="1397"/>
        <item x="764"/>
        <item x="711"/>
        <item x="320"/>
        <item x="295"/>
        <item x="1221"/>
        <item x="909"/>
        <item x="1460"/>
        <item x="1341"/>
        <item x="1444"/>
        <item x="57"/>
        <item x="159"/>
        <item x="182"/>
        <item x="373"/>
        <item x="1542"/>
        <item x="982"/>
        <item x="1052"/>
        <item x="1591"/>
        <item x="994"/>
        <item x="728"/>
        <item x="80"/>
        <item x="729"/>
        <item x="1694"/>
        <item x="1508"/>
        <item x="395"/>
        <item x="1566"/>
        <item x="1188"/>
        <item x="1347"/>
        <item x="1226"/>
        <item x="567"/>
        <item x="289"/>
        <item x="161"/>
        <item x="279"/>
        <item x="1269"/>
        <item x="1671"/>
        <item x="15"/>
        <item x="1505"/>
        <item x="141"/>
        <item x="892"/>
        <item x="400"/>
        <item x="355"/>
        <item x="1418"/>
        <item x="851"/>
        <item x="1037"/>
        <item x="1075"/>
        <item x="502"/>
        <item x="752"/>
        <item x="1755"/>
        <item x="1480"/>
        <item x="1747"/>
        <item x="895"/>
        <item x="176"/>
        <item x="744"/>
        <item x="269"/>
        <item x="1011"/>
        <item x="46"/>
        <item x="997"/>
        <item x="99"/>
        <item x="1015"/>
        <item x="1198"/>
        <item x="1238"/>
        <item x="310"/>
        <item x="1604"/>
        <item x="1592"/>
        <item x="730"/>
        <item x="1244"/>
        <item x="347"/>
        <item x="1496"/>
        <item x="1041"/>
        <item x="1305"/>
        <item x="1308"/>
        <item x="356"/>
        <item x="582"/>
        <item x="191"/>
        <item x="1181"/>
        <item x="2"/>
        <item x="847"/>
        <item x="1334"/>
        <item x="1736"/>
        <item x="1630"/>
        <item x="1278"/>
        <item x="1358"/>
        <item x="477"/>
        <item x="335"/>
        <item x="849"/>
        <item x="189"/>
        <item x="850"/>
        <item x="1354"/>
        <item x="149"/>
        <item x="272"/>
        <item x="265"/>
        <item x="1617"/>
        <item x="1463"/>
        <item x="1382"/>
        <item x="449"/>
        <item x="720"/>
        <item x="734"/>
        <item x="370"/>
        <item x="1540"/>
        <item x="1153"/>
        <item x="992"/>
        <item x="953"/>
        <item x="894"/>
        <item x="869"/>
        <item x="1213"/>
        <item x="1108"/>
        <item x="1383"/>
        <item x="1491"/>
        <item x="1132"/>
        <item x="240"/>
        <item x="1584"/>
        <item x="1735"/>
        <item x="1185"/>
        <item x="931"/>
        <item x="26"/>
        <item x="1377"/>
        <item x="1602"/>
        <item x="1490"/>
        <item x="1036"/>
        <item x="146"/>
        <item x="880"/>
        <item x="1688"/>
        <item x="995"/>
        <item x="914"/>
        <item x="1607"/>
        <item x="1023"/>
        <item x="192"/>
        <item x="682"/>
        <item x="1357"/>
        <item x="658"/>
        <item x="1018"/>
        <item x="935"/>
        <item x="1528"/>
        <item x="644"/>
        <item x="1521"/>
        <item x="116"/>
        <item x="785"/>
        <item x="1556"/>
        <item x="1731"/>
        <item x="1560"/>
        <item x="177"/>
        <item x="386"/>
        <item x="450"/>
        <item x="1373"/>
        <item x="790"/>
        <item x="1516"/>
        <item x="867"/>
        <item x="912"/>
        <item x="1464"/>
        <item x="498"/>
        <item x="1322"/>
        <item x="93"/>
        <item x="1054"/>
        <item x="428"/>
        <item x="82"/>
        <item x="439"/>
        <item x="871"/>
        <item x="1378"/>
        <item x="1258"/>
        <item x="575"/>
        <item x="1653"/>
        <item x="715"/>
        <item x="1662"/>
        <item x="1613"/>
        <item x="1746"/>
        <item x="288"/>
        <item x="1590"/>
        <item x="1632"/>
        <item x="339"/>
        <item x="222"/>
        <item x="713"/>
        <item x="69"/>
        <item x="1105"/>
        <item x="235"/>
        <item x="590"/>
        <item x="942"/>
        <item x="8"/>
        <item x="424"/>
        <item x="459"/>
        <item x="1627"/>
        <item x="1091"/>
        <item x="501"/>
        <item x="1571"/>
        <item x="908"/>
        <item x="635"/>
        <item x="704"/>
        <item x="229"/>
        <item x="691"/>
        <item x="732"/>
        <item x="1711"/>
        <item x="668"/>
        <item x="1587"/>
        <item x="921"/>
        <item x="1515"/>
        <item x="130"/>
        <item x="1160"/>
        <item x="1051"/>
        <item x="375"/>
        <item x="856"/>
        <item x="18"/>
        <item x="1059"/>
        <item x="1259"/>
        <item x="489"/>
        <item x="1665"/>
        <item x="654"/>
        <item x="814"/>
        <item x="1211"/>
        <item x="1203"/>
        <item x="1366"/>
        <item x="1756"/>
        <item x="524"/>
        <item x="40"/>
        <item x="943"/>
        <item x="378"/>
        <item x="1159"/>
        <item x="1353"/>
        <item x="1424"/>
        <item x="1514"/>
        <item x="241"/>
        <item x="1406"/>
        <item x="1552"/>
        <item x="348"/>
        <item x="1227"/>
        <item x="245"/>
        <item x="1610"/>
        <item x="656"/>
        <item x="795"/>
        <item x="349"/>
        <item x="1335"/>
        <item x="1067"/>
        <item x="96"/>
        <item x="651"/>
        <item x="421"/>
        <item x="920"/>
        <item x="1392"/>
        <item x="173"/>
        <item x="916"/>
        <item x="978"/>
        <item x="709"/>
        <item x="603"/>
        <item x="148"/>
        <item x="327"/>
        <item x="887"/>
        <item x="1562"/>
        <item x="621"/>
        <item x="1214"/>
        <item x="512"/>
        <item x="1550"/>
        <item x="198"/>
        <item x="114"/>
        <item x="113"/>
        <item x="1742"/>
        <item x="1351"/>
        <item x="1236"/>
        <item x="1318"/>
        <item x="1115"/>
        <item x="797"/>
        <item x="1147"/>
        <item x="1301"/>
        <item x="1056"/>
        <item x="1000"/>
        <item x="1595"/>
        <item x="602"/>
        <item x="686"/>
        <item x="929"/>
        <item x="1674"/>
        <item x="1050"/>
        <item x="1502"/>
        <item x="941"/>
        <item x="840"/>
        <item x="784"/>
        <item x="1741"/>
        <item x="972"/>
        <item x="1749"/>
        <item x="1442"/>
        <item x="210"/>
        <item x="1700"/>
        <item x="865"/>
        <item x="1110"/>
        <item x="554"/>
        <item x="157"/>
        <item x="389"/>
        <item x="845"/>
        <item x="478"/>
        <item x="777"/>
        <item x="1339"/>
        <item x="1190"/>
        <item x="367"/>
        <item x="1701"/>
        <item x="911"/>
        <item x="1299"/>
        <item x="1504"/>
        <item x="559"/>
        <item x="37"/>
        <item x="322"/>
        <item x="1462"/>
        <item x="1380"/>
        <item x="71"/>
        <item x="878"/>
        <item x="605"/>
        <item x="1485"/>
        <item x="1304"/>
        <item x="971"/>
        <item x="200"/>
        <item x="1495"/>
        <item x="324"/>
        <item x="561"/>
        <item x="1469"/>
        <item x="1729"/>
        <item x="1028"/>
        <item x="263"/>
        <item x="1254"/>
        <item x="471"/>
        <item x="437"/>
        <item x="566"/>
        <item x="1470"/>
        <item x="1215"/>
        <item x="1414"/>
        <item x="746"/>
        <item x="1646"/>
        <item x="1149"/>
        <item x="44"/>
        <item x="1446"/>
        <item x="947"/>
        <item x="205"/>
        <item x="999"/>
        <item x="1507"/>
        <item x="678"/>
        <item x="207"/>
        <item x="121"/>
        <item x="1663"/>
        <item x="306"/>
        <item x="1717"/>
        <item x="430"/>
        <item x="21"/>
        <item x="251"/>
        <item x="286"/>
        <item x="273"/>
        <item x="1379"/>
        <item x="284"/>
        <item x="761"/>
        <item x="285"/>
        <item x="1697"/>
        <item x="1361"/>
        <item x="396"/>
        <item x="1014"/>
        <item x="1307"/>
        <item x="1544"/>
        <item x="866"/>
        <item x="1654"/>
        <item x="669"/>
        <item x="1046"/>
        <item x="105"/>
        <item x="930"/>
        <item x="1328"/>
        <item x="699"/>
        <item x="712"/>
        <item x="767"/>
        <item x="1146"/>
        <item x="1179"/>
        <item x="1319"/>
        <item x="637"/>
        <item x="970"/>
        <item x="696"/>
        <item x="1536"/>
        <item x="1315"/>
        <item x="321"/>
        <item x="1064"/>
        <item x="270"/>
        <item x="1138"/>
        <item x="924"/>
        <item x="1280"/>
        <item x="587"/>
        <item x="1092"/>
        <item x="484"/>
        <item x="782"/>
        <item x="747"/>
        <item x="876"/>
        <item x="1673"/>
        <item x="1666"/>
        <item x="1628"/>
        <item x="1374"/>
        <item x="541"/>
        <item x="1719"/>
        <item x="1472"/>
        <item x="1698"/>
        <item x="1255"/>
        <item x="1744"/>
        <item x="649"/>
        <item x="405"/>
        <item x="1716"/>
        <item x="1643"/>
        <item x="617"/>
        <item x="127"/>
        <item x="1081"/>
        <item x="735"/>
        <item x="581"/>
        <item x="1421"/>
        <item x="448"/>
        <item x="1503"/>
        <item x="810"/>
        <item x="1078"/>
        <item x="1362"/>
        <item x="680"/>
        <item x="24"/>
        <item x="708"/>
        <item x="1245"/>
        <item x="809"/>
        <item x="369"/>
        <item x="1689"/>
        <item x="1162"/>
        <item x="1346"/>
        <item x="1453"/>
        <item x="1072"/>
        <item x="1615"/>
        <item x="875"/>
        <item x="1513"/>
        <item x="1218"/>
        <item x="481"/>
        <item x="1019"/>
        <item x="401"/>
        <item x="1739"/>
        <item x="1593"/>
        <item x="874"/>
        <item x="1303"/>
        <item x="89"/>
        <item x="1376"/>
        <item x="1690"/>
        <item x="1748"/>
        <item x="1240"/>
        <item x="718"/>
        <item x="1369"/>
        <item x="91"/>
        <item x="1257"/>
        <item x="1252"/>
        <item x="906"/>
        <item x="1225"/>
        <item x="1163"/>
        <item x="1263"/>
        <item x="1636"/>
        <item x="56"/>
        <item x="1461"/>
        <item x="1659"/>
        <item x="1606"/>
        <item x="363"/>
        <item x="75"/>
        <item x="12"/>
        <item x="31"/>
        <item x="1594"/>
        <item x="136"/>
        <item x="532"/>
        <item x="738"/>
        <item x="1408"/>
        <item x="653"/>
        <item x="1471"/>
        <item x="1529"/>
        <item x="404"/>
        <item x="1752"/>
        <item x="1338"/>
        <item x="652"/>
        <item x="1088"/>
        <item x="153"/>
        <item x="1386"/>
        <item x="1079"/>
        <item x="344"/>
        <item x="185"/>
        <item x="913"/>
        <item x="371"/>
        <item x="820"/>
        <item x="710"/>
        <item x="1032"/>
        <item x="1070"/>
        <item x="417"/>
        <item x="5"/>
        <item x="671"/>
        <item x="910"/>
        <item x="368"/>
        <item x="526"/>
        <item x="183"/>
        <item x="1696"/>
        <item x="1727"/>
        <item x="1398"/>
        <item x="1577"/>
        <item x="1548"/>
        <item x="1532"/>
        <item x="695"/>
        <item x="551"/>
        <item x="492"/>
        <item x="410"/>
        <item x="1170"/>
        <item x="1649"/>
        <item x="1027"/>
        <item x="1682"/>
        <item x="829"/>
        <item x="665"/>
        <item x="115"/>
        <item x="399"/>
        <item x="774"/>
        <item x="993"/>
        <item x="1302"/>
        <item x="706"/>
        <item x="1599"/>
        <item x="1477"/>
        <item x="98"/>
        <item x="1585"/>
        <item x="677"/>
        <item x="858"/>
        <item x="1658"/>
        <item x="1025"/>
        <item x="664"/>
        <item x="1313"/>
        <item x="1333"/>
        <item x="62"/>
        <item x="1103"/>
        <item x="768"/>
        <item x="1232"/>
        <item x="859"/>
        <item x="1273"/>
        <item x="1010"/>
        <item x="1295"/>
        <item x="741"/>
        <item x="1450"/>
        <item x="703"/>
        <item x="919"/>
        <item x="1438"/>
        <item x="456"/>
        <item x="290"/>
        <item x="107"/>
        <item x="555"/>
        <item x="1194"/>
        <item x="563"/>
        <item x="398"/>
        <item x="1724"/>
        <item x="870"/>
        <item x="22"/>
        <item x="201"/>
        <item x="1082"/>
        <item x="128"/>
        <item x="1312"/>
        <item x="365"/>
        <item x="490"/>
        <item x="1510"/>
        <item x="740"/>
        <item x="505"/>
        <item x="588"/>
        <item x="1509"/>
        <item x="1106"/>
        <item x="419"/>
        <item x="429"/>
        <item x="604"/>
        <item x="663"/>
        <item x="1676"/>
        <item x="1440"/>
        <item x="778"/>
        <item x="934"/>
        <item x="506"/>
        <item x="1612"/>
        <item x="360"/>
        <item x="227"/>
        <item x="13"/>
        <item x="1558"/>
        <item x="1393"/>
        <item x="868"/>
        <item x="1112"/>
        <item x="314"/>
        <item x="36"/>
        <item x="1720"/>
        <item x="171"/>
        <item x="188"/>
        <item x="1425"/>
        <item x="1631"/>
        <item x="1237"/>
        <item t="default"/>
      </items>
    </pivotField>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5">
        <item x="0"/>
        <item x="2"/>
        <item x="1"/>
        <item x="3"/>
        <item t="default"/>
      </items>
    </pivotField>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sd="0" x="0"/>
        <item sd="0" x="1"/>
        <item sd="0" x="2"/>
        <item sd="0" x="4"/>
        <item sd="0" x="3"/>
        <item n="6-10" sd="0" x="5"/>
        <item n="11-87" sd="0" x="6"/>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2813BA-BFE7-4824-BA33-D02A4BB0575A}" name="quantity"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E10:F18" firstHeaderRow="1" firstDataRow="1"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items count="21">
        <item x="14"/>
        <item x="10"/>
        <item x="12"/>
        <item x="15"/>
        <item x="4"/>
        <item x="7"/>
        <item x="6"/>
        <item x="19"/>
        <item x="18"/>
        <item x="11"/>
        <item x="17"/>
        <item x="5"/>
        <item x="0"/>
        <item x="2"/>
        <item x="9"/>
        <item x="16"/>
        <item x="1"/>
        <item x="13"/>
        <item x="8"/>
        <item x="3"/>
        <item t="default"/>
      </items>
    </pivotField>
    <pivotField axis="axisRow"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items count="1765">
        <item x="0"/>
        <item x="432"/>
        <item x="1482"/>
        <item x="178"/>
        <item x="1436"/>
        <item x="239"/>
        <item x="591"/>
        <item x="1426"/>
        <item x="1021"/>
        <item x="283"/>
        <item x="1494"/>
        <item x="749"/>
        <item x="1609"/>
        <item x="248"/>
        <item x="135"/>
        <item x="836"/>
        <item x="832"/>
        <item x="1200"/>
        <item x="1600"/>
        <item x="1709"/>
        <item x="670"/>
        <item x="1492"/>
        <item x="134"/>
        <item x="447"/>
        <item x="688"/>
        <item x="1219"/>
        <item x="614"/>
        <item x="1137"/>
        <item x="132"/>
        <item x="190"/>
        <item x="1500"/>
        <item x="323"/>
        <item x="798"/>
        <item x="333"/>
        <item x="1429"/>
        <item x="1349"/>
        <item x="483"/>
        <item x="731"/>
        <item x="1084"/>
        <item x="258"/>
        <item x="968"/>
        <item x="525"/>
        <item x="249"/>
        <item x="1246"/>
        <item x="61"/>
        <item x="1695"/>
        <item x="772"/>
        <item x="126"/>
        <item x="1561"/>
        <item x="779"/>
        <item x="301"/>
        <item x="835"/>
        <item x="1057"/>
        <item x="1616"/>
        <item x="830"/>
        <item x="1644"/>
        <item x="202"/>
        <item x="1672"/>
        <item x="19"/>
        <item x="382"/>
        <item x="1441"/>
        <item x="1703"/>
        <item x="1191"/>
        <item x="601"/>
        <item x="1102"/>
        <item x="38"/>
        <item x="534"/>
        <item x="63"/>
        <item x="49"/>
        <item x="1116"/>
        <item x="1639"/>
        <item x="1637"/>
        <item x="879"/>
        <item x="293"/>
        <item x="425"/>
        <item x="1034"/>
        <item x="1076"/>
        <item x="1678"/>
        <item x="47"/>
        <item x="1493"/>
        <item x="242"/>
        <item x="928"/>
        <item x="1538"/>
        <item x="1642"/>
        <item x="558"/>
        <item x="1705"/>
        <item x="406"/>
        <item x="1323"/>
        <item x="1455"/>
        <item x="35"/>
        <item x="137"/>
        <item x="627"/>
        <item x="109"/>
        <item x="1158"/>
        <item x="390"/>
        <item x="1684"/>
        <item x="1229"/>
        <item x="944"/>
        <item x="860"/>
        <item x="940"/>
        <item x="698"/>
        <item x="1417"/>
        <item x="253"/>
        <item x="1680"/>
        <item x="1564"/>
        <item x="1222"/>
        <item x="607"/>
        <item x="1656"/>
        <item x="1580"/>
        <item x="1114"/>
        <item x="169"/>
        <item x="1553"/>
        <item x="1668"/>
        <item x="1657"/>
        <item x="519"/>
        <item x="72"/>
        <item x="1520"/>
        <item x="53"/>
        <item x="168"/>
        <item x="1277"/>
        <item x="547"/>
        <item x="329"/>
        <item x="791"/>
        <item x="1745"/>
        <item x="804"/>
        <item x="463"/>
        <item x="853"/>
        <item x="753"/>
        <item x="220"/>
        <item x="1139"/>
        <item x="1320"/>
        <item x="1732"/>
        <item x="923"/>
        <item x="496"/>
        <item x="864"/>
        <item x="736"/>
        <item x="341"/>
        <item x="144"/>
        <item x="165"/>
        <item x="282"/>
        <item x="518"/>
        <item x="1400"/>
        <item x="1117"/>
        <item x="1352"/>
        <item x="274"/>
        <item x="803"/>
        <item x="783"/>
        <item x="1184"/>
        <item x="504"/>
        <item x="1667"/>
        <item x="50"/>
        <item x="1712"/>
        <item x="480"/>
        <item x="1465"/>
        <item x="1151"/>
        <item x="337"/>
        <item x="1283"/>
        <item x="469"/>
        <item x="440"/>
        <item x="39"/>
        <item x="1286"/>
        <item x="181"/>
        <item x="1422"/>
        <item x="1195"/>
        <item x="328"/>
        <item x="1661"/>
        <item x="945"/>
        <item x="573"/>
        <item x="225"/>
        <item x="1456"/>
        <item x="438"/>
        <item x="938"/>
        <item x="583"/>
        <item x="1212"/>
        <item x="705"/>
        <item x="204"/>
        <item x="962"/>
        <item x="494"/>
        <item x="716"/>
        <item x="722"/>
        <item x="1063"/>
        <item x="516"/>
        <item x="434"/>
        <item x="1447"/>
        <item x="594"/>
        <item x="86"/>
        <item x="179"/>
        <item x="392"/>
        <item x="828"/>
        <item x="1601"/>
        <item x="538"/>
        <item x="510"/>
        <item x="959"/>
        <item x="1293"/>
        <item x="655"/>
        <item x="319"/>
        <item x="1247"/>
        <item x="51"/>
        <item x="268"/>
        <item x="528"/>
        <item x="1111"/>
        <item x="256"/>
        <item x="1474"/>
        <item x="500"/>
        <item x="1039"/>
        <item x="486"/>
        <item x="813"/>
        <item x="458"/>
        <item x="578"/>
        <item x="163"/>
        <item x="180"/>
        <item x="1045"/>
        <item x="937"/>
        <item x="733"/>
        <item x="964"/>
        <item x="954"/>
        <item x="1074"/>
        <item x="1692"/>
        <item x="475"/>
        <item x="1342"/>
        <item x="773"/>
        <item x="1559"/>
        <item x="413"/>
        <item x="1228"/>
        <item x="112"/>
        <item x="513"/>
        <item x="535"/>
        <item x="1557"/>
        <item x="287"/>
        <item x="1563"/>
        <item x="789"/>
        <item x="1309"/>
        <item x="1758"/>
        <item x="1260"/>
        <item x="1089"/>
        <item x="521"/>
        <item x="1364"/>
        <item x="630"/>
        <item x="1107"/>
        <item x="1539"/>
        <item x="1407"/>
        <item x="1090"/>
        <item x="252"/>
        <item x="898"/>
        <item x="291"/>
        <item x="6"/>
        <item x="466"/>
        <item x="102"/>
        <item x="1581"/>
        <item x="391"/>
        <item x="571"/>
        <item x="1007"/>
        <item x="1498"/>
        <item x="1640"/>
        <item x="933"/>
        <item x="472"/>
        <item x="473"/>
        <item x="1177"/>
        <item x="1281"/>
        <item x="1253"/>
        <item x="636"/>
        <item x="569"/>
        <item x="687"/>
        <item x="1356"/>
        <item x="1635"/>
        <item x="331"/>
        <item x="305"/>
        <item x="902"/>
        <item x="150"/>
        <item x="572"/>
        <item x="1242"/>
        <item x="1478"/>
        <item x="676"/>
        <item x="1100"/>
        <item x="254"/>
        <item x="1176"/>
        <item x="1201"/>
        <item x="1738"/>
        <item x="266"/>
        <item x="408"/>
        <item x="1035"/>
        <item x="1297"/>
        <item x="170"/>
        <item x="1"/>
        <item x="886"/>
        <item x="1085"/>
        <item x="834"/>
        <item x="546"/>
        <item x="957"/>
        <item x="85"/>
        <item x="1448"/>
        <item x="1197"/>
        <item x="1030"/>
        <item x="683"/>
        <item x="1016"/>
        <item x="143"/>
        <item x="1620"/>
        <item x="1220"/>
        <item x="1276"/>
        <item x="34"/>
        <item x="1005"/>
        <item x="1394"/>
        <item x="453"/>
        <item x="1099"/>
        <item x="1740"/>
        <item x="460"/>
        <item x="891"/>
        <item x="221"/>
        <item x="212"/>
        <item x="1481"/>
        <item x="499"/>
        <item x="511"/>
        <item x="812"/>
        <item x="387"/>
        <item x="1124"/>
        <item x="702"/>
        <item x="815"/>
        <item x="14"/>
        <item x="119"/>
        <item x="884"/>
        <item x="966"/>
        <item x="863"/>
        <item x="1476"/>
        <item x="693"/>
        <item x="509"/>
        <item x="821"/>
        <item x="418"/>
        <item x="745"/>
        <item x="1714"/>
        <item x="508"/>
        <item x="1043"/>
        <item x="564"/>
        <item x="59"/>
        <item x="299"/>
        <item x="1154"/>
        <item x="952"/>
        <item x="474"/>
        <item x="1549"/>
        <item x="1012"/>
        <item x="527"/>
        <item x="1664"/>
        <item x="184"/>
        <item x="1321"/>
        <item x="1013"/>
        <item x="660"/>
        <item x="1574"/>
        <item x="503"/>
        <item x="1289"/>
        <item x="623"/>
        <item x="1325"/>
        <item x="236"/>
        <item x="1285"/>
        <item x="936"/>
        <item x="1524"/>
        <item x="426"/>
        <item x="1517"/>
        <item x="800"/>
        <item x="372"/>
        <item x="1314"/>
        <item x="610"/>
        <item x="110"/>
        <item x="965"/>
        <item x="1734"/>
        <item x="611"/>
        <item x="495"/>
        <item x="108"/>
        <item x="1554"/>
        <item x="998"/>
        <item x="172"/>
        <item x="1488"/>
        <item x="1648"/>
        <item x="514"/>
        <item x="882"/>
        <item x="714"/>
        <item x="332"/>
        <item x="1721"/>
        <item x="445"/>
        <item x="1003"/>
        <item x="837"/>
        <item x="83"/>
        <item x="771"/>
        <item x="1598"/>
        <item x="1233"/>
        <item x="482"/>
        <item x="292"/>
        <item x="648"/>
        <item x="1148"/>
        <item x="166"/>
        <item x="1670"/>
        <item x="1645"/>
        <item x="491"/>
        <item x="1623"/>
        <item x="1608"/>
        <item x="1751"/>
        <item x="1113"/>
        <item x="84"/>
        <item x="1187"/>
        <item x="1589"/>
        <item x="479"/>
        <item x="1133"/>
        <item x="556"/>
        <item x="48"/>
        <item x="7"/>
        <item x="1687"/>
        <item x="41"/>
        <item x="1443"/>
        <item x="969"/>
        <item x="1101"/>
        <item x="1523"/>
        <item x="330"/>
        <item x="1135"/>
        <item x="673"/>
        <item x="1518"/>
        <item x="462"/>
        <item x="1182"/>
        <item x="470"/>
        <item x="707"/>
        <item x="925"/>
        <item x="681"/>
        <item x="433"/>
        <item x="1405"/>
        <item x="903"/>
        <item x="278"/>
        <item x="533"/>
        <item x="1274"/>
        <item x="1647"/>
        <item x="1331"/>
        <item x="464"/>
        <item x="825"/>
        <item x="1216"/>
        <item x="1172"/>
        <item x="550"/>
        <item x="1324"/>
        <item x="1024"/>
        <item x="1360"/>
        <item x="616"/>
        <item x="781"/>
        <item x="700"/>
        <item x="626"/>
        <item x="1053"/>
        <item x="640"/>
        <item x="631"/>
        <item x="697"/>
        <item x="485"/>
        <item x="1205"/>
        <item x="1155"/>
        <item x="1047"/>
        <item x="787"/>
        <item x="1605"/>
        <item x="1702"/>
        <item x="542"/>
        <item x="70"/>
        <item x="32"/>
        <item x="817"/>
        <item x="645"/>
        <item x="244"/>
        <item x="786"/>
        <item x="497"/>
        <item x="742"/>
        <item x="407"/>
        <item x="1270"/>
        <item x="411"/>
        <item x="1058"/>
        <item x="758"/>
        <item x="988"/>
        <item x="1152"/>
        <item x="974"/>
        <item x="1196"/>
        <item x="737"/>
        <item x="1487"/>
        <item x="1707"/>
        <item x="16"/>
        <item x="1261"/>
        <item x="64"/>
        <item x="1650"/>
        <item x="442"/>
        <item x="255"/>
        <item x="1467"/>
        <item x="725"/>
        <item x="234"/>
        <item x="422"/>
        <item x="415"/>
        <item x="296"/>
        <item x="233"/>
        <item x="139"/>
        <item x="802"/>
        <item x="586"/>
        <item x="854"/>
        <item x="219"/>
        <item x="334"/>
        <item x="1629"/>
        <item x="73"/>
        <item x="980"/>
        <item x="1757"/>
        <item x="451"/>
        <item x="647"/>
        <item x="131"/>
        <item x="68"/>
        <item x="11"/>
        <item x="196"/>
        <item x="1543"/>
        <item x="197"/>
        <item x="643"/>
        <item x="1033"/>
        <item x="1300"/>
        <item x="1569"/>
        <item x="1459"/>
        <item x="350"/>
        <item x="1638"/>
        <item x="1217"/>
        <item x="1326"/>
        <item x="862"/>
        <item x="427"/>
        <item x="90"/>
        <item x="95"/>
        <item x="855"/>
        <item x="1171"/>
        <item x="857"/>
        <item x="1681"/>
        <item x="530"/>
        <item x="1062"/>
        <item x="646"/>
        <item x="298"/>
        <item x="125"/>
        <item x="576"/>
        <item x="1223"/>
        <item x="186"/>
        <item x="1454"/>
        <item x="1389"/>
        <item x="748"/>
        <item x="199"/>
        <item x="1652"/>
        <item x="661"/>
        <item x="211"/>
        <item x="1049"/>
        <item x="852"/>
        <item x="568"/>
        <item x="142"/>
        <item x="101"/>
        <item x="872"/>
        <item x="793"/>
        <item x="619"/>
        <item x="694"/>
        <item x="1002"/>
        <item x="1511"/>
        <item x="799"/>
        <item x="1311"/>
        <item x="215"/>
        <item x="807"/>
        <item x="1061"/>
        <item x="939"/>
        <item x="10"/>
        <item x="1178"/>
        <item x="42"/>
        <item x="659"/>
        <item x="414"/>
        <item x="1239"/>
        <item x="17"/>
        <item x="81"/>
        <item x="918"/>
        <item x="579"/>
        <item x="806"/>
        <item x="622"/>
        <item x="1097"/>
        <item x="1483"/>
        <item x="883"/>
        <item x="1006"/>
        <item x="1534"/>
        <item x="881"/>
        <item x="794"/>
        <item x="158"/>
        <item x="380"/>
        <item x="548"/>
        <item x="1413"/>
        <item x="1129"/>
        <item x="247"/>
        <item x="1127"/>
        <item x="1575"/>
        <item x="717"/>
        <item x="1466"/>
        <item x="488"/>
        <item x="1449"/>
        <item x="311"/>
        <item x="574"/>
        <item x="1579"/>
        <item x="151"/>
        <item x="1484"/>
        <item x="100"/>
        <item x="446"/>
        <item x="1699"/>
        <item x="565"/>
        <item x="1622"/>
        <item x="726"/>
        <item x="1527"/>
        <item x="1737"/>
        <item x="833"/>
        <item x="557"/>
        <item x="841"/>
        <item x="1098"/>
        <item x="593"/>
        <item x="1250"/>
        <item x="193"/>
        <item x="1402"/>
        <item x="120"/>
        <item x="111"/>
        <item x="160"/>
        <item x="493"/>
        <item x="92"/>
        <item x="1710"/>
        <item x="297"/>
        <item x="1087"/>
        <item x="164"/>
        <item x="641"/>
        <item x="1296"/>
        <item x="384"/>
        <item x="544"/>
        <item x="949"/>
        <item x="1287"/>
        <item x="1432"/>
        <item x="1268"/>
        <item x="553"/>
        <item x="302"/>
        <item x="145"/>
        <item x="376"/>
        <item x="1109"/>
        <item x="570"/>
        <item x="52"/>
        <item x="1415"/>
        <item x="352"/>
        <item x="967"/>
        <item x="624"/>
        <item x="1555"/>
        <item x="628"/>
        <item x="888"/>
        <item x="1077"/>
        <item x="1208"/>
        <item x="1332"/>
        <item x="520"/>
        <item x="1071"/>
        <item x="823"/>
        <item x="1193"/>
        <item x="618"/>
        <item x="539"/>
        <item x="58"/>
        <item x="580"/>
        <item x="1403"/>
        <item x="309"/>
        <item x="769"/>
        <item x="385"/>
        <item x="632"/>
        <item x="1060"/>
        <item x="33"/>
        <item x="1583"/>
        <item x="848"/>
        <item x="1272"/>
        <item x="1249"/>
        <item x="1209"/>
        <item x="1423"/>
        <item x="955"/>
        <item x="431"/>
        <item x="979"/>
        <item x="927"/>
        <item x="1265"/>
        <item x="117"/>
        <item x="986"/>
        <item x="1567"/>
        <item x="260"/>
        <item x="30"/>
        <item x="981"/>
        <item x="1545"/>
        <item x="1597"/>
        <item x="1048"/>
        <item x="531"/>
        <item x="1093"/>
        <item x="340"/>
        <item x="246"/>
        <item x="685"/>
        <item x="1693"/>
        <item x="1411"/>
        <item x="336"/>
        <item x="1641"/>
        <item x="1134"/>
        <item x="517"/>
        <item x="1294"/>
        <item x="996"/>
        <item x="383"/>
        <item x="1068"/>
        <item x="1387"/>
        <item x="1730"/>
        <item x="1367"/>
        <item x="223"/>
        <item x="304"/>
        <item x="639"/>
        <item x="374"/>
        <item x="209"/>
        <item x="194"/>
        <item x="388"/>
        <item x="377"/>
        <item x="1457"/>
        <item x="1683"/>
        <item x="634"/>
        <item x="1762"/>
        <item x="381"/>
        <item x="684"/>
        <item x="1427"/>
        <item x="1038"/>
        <item x="780"/>
        <item x="932"/>
        <item x="1708"/>
        <item x="1175"/>
        <item x="60"/>
        <item x="1419"/>
        <item x="275"/>
        <item x="1298"/>
        <item x="1391"/>
        <item x="1489"/>
        <item x="897"/>
        <item x="1410"/>
        <item x="1096"/>
        <item x="625"/>
        <item x="613"/>
        <item x="1435"/>
        <item x="1262"/>
        <item x="353"/>
        <item x="1401"/>
        <item x="468"/>
        <item x="973"/>
        <item x="675"/>
        <item x="1626"/>
        <item x="1570"/>
        <item x="599"/>
        <item x="1718"/>
        <item x="1207"/>
        <item x="1363"/>
        <item x="1761"/>
        <item x="926"/>
        <item x="824"/>
        <item x="1224"/>
        <item x="203"/>
        <item x="1119"/>
        <item x="1753"/>
        <item x="956"/>
        <item x="1501"/>
        <item x="689"/>
        <item x="315"/>
        <item x="638"/>
        <item x="379"/>
        <item x="562"/>
        <item x="842"/>
        <item x="354"/>
        <item x="277"/>
        <item x="174"/>
        <item x="318"/>
        <item x="465"/>
        <item x="1621"/>
        <item x="1388"/>
        <item x="1634"/>
        <item x="1065"/>
        <item x="1618"/>
        <item x="1145"/>
        <item x="1330"/>
        <item x="1506"/>
        <item x="608"/>
        <item x="1399"/>
        <item x="55"/>
        <item x="1384"/>
        <item x="831"/>
        <item x="1120"/>
        <item x="1040"/>
        <item x="351"/>
        <item x="1230"/>
        <item x="515"/>
        <item x="1126"/>
        <item x="1733"/>
        <item x="1660"/>
        <item x="9"/>
        <item x="963"/>
        <item x="1588"/>
        <item x="1655"/>
        <item x="507"/>
        <item x="1022"/>
        <item x="905"/>
        <item x="739"/>
        <item x="1355"/>
        <item x="402"/>
        <item x="1329"/>
        <item x="409"/>
        <item x="1750"/>
        <item x="1344"/>
        <item x="444"/>
        <item x="250"/>
        <item x="950"/>
        <item x="1271"/>
        <item x="1530"/>
        <item x="811"/>
        <item x="759"/>
        <item x="154"/>
        <item x="1095"/>
        <item x="1157"/>
        <item x="915"/>
        <item x="435"/>
        <item x="1288"/>
        <item x="1164"/>
        <item x="1475"/>
        <item x="1128"/>
        <item x="838"/>
        <item x="1728"/>
        <item x="657"/>
        <item x="1183"/>
        <item x="522"/>
        <item x="1080"/>
        <item x="1759"/>
        <item x="1445"/>
        <item x="1537"/>
        <item x="312"/>
        <item x="1345"/>
        <item x="1251"/>
        <item x="1189"/>
        <item x="1256"/>
        <item x="701"/>
        <item x="762"/>
        <item x="606"/>
        <item x="589"/>
        <item x="1243"/>
        <item x="750"/>
        <item x="1713"/>
        <item x="66"/>
        <item x="1763"/>
        <item x="1603"/>
        <item x="1531"/>
        <item x="900"/>
        <item x="362"/>
        <item x="1026"/>
        <item x="612"/>
        <item x="393"/>
        <item x="4"/>
        <item x="1284"/>
        <item x="1691"/>
        <item x="307"/>
        <item x="443"/>
        <item x="727"/>
        <item x="1512"/>
        <item x="1522"/>
        <item x="595"/>
        <item x="231"/>
        <item x="826"/>
        <item x="187"/>
        <item x="162"/>
        <item x="775"/>
        <item x="893"/>
        <item x="1669"/>
        <item x="597"/>
        <item x="1434"/>
        <item x="889"/>
        <item x="1337"/>
        <item x="1619"/>
        <item x="1395"/>
        <item x="224"/>
        <item x="25"/>
        <item x="122"/>
        <item x="766"/>
        <item x="218"/>
        <item x="1525"/>
        <item x="1350"/>
        <item x="257"/>
        <item x="983"/>
        <item x="633"/>
        <item x="74"/>
        <item x="394"/>
        <item x="67"/>
        <item x="1020"/>
        <item x="1573"/>
        <item x="476"/>
        <item x="359"/>
        <item x="366"/>
        <item x="1565"/>
        <item x="1142"/>
        <item x="1275"/>
        <item x="1452"/>
        <item x="690"/>
        <item x="106"/>
        <item x="364"/>
        <item x="316"/>
        <item x="1596"/>
        <item x="1143"/>
        <item x="1180"/>
        <item x="1165"/>
        <item x="156"/>
        <item x="79"/>
        <item x="808"/>
        <item x="1173"/>
        <item x="412"/>
        <item x="827"/>
        <item x="1390"/>
        <item x="1458"/>
        <item x="885"/>
        <item x="620"/>
        <item x="975"/>
        <item x="455"/>
        <item x="1385"/>
        <item x="118"/>
        <item x="1001"/>
        <item x="1582"/>
        <item x="1131"/>
        <item x="1086"/>
        <item x="1372"/>
        <item x="1348"/>
        <item x="724"/>
        <item x="213"/>
        <item x="1451"/>
        <item x="796"/>
        <item x="1042"/>
        <item x="1343"/>
        <item x="529"/>
        <item x="345"/>
        <item x="261"/>
        <item x="1473"/>
        <item x="94"/>
        <item x="1174"/>
        <item x="280"/>
        <item x="1568"/>
        <item x="1327"/>
        <item x="243"/>
        <item x="338"/>
        <item x="756"/>
        <item x="1572"/>
        <item x="487"/>
        <item x="436"/>
        <item x="958"/>
        <item x="167"/>
        <item x="1192"/>
        <item x="1210"/>
        <item x="896"/>
        <item x="308"/>
        <item x="271"/>
        <item x="1519"/>
        <item x="420"/>
        <item x="861"/>
        <item x="763"/>
        <item x="152"/>
        <item x="228"/>
        <item x="577"/>
        <item x="977"/>
        <item x="294"/>
        <item x="214"/>
        <item x="403"/>
        <item x="877"/>
        <item x="1186"/>
        <item x="43"/>
        <item x="454"/>
        <item x="461"/>
        <item x="1428"/>
        <item x="904"/>
        <item x="140"/>
        <item x="1704"/>
        <item x="1416"/>
        <item x="922"/>
        <item x="549"/>
        <item x="1336"/>
        <item x="264"/>
        <item x="609"/>
        <item x="138"/>
        <item x="1130"/>
        <item x="1202"/>
        <item x="23"/>
        <item x="1168"/>
        <item x="667"/>
        <item x="1651"/>
        <item x="1066"/>
        <item x="230"/>
        <item x="801"/>
        <item x="267"/>
        <item x="1547"/>
        <item x="226"/>
        <item x="325"/>
        <item x="560"/>
        <item x="523"/>
        <item x="818"/>
        <item x="679"/>
        <item x="1431"/>
        <item x="1725"/>
        <item x="303"/>
        <item x="397"/>
        <item x="1094"/>
        <item x="206"/>
        <item x="1715"/>
        <item x="760"/>
        <item x="358"/>
        <item x="1722"/>
        <item x="991"/>
        <item x="1433"/>
        <item x="1479"/>
        <item x="1282"/>
        <item x="104"/>
        <item x="985"/>
        <item x="20"/>
        <item x="77"/>
        <item x="1199"/>
        <item x="1437"/>
        <item x="1055"/>
        <item x="765"/>
        <item x="1156"/>
        <item x="839"/>
        <item x="642"/>
        <item x="961"/>
        <item x="1169"/>
        <item x="692"/>
        <item x="1141"/>
        <item x="901"/>
        <item x="846"/>
        <item x="890"/>
        <item x="873"/>
        <item x="317"/>
        <item x="1009"/>
        <item x="776"/>
        <item x="1535"/>
        <item x="326"/>
        <item x="1675"/>
        <item x="65"/>
        <item x="662"/>
        <item x="129"/>
        <item x="416"/>
        <item x="1279"/>
        <item x="147"/>
        <item x="1686"/>
        <item x="27"/>
        <item x="1541"/>
        <item x="1167"/>
        <item x="822"/>
        <item x="1166"/>
        <item x="984"/>
        <item x="743"/>
        <item x="1404"/>
        <item x="1161"/>
        <item x="1359"/>
        <item x="217"/>
        <item x="615"/>
        <item x="757"/>
        <item x="123"/>
        <item x="976"/>
        <item x="1412"/>
        <item x="1706"/>
        <item x="1118"/>
        <item x="540"/>
        <item x="76"/>
        <item x="666"/>
        <item x="1069"/>
        <item x="1760"/>
        <item x="989"/>
        <item x="1551"/>
        <item x="78"/>
        <item x="237"/>
        <item x="1396"/>
        <item x="1365"/>
        <item x="1150"/>
        <item x="1248"/>
        <item x="987"/>
        <item x="342"/>
        <item x="1533"/>
        <item x="1723"/>
        <item x="1044"/>
        <item x="1234"/>
        <item x="805"/>
        <item x="1726"/>
        <item x="1231"/>
        <item x="1017"/>
        <item x="596"/>
        <item x="1316"/>
        <item x="262"/>
        <item x="719"/>
        <item x="441"/>
        <item x="672"/>
        <item x="1031"/>
        <item x="1204"/>
        <item x="598"/>
        <item x="1576"/>
        <item x="721"/>
        <item x="238"/>
        <item x="1310"/>
        <item x="1235"/>
        <item x="216"/>
        <item x="1624"/>
        <item x="543"/>
        <item x="1267"/>
        <item x="467"/>
        <item x="1679"/>
        <item x="1136"/>
        <item x="545"/>
        <item x="1206"/>
        <item x="816"/>
        <item x="1578"/>
        <item x="1586"/>
        <item x="103"/>
        <item x="1306"/>
        <item x="754"/>
        <item x="343"/>
        <item x="28"/>
        <item x="133"/>
        <item x="951"/>
        <item x="281"/>
        <item x="755"/>
        <item x="300"/>
        <item x="87"/>
        <item x="1371"/>
        <item x="1292"/>
        <item x="946"/>
        <item x="536"/>
        <item x="650"/>
        <item x="155"/>
        <item x="629"/>
        <item x="1468"/>
        <item x="1499"/>
        <item x="1486"/>
        <item x="195"/>
        <item x="600"/>
        <item x="1290"/>
        <item x="960"/>
        <item x="361"/>
        <item x="1104"/>
        <item x="175"/>
        <item x="1754"/>
        <item x="124"/>
        <item x="948"/>
        <item x="3"/>
        <item x="723"/>
        <item x="1685"/>
        <item x="1497"/>
        <item x="751"/>
        <item x="1370"/>
        <item x="1611"/>
        <item x="1317"/>
        <item x="1266"/>
        <item x="792"/>
        <item x="844"/>
        <item x="843"/>
        <item x="1439"/>
        <item x="357"/>
        <item x="1083"/>
        <item x="1546"/>
        <item x="1123"/>
        <item x="259"/>
        <item x="1430"/>
        <item x="88"/>
        <item x="1625"/>
        <item x="54"/>
        <item x="899"/>
        <item x="1291"/>
        <item x="1029"/>
        <item x="208"/>
        <item x="1633"/>
        <item x="907"/>
        <item x="819"/>
        <item x="1144"/>
        <item x="1340"/>
        <item x="313"/>
        <item x="1409"/>
        <item x="97"/>
        <item x="276"/>
        <item x="552"/>
        <item x="1614"/>
        <item x="917"/>
        <item x="788"/>
        <item x="585"/>
        <item x="584"/>
        <item x="1677"/>
        <item x="45"/>
        <item x="592"/>
        <item x="674"/>
        <item x="1073"/>
        <item x="1004"/>
        <item x="1420"/>
        <item x="423"/>
        <item x="770"/>
        <item x="990"/>
        <item x="29"/>
        <item x="1241"/>
        <item x="1125"/>
        <item x="346"/>
        <item x="537"/>
        <item x="1264"/>
        <item x="1375"/>
        <item x="1008"/>
        <item x="1122"/>
        <item x="232"/>
        <item x="452"/>
        <item x="1368"/>
        <item x="1140"/>
        <item x="1526"/>
        <item x="457"/>
        <item x="1121"/>
        <item x="1743"/>
        <item x="1381"/>
        <item x="1397"/>
        <item x="764"/>
        <item x="711"/>
        <item x="320"/>
        <item x="295"/>
        <item x="1221"/>
        <item x="909"/>
        <item x="1460"/>
        <item x="1341"/>
        <item x="1444"/>
        <item x="57"/>
        <item x="159"/>
        <item x="182"/>
        <item x="373"/>
        <item x="1542"/>
        <item x="982"/>
        <item x="1052"/>
        <item x="1591"/>
        <item x="994"/>
        <item x="728"/>
        <item x="80"/>
        <item x="729"/>
        <item x="1694"/>
        <item x="1508"/>
        <item x="395"/>
        <item x="1566"/>
        <item x="1188"/>
        <item x="1347"/>
        <item x="1226"/>
        <item x="567"/>
        <item x="289"/>
        <item x="161"/>
        <item x="279"/>
        <item x="1269"/>
        <item x="1671"/>
        <item x="15"/>
        <item x="1505"/>
        <item x="141"/>
        <item x="892"/>
        <item x="400"/>
        <item x="355"/>
        <item x="1418"/>
        <item x="851"/>
        <item x="1037"/>
        <item x="1075"/>
        <item x="502"/>
        <item x="752"/>
        <item x="1755"/>
        <item x="1480"/>
        <item x="1747"/>
        <item x="895"/>
        <item x="176"/>
        <item x="744"/>
        <item x="269"/>
        <item x="1011"/>
        <item x="46"/>
        <item x="997"/>
        <item x="99"/>
        <item x="1015"/>
        <item x="1198"/>
        <item x="1238"/>
        <item x="310"/>
        <item x="1604"/>
        <item x="1592"/>
        <item x="730"/>
        <item x="1244"/>
        <item x="347"/>
        <item x="1496"/>
        <item x="1041"/>
        <item x="1305"/>
        <item x="1308"/>
        <item x="356"/>
        <item x="582"/>
        <item x="191"/>
        <item x="1181"/>
        <item x="2"/>
        <item x="847"/>
        <item x="1334"/>
        <item x="1736"/>
        <item x="1630"/>
        <item x="1278"/>
        <item x="1358"/>
        <item x="477"/>
        <item x="335"/>
        <item x="849"/>
        <item x="189"/>
        <item x="850"/>
        <item x="1354"/>
        <item x="149"/>
        <item x="272"/>
        <item x="265"/>
        <item x="1617"/>
        <item x="1463"/>
        <item x="1382"/>
        <item x="449"/>
        <item x="720"/>
        <item x="734"/>
        <item x="370"/>
        <item x="1540"/>
        <item x="1153"/>
        <item x="992"/>
        <item x="953"/>
        <item x="894"/>
        <item x="869"/>
        <item x="1213"/>
        <item x="1108"/>
        <item x="1383"/>
        <item x="1491"/>
        <item x="1132"/>
        <item x="240"/>
        <item x="1584"/>
        <item x="1735"/>
        <item x="1185"/>
        <item x="931"/>
        <item x="26"/>
        <item x="1377"/>
        <item x="1602"/>
        <item x="1490"/>
        <item x="1036"/>
        <item x="146"/>
        <item x="880"/>
        <item x="1688"/>
        <item x="995"/>
        <item x="914"/>
        <item x="1607"/>
        <item x="1023"/>
        <item x="192"/>
        <item x="682"/>
        <item x="1357"/>
        <item x="658"/>
        <item x="1018"/>
        <item x="935"/>
        <item x="1528"/>
        <item x="644"/>
        <item x="1521"/>
        <item x="116"/>
        <item x="785"/>
        <item x="1556"/>
        <item x="1731"/>
        <item x="1560"/>
        <item x="177"/>
        <item x="386"/>
        <item x="450"/>
        <item x="1373"/>
        <item x="790"/>
        <item x="1516"/>
        <item x="867"/>
        <item x="912"/>
        <item x="1464"/>
        <item x="498"/>
        <item x="1322"/>
        <item x="93"/>
        <item x="1054"/>
        <item x="428"/>
        <item x="82"/>
        <item x="439"/>
        <item x="871"/>
        <item x="1378"/>
        <item x="1258"/>
        <item x="575"/>
        <item x="1653"/>
        <item x="715"/>
        <item x="1662"/>
        <item x="1613"/>
        <item x="1746"/>
        <item x="288"/>
        <item x="1590"/>
        <item x="1632"/>
        <item x="339"/>
        <item x="222"/>
        <item x="713"/>
        <item x="69"/>
        <item x="1105"/>
        <item x="235"/>
        <item x="590"/>
        <item x="942"/>
        <item x="8"/>
        <item x="424"/>
        <item x="459"/>
        <item x="1627"/>
        <item x="1091"/>
        <item x="501"/>
        <item x="1571"/>
        <item x="908"/>
        <item x="635"/>
        <item x="704"/>
        <item x="229"/>
        <item x="691"/>
        <item x="732"/>
        <item x="1711"/>
        <item x="668"/>
        <item x="1587"/>
        <item x="921"/>
        <item x="1515"/>
        <item x="130"/>
        <item x="1160"/>
        <item x="1051"/>
        <item x="375"/>
        <item x="856"/>
        <item x="18"/>
        <item x="1059"/>
        <item x="1259"/>
        <item x="489"/>
        <item x="1665"/>
        <item x="654"/>
        <item x="814"/>
        <item x="1211"/>
        <item x="1203"/>
        <item x="1366"/>
        <item x="1756"/>
        <item x="524"/>
        <item x="40"/>
        <item x="943"/>
        <item x="378"/>
        <item x="1159"/>
        <item x="1353"/>
        <item x="1424"/>
        <item x="1514"/>
        <item x="241"/>
        <item x="1406"/>
        <item x="1552"/>
        <item x="348"/>
        <item x="1227"/>
        <item x="245"/>
        <item x="1610"/>
        <item x="656"/>
        <item x="795"/>
        <item x="349"/>
        <item x="1335"/>
        <item x="1067"/>
        <item x="96"/>
        <item x="651"/>
        <item x="421"/>
        <item x="920"/>
        <item x="1392"/>
        <item x="173"/>
        <item x="916"/>
        <item x="978"/>
        <item x="709"/>
        <item x="603"/>
        <item x="148"/>
        <item x="327"/>
        <item x="887"/>
        <item x="1562"/>
        <item x="621"/>
        <item x="1214"/>
        <item x="512"/>
        <item x="1550"/>
        <item x="198"/>
        <item x="114"/>
        <item x="113"/>
        <item x="1742"/>
        <item x="1351"/>
        <item x="1236"/>
        <item x="1318"/>
        <item x="1115"/>
        <item x="797"/>
        <item x="1147"/>
        <item x="1301"/>
        <item x="1056"/>
        <item x="1000"/>
        <item x="1595"/>
        <item x="602"/>
        <item x="686"/>
        <item x="929"/>
        <item x="1674"/>
        <item x="1050"/>
        <item x="1502"/>
        <item x="941"/>
        <item x="840"/>
        <item x="784"/>
        <item x="1741"/>
        <item x="972"/>
        <item x="1749"/>
        <item x="1442"/>
        <item x="210"/>
        <item x="1700"/>
        <item x="865"/>
        <item x="1110"/>
        <item x="554"/>
        <item x="157"/>
        <item x="389"/>
        <item x="845"/>
        <item x="478"/>
        <item x="777"/>
        <item x="1339"/>
        <item x="1190"/>
        <item x="367"/>
        <item x="1701"/>
        <item x="911"/>
        <item x="1299"/>
        <item x="1504"/>
        <item x="559"/>
        <item x="37"/>
        <item x="322"/>
        <item x="1462"/>
        <item x="1380"/>
        <item x="71"/>
        <item x="878"/>
        <item x="605"/>
        <item x="1485"/>
        <item x="1304"/>
        <item x="971"/>
        <item x="200"/>
        <item x="1495"/>
        <item x="324"/>
        <item x="561"/>
        <item x="1469"/>
        <item x="1729"/>
        <item x="1028"/>
        <item x="263"/>
        <item x="1254"/>
        <item x="471"/>
        <item x="437"/>
        <item x="566"/>
        <item x="1470"/>
        <item x="1215"/>
        <item x="1414"/>
        <item x="746"/>
        <item x="1646"/>
        <item x="1149"/>
        <item x="44"/>
        <item x="1446"/>
        <item x="947"/>
        <item x="205"/>
        <item x="999"/>
        <item x="1507"/>
        <item x="678"/>
        <item x="207"/>
        <item x="121"/>
        <item x="1663"/>
        <item x="306"/>
        <item x="1717"/>
        <item x="430"/>
        <item x="21"/>
        <item x="251"/>
        <item x="286"/>
        <item x="273"/>
        <item x="1379"/>
        <item x="284"/>
        <item x="761"/>
        <item x="285"/>
        <item x="1697"/>
        <item x="1361"/>
        <item x="396"/>
        <item x="1014"/>
        <item x="1307"/>
        <item x="1544"/>
        <item x="866"/>
        <item x="1654"/>
        <item x="669"/>
        <item x="1046"/>
        <item x="105"/>
        <item x="930"/>
        <item x="1328"/>
        <item x="699"/>
        <item x="712"/>
        <item x="767"/>
        <item x="1146"/>
        <item x="1179"/>
        <item x="1319"/>
        <item x="637"/>
        <item x="970"/>
        <item x="696"/>
        <item x="1536"/>
        <item x="1315"/>
        <item x="321"/>
        <item x="1064"/>
        <item x="270"/>
        <item x="1138"/>
        <item x="924"/>
        <item x="1280"/>
        <item x="587"/>
        <item x="1092"/>
        <item x="484"/>
        <item x="782"/>
        <item x="747"/>
        <item x="876"/>
        <item x="1673"/>
        <item x="1666"/>
        <item x="1628"/>
        <item x="1374"/>
        <item x="541"/>
        <item x="1719"/>
        <item x="1472"/>
        <item x="1698"/>
        <item x="1255"/>
        <item x="1744"/>
        <item x="649"/>
        <item x="405"/>
        <item x="1716"/>
        <item x="1643"/>
        <item x="617"/>
        <item x="127"/>
        <item x="1081"/>
        <item x="735"/>
        <item x="581"/>
        <item x="1421"/>
        <item x="448"/>
        <item x="1503"/>
        <item x="810"/>
        <item x="1078"/>
        <item x="1362"/>
        <item x="680"/>
        <item x="24"/>
        <item x="708"/>
        <item x="1245"/>
        <item x="809"/>
        <item x="369"/>
        <item x="1689"/>
        <item x="1162"/>
        <item x="1346"/>
        <item x="1453"/>
        <item x="1072"/>
        <item x="1615"/>
        <item x="875"/>
        <item x="1513"/>
        <item x="1218"/>
        <item x="481"/>
        <item x="1019"/>
        <item x="401"/>
        <item x="1739"/>
        <item x="1593"/>
        <item x="874"/>
        <item x="1303"/>
        <item x="89"/>
        <item x="1376"/>
        <item x="1690"/>
        <item x="1748"/>
        <item x="1240"/>
        <item x="718"/>
        <item x="1369"/>
        <item x="91"/>
        <item x="1257"/>
        <item x="1252"/>
        <item x="906"/>
        <item x="1225"/>
        <item x="1163"/>
        <item x="1263"/>
        <item x="1636"/>
        <item x="56"/>
        <item x="1461"/>
        <item x="1659"/>
        <item x="1606"/>
        <item x="363"/>
        <item x="75"/>
        <item x="12"/>
        <item x="31"/>
        <item x="1594"/>
        <item x="136"/>
        <item x="532"/>
        <item x="738"/>
        <item x="1408"/>
        <item x="653"/>
        <item x="1471"/>
        <item x="1529"/>
        <item x="404"/>
        <item x="1752"/>
        <item x="1338"/>
        <item x="652"/>
        <item x="1088"/>
        <item x="153"/>
        <item x="1386"/>
        <item x="1079"/>
        <item x="344"/>
        <item x="185"/>
        <item x="913"/>
        <item x="371"/>
        <item x="820"/>
        <item x="710"/>
        <item x="1032"/>
        <item x="1070"/>
        <item x="417"/>
        <item x="5"/>
        <item x="671"/>
        <item x="910"/>
        <item x="368"/>
        <item x="526"/>
        <item x="183"/>
        <item x="1696"/>
        <item x="1727"/>
        <item x="1398"/>
        <item x="1577"/>
        <item x="1548"/>
        <item x="1532"/>
        <item x="695"/>
        <item x="551"/>
        <item x="492"/>
        <item x="410"/>
        <item x="1170"/>
        <item x="1649"/>
        <item x="1027"/>
        <item x="1682"/>
        <item x="829"/>
        <item x="665"/>
        <item x="115"/>
        <item x="399"/>
        <item x="774"/>
        <item x="993"/>
        <item x="1302"/>
        <item x="706"/>
        <item x="1599"/>
        <item x="1477"/>
        <item x="98"/>
        <item x="1585"/>
        <item x="677"/>
        <item x="858"/>
        <item x="1658"/>
        <item x="1025"/>
        <item x="664"/>
        <item x="1313"/>
        <item x="1333"/>
        <item x="62"/>
        <item x="1103"/>
        <item x="768"/>
        <item x="1232"/>
        <item x="859"/>
        <item x="1273"/>
        <item x="1010"/>
        <item x="1295"/>
        <item x="741"/>
        <item x="1450"/>
        <item x="703"/>
        <item x="919"/>
        <item x="1438"/>
        <item x="456"/>
        <item x="290"/>
        <item x="107"/>
        <item x="555"/>
        <item x="1194"/>
        <item x="563"/>
        <item x="398"/>
        <item x="1724"/>
        <item x="870"/>
        <item x="22"/>
        <item x="201"/>
        <item x="1082"/>
        <item x="128"/>
        <item x="1312"/>
        <item x="365"/>
        <item x="490"/>
        <item x="1510"/>
        <item x="740"/>
        <item x="505"/>
        <item x="588"/>
        <item x="1509"/>
        <item x="1106"/>
        <item x="419"/>
        <item x="429"/>
        <item x="604"/>
        <item x="663"/>
        <item x="1676"/>
        <item x="1440"/>
        <item x="778"/>
        <item x="934"/>
        <item x="506"/>
        <item x="1612"/>
        <item x="360"/>
        <item x="227"/>
        <item x="13"/>
        <item x="1558"/>
        <item x="1393"/>
        <item x="868"/>
        <item x="1112"/>
        <item x="314"/>
        <item x="36"/>
        <item x="1720"/>
        <item x="171"/>
        <item x="188"/>
        <item x="1425"/>
        <item x="1631"/>
        <item x="1237"/>
        <item t="default"/>
      </items>
    </pivotField>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6">
        <item x="0"/>
        <item x="3"/>
        <item x="4"/>
        <item x="2"/>
        <item x="1"/>
        <item t="default"/>
      </items>
    </pivotField>
    <pivotField showAll="0"/>
    <pivotField showAll="0"/>
    <pivotField showAll="0"/>
    <pivotField showAll="0">
      <items count="16">
        <item x="7"/>
        <item x="3"/>
        <item x="1"/>
        <item x="2"/>
        <item x="5"/>
        <item x="0"/>
        <item x="4"/>
        <item x="6"/>
        <item x="9"/>
        <item x="8"/>
        <item x="14"/>
        <item x="11"/>
        <item x="13"/>
        <item x="10"/>
        <item x="12"/>
        <item t="default"/>
      </items>
    </pivotField>
    <pivotField showAll="0">
      <items count="14">
        <item x="0"/>
        <item x="1"/>
        <item x="2"/>
        <item x="3"/>
        <item x="4"/>
        <item x="5"/>
        <item x="6"/>
        <item x="7"/>
        <item x="8"/>
        <item x="9"/>
        <item x="10"/>
        <item x="11"/>
        <item x="12"/>
        <item t="default"/>
      </items>
    </pivotField>
    <pivotField showAll="0">
      <items count="5">
        <item x="2"/>
        <item x="1"/>
        <item x="3"/>
        <item x="0"/>
        <item t="default"/>
      </items>
    </pivotField>
    <pivotField axis="axisRow" showAll="0">
      <items count="8">
        <item sd="0" x="0"/>
        <item sd="0" x="1"/>
        <item sd="0" x="2"/>
        <item sd="0" x="4"/>
        <item sd="0" x="3"/>
        <item n="6-10" sd="0" x="5"/>
        <item n="11-87" sd="0" x="6"/>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s>
  <rowFields count="2">
    <field x="15"/>
    <field x="2"/>
  </rowFields>
  <rowItems count="8">
    <i>
      <x/>
    </i>
    <i>
      <x v="1"/>
    </i>
    <i>
      <x v="2"/>
    </i>
    <i>
      <x v="3"/>
    </i>
    <i>
      <x v="4"/>
    </i>
    <i>
      <x v="5"/>
    </i>
    <i>
      <x v="6"/>
    </i>
    <i t="grand">
      <x/>
    </i>
  </rowItems>
  <colItems count="1">
    <i/>
  </colItems>
  <dataFields count="1">
    <dataField name="Count of TX ID" fld="0" subtotal="count"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9AB14B-F558-4AAC-B5EF-56BCF8298FE5}" name="amount sold"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0:C24" firstHeaderRow="0" firstDataRow="1" firstDataCol="1"/>
  <pivotFields count="18">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items count="1765">
        <item x="0"/>
        <item x="432"/>
        <item x="1482"/>
        <item x="178"/>
        <item x="1436"/>
        <item x="239"/>
        <item x="591"/>
        <item x="1426"/>
        <item x="1021"/>
        <item x="283"/>
        <item x="1494"/>
        <item x="749"/>
        <item x="1609"/>
        <item x="248"/>
        <item x="135"/>
        <item x="836"/>
        <item x="832"/>
        <item x="1200"/>
        <item x="1600"/>
        <item x="1709"/>
        <item x="670"/>
        <item x="1492"/>
        <item x="134"/>
        <item x="447"/>
        <item x="688"/>
        <item x="1219"/>
        <item x="614"/>
        <item x="1137"/>
        <item x="132"/>
        <item x="190"/>
        <item x="1500"/>
        <item x="323"/>
        <item x="798"/>
        <item x="333"/>
        <item x="1429"/>
        <item x="1349"/>
        <item x="483"/>
        <item x="731"/>
        <item x="1084"/>
        <item x="258"/>
        <item x="968"/>
        <item x="525"/>
        <item x="249"/>
        <item x="1246"/>
        <item x="61"/>
        <item x="1695"/>
        <item x="772"/>
        <item x="126"/>
        <item x="1561"/>
        <item x="779"/>
        <item x="301"/>
        <item x="835"/>
        <item x="1057"/>
        <item x="1616"/>
        <item x="830"/>
        <item x="1644"/>
        <item x="202"/>
        <item x="1672"/>
        <item x="19"/>
        <item x="382"/>
        <item x="1441"/>
        <item x="1703"/>
        <item x="1191"/>
        <item x="601"/>
        <item x="1102"/>
        <item x="38"/>
        <item x="534"/>
        <item x="63"/>
        <item x="49"/>
        <item x="1116"/>
        <item x="1639"/>
        <item x="1637"/>
        <item x="879"/>
        <item x="293"/>
        <item x="425"/>
        <item x="1034"/>
        <item x="1076"/>
        <item x="1678"/>
        <item x="47"/>
        <item x="1493"/>
        <item x="242"/>
        <item x="928"/>
        <item x="1538"/>
        <item x="1642"/>
        <item x="558"/>
        <item x="1705"/>
        <item x="406"/>
        <item x="1323"/>
        <item x="1455"/>
        <item x="35"/>
        <item x="137"/>
        <item x="627"/>
        <item x="109"/>
        <item x="1158"/>
        <item x="390"/>
        <item x="1684"/>
        <item x="1229"/>
        <item x="944"/>
        <item x="860"/>
        <item x="940"/>
        <item x="698"/>
        <item x="1417"/>
        <item x="253"/>
        <item x="1680"/>
        <item x="1564"/>
        <item x="1222"/>
        <item x="607"/>
        <item x="1656"/>
        <item x="1580"/>
        <item x="1114"/>
        <item x="169"/>
        <item x="1553"/>
        <item x="1668"/>
        <item x="1657"/>
        <item x="519"/>
        <item x="72"/>
        <item x="1520"/>
        <item x="53"/>
        <item x="168"/>
        <item x="1277"/>
        <item x="547"/>
        <item x="329"/>
        <item x="791"/>
        <item x="1745"/>
        <item x="804"/>
        <item x="463"/>
        <item x="853"/>
        <item x="753"/>
        <item x="220"/>
        <item x="1139"/>
        <item x="1320"/>
        <item x="1732"/>
        <item x="923"/>
        <item x="496"/>
        <item x="864"/>
        <item x="736"/>
        <item x="341"/>
        <item x="144"/>
        <item x="165"/>
        <item x="282"/>
        <item x="518"/>
        <item x="1400"/>
        <item x="1117"/>
        <item x="1352"/>
        <item x="274"/>
        <item x="803"/>
        <item x="783"/>
        <item x="1184"/>
        <item x="504"/>
        <item x="1667"/>
        <item x="50"/>
        <item x="1712"/>
        <item x="480"/>
        <item x="1465"/>
        <item x="1151"/>
        <item x="337"/>
        <item x="1283"/>
        <item x="469"/>
        <item x="440"/>
        <item x="39"/>
        <item x="1286"/>
        <item x="181"/>
        <item x="1422"/>
        <item x="1195"/>
        <item x="328"/>
        <item x="1661"/>
        <item x="945"/>
        <item x="573"/>
        <item x="225"/>
        <item x="1456"/>
        <item x="438"/>
        <item x="938"/>
        <item x="583"/>
        <item x="1212"/>
        <item x="705"/>
        <item x="204"/>
        <item x="962"/>
        <item x="494"/>
        <item x="716"/>
        <item x="722"/>
        <item x="1063"/>
        <item x="516"/>
        <item x="434"/>
        <item x="1447"/>
        <item x="594"/>
        <item x="86"/>
        <item x="179"/>
        <item x="392"/>
        <item x="828"/>
        <item x="1601"/>
        <item x="538"/>
        <item x="510"/>
        <item x="959"/>
        <item x="1293"/>
        <item x="655"/>
        <item x="319"/>
        <item x="1247"/>
        <item x="51"/>
        <item x="268"/>
        <item x="528"/>
        <item x="1111"/>
        <item x="256"/>
        <item x="1474"/>
        <item x="500"/>
        <item x="1039"/>
        <item x="486"/>
        <item x="813"/>
        <item x="458"/>
        <item x="578"/>
        <item x="163"/>
        <item x="180"/>
        <item x="1045"/>
        <item x="937"/>
        <item x="733"/>
        <item x="964"/>
        <item x="954"/>
        <item x="1074"/>
        <item x="1692"/>
        <item x="475"/>
        <item x="1342"/>
        <item x="773"/>
        <item x="1559"/>
        <item x="413"/>
        <item x="1228"/>
        <item x="112"/>
        <item x="513"/>
        <item x="535"/>
        <item x="1557"/>
        <item x="287"/>
        <item x="1563"/>
        <item x="789"/>
        <item x="1309"/>
        <item x="1758"/>
        <item x="1260"/>
        <item x="1089"/>
        <item x="521"/>
        <item x="1364"/>
        <item x="630"/>
        <item x="1107"/>
        <item x="1539"/>
        <item x="1407"/>
        <item x="1090"/>
        <item x="252"/>
        <item x="898"/>
        <item x="291"/>
        <item x="6"/>
        <item x="466"/>
        <item x="102"/>
        <item x="1581"/>
        <item x="391"/>
        <item x="571"/>
        <item x="1007"/>
        <item x="1498"/>
        <item x="1640"/>
        <item x="933"/>
        <item x="472"/>
        <item x="473"/>
        <item x="1177"/>
        <item x="1281"/>
        <item x="1253"/>
        <item x="636"/>
        <item x="569"/>
        <item x="687"/>
        <item x="1356"/>
        <item x="1635"/>
        <item x="331"/>
        <item x="305"/>
        <item x="902"/>
        <item x="150"/>
        <item x="572"/>
        <item x="1242"/>
        <item x="1478"/>
        <item x="676"/>
        <item x="1100"/>
        <item x="254"/>
        <item x="1176"/>
        <item x="1201"/>
        <item x="1738"/>
        <item x="266"/>
        <item x="408"/>
        <item x="1035"/>
        <item x="1297"/>
        <item x="170"/>
        <item x="1"/>
        <item x="886"/>
        <item x="1085"/>
        <item x="834"/>
        <item x="546"/>
        <item x="957"/>
        <item x="85"/>
        <item x="1448"/>
        <item x="1197"/>
        <item x="1030"/>
        <item x="683"/>
        <item x="1016"/>
        <item x="143"/>
        <item x="1620"/>
        <item x="1220"/>
        <item x="1276"/>
        <item x="34"/>
        <item x="1005"/>
        <item x="1394"/>
        <item x="453"/>
        <item x="1099"/>
        <item x="1740"/>
        <item x="460"/>
        <item x="891"/>
        <item x="221"/>
        <item x="212"/>
        <item x="1481"/>
        <item x="499"/>
        <item x="511"/>
        <item x="812"/>
        <item x="387"/>
        <item x="1124"/>
        <item x="702"/>
        <item x="815"/>
        <item x="14"/>
        <item x="119"/>
        <item x="884"/>
        <item x="966"/>
        <item x="863"/>
        <item x="1476"/>
        <item x="693"/>
        <item x="509"/>
        <item x="821"/>
        <item x="418"/>
        <item x="745"/>
        <item x="1714"/>
        <item x="508"/>
        <item x="1043"/>
        <item x="564"/>
        <item x="59"/>
        <item x="299"/>
        <item x="1154"/>
        <item x="952"/>
        <item x="474"/>
        <item x="1549"/>
        <item x="1012"/>
        <item x="527"/>
        <item x="1664"/>
        <item x="184"/>
        <item x="1321"/>
        <item x="1013"/>
        <item x="660"/>
        <item x="1574"/>
        <item x="503"/>
        <item x="1289"/>
        <item x="623"/>
        <item x="1325"/>
        <item x="236"/>
        <item x="1285"/>
        <item x="936"/>
        <item x="1524"/>
        <item x="426"/>
        <item x="1517"/>
        <item x="800"/>
        <item x="372"/>
        <item x="1314"/>
        <item x="610"/>
        <item x="110"/>
        <item x="965"/>
        <item x="1734"/>
        <item x="611"/>
        <item x="495"/>
        <item x="108"/>
        <item x="1554"/>
        <item x="998"/>
        <item x="172"/>
        <item x="1488"/>
        <item x="1648"/>
        <item x="514"/>
        <item x="882"/>
        <item x="714"/>
        <item x="332"/>
        <item x="1721"/>
        <item x="445"/>
        <item x="1003"/>
        <item x="837"/>
        <item x="83"/>
        <item x="771"/>
        <item x="1598"/>
        <item x="1233"/>
        <item x="482"/>
        <item x="292"/>
        <item x="648"/>
        <item x="1148"/>
        <item x="166"/>
        <item x="1670"/>
        <item x="1645"/>
        <item x="491"/>
        <item x="1623"/>
        <item x="1608"/>
        <item x="1751"/>
        <item x="1113"/>
        <item x="84"/>
        <item x="1187"/>
        <item x="1589"/>
        <item x="479"/>
        <item x="1133"/>
        <item x="556"/>
        <item x="48"/>
        <item x="7"/>
        <item x="1687"/>
        <item x="41"/>
        <item x="1443"/>
        <item x="969"/>
        <item x="1101"/>
        <item x="1523"/>
        <item x="330"/>
        <item x="1135"/>
        <item x="673"/>
        <item x="1518"/>
        <item x="462"/>
        <item x="1182"/>
        <item x="470"/>
        <item x="707"/>
        <item x="925"/>
        <item x="681"/>
        <item x="433"/>
        <item x="1405"/>
        <item x="903"/>
        <item x="278"/>
        <item x="533"/>
        <item x="1274"/>
        <item x="1647"/>
        <item x="1331"/>
        <item x="464"/>
        <item x="825"/>
        <item x="1216"/>
        <item x="1172"/>
        <item x="550"/>
        <item x="1324"/>
        <item x="1024"/>
        <item x="1360"/>
        <item x="616"/>
        <item x="781"/>
        <item x="700"/>
        <item x="626"/>
        <item x="1053"/>
        <item x="640"/>
        <item x="631"/>
        <item x="697"/>
        <item x="485"/>
        <item x="1205"/>
        <item x="1155"/>
        <item x="1047"/>
        <item x="787"/>
        <item x="1605"/>
        <item x="1702"/>
        <item x="542"/>
        <item x="70"/>
        <item x="32"/>
        <item x="817"/>
        <item x="645"/>
        <item x="244"/>
        <item x="786"/>
        <item x="497"/>
        <item x="742"/>
        <item x="407"/>
        <item x="1270"/>
        <item x="411"/>
        <item x="1058"/>
        <item x="758"/>
        <item x="988"/>
        <item x="1152"/>
        <item x="974"/>
        <item x="1196"/>
        <item x="737"/>
        <item x="1487"/>
        <item x="1707"/>
        <item x="16"/>
        <item x="1261"/>
        <item x="64"/>
        <item x="1650"/>
        <item x="442"/>
        <item x="255"/>
        <item x="1467"/>
        <item x="725"/>
        <item x="234"/>
        <item x="422"/>
        <item x="415"/>
        <item x="296"/>
        <item x="233"/>
        <item x="139"/>
        <item x="802"/>
        <item x="586"/>
        <item x="854"/>
        <item x="219"/>
        <item x="334"/>
        <item x="1629"/>
        <item x="73"/>
        <item x="980"/>
        <item x="1757"/>
        <item x="451"/>
        <item x="647"/>
        <item x="131"/>
        <item x="68"/>
        <item x="11"/>
        <item x="196"/>
        <item x="1543"/>
        <item x="197"/>
        <item x="643"/>
        <item x="1033"/>
        <item x="1300"/>
        <item x="1569"/>
        <item x="1459"/>
        <item x="350"/>
        <item x="1638"/>
        <item x="1217"/>
        <item x="1326"/>
        <item x="862"/>
        <item x="427"/>
        <item x="90"/>
        <item x="95"/>
        <item x="855"/>
        <item x="1171"/>
        <item x="857"/>
        <item x="1681"/>
        <item x="530"/>
        <item x="1062"/>
        <item x="646"/>
        <item x="298"/>
        <item x="125"/>
        <item x="576"/>
        <item x="1223"/>
        <item x="186"/>
        <item x="1454"/>
        <item x="1389"/>
        <item x="748"/>
        <item x="199"/>
        <item x="1652"/>
        <item x="661"/>
        <item x="211"/>
        <item x="1049"/>
        <item x="852"/>
        <item x="568"/>
        <item x="142"/>
        <item x="101"/>
        <item x="872"/>
        <item x="793"/>
        <item x="619"/>
        <item x="694"/>
        <item x="1002"/>
        <item x="1511"/>
        <item x="799"/>
        <item x="1311"/>
        <item x="215"/>
        <item x="807"/>
        <item x="1061"/>
        <item x="939"/>
        <item x="10"/>
        <item x="1178"/>
        <item x="42"/>
        <item x="659"/>
        <item x="414"/>
        <item x="1239"/>
        <item x="17"/>
        <item x="81"/>
        <item x="918"/>
        <item x="579"/>
        <item x="806"/>
        <item x="622"/>
        <item x="1097"/>
        <item x="1483"/>
        <item x="883"/>
        <item x="1006"/>
        <item x="1534"/>
        <item x="881"/>
        <item x="794"/>
        <item x="158"/>
        <item x="380"/>
        <item x="548"/>
        <item x="1413"/>
        <item x="1129"/>
        <item x="247"/>
        <item x="1127"/>
        <item x="1575"/>
        <item x="717"/>
        <item x="1466"/>
        <item x="488"/>
        <item x="1449"/>
        <item x="311"/>
        <item x="574"/>
        <item x="1579"/>
        <item x="151"/>
        <item x="1484"/>
        <item x="100"/>
        <item x="446"/>
        <item x="1699"/>
        <item x="565"/>
        <item x="1622"/>
        <item x="726"/>
        <item x="1527"/>
        <item x="1737"/>
        <item x="833"/>
        <item x="557"/>
        <item x="841"/>
        <item x="1098"/>
        <item x="593"/>
        <item x="1250"/>
        <item x="193"/>
        <item x="1402"/>
        <item x="120"/>
        <item x="111"/>
        <item x="160"/>
        <item x="493"/>
        <item x="92"/>
        <item x="1710"/>
        <item x="297"/>
        <item x="1087"/>
        <item x="164"/>
        <item x="641"/>
        <item x="1296"/>
        <item x="384"/>
        <item x="544"/>
        <item x="949"/>
        <item x="1287"/>
        <item x="1432"/>
        <item x="1268"/>
        <item x="553"/>
        <item x="302"/>
        <item x="145"/>
        <item x="376"/>
        <item x="1109"/>
        <item x="570"/>
        <item x="52"/>
        <item x="1415"/>
        <item x="352"/>
        <item x="967"/>
        <item x="624"/>
        <item x="1555"/>
        <item x="628"/>
        <item x="888"/>
        <item x="1077"/>
        <item x="1208"/>
        <item x="1332"/>
        <item x="520"/>
        <item x="1071"/>
        <item x="823"/>
        <item x="1193"/>
        <item x="618"/>
        <item x="539"/>
        <item x="58"/>
        <item x="580"/>
        <item x="1403"/>
        <item x="309"/>
        <item x="769"/>
        <item x="385"/>
        <item x="632"/>
        <item x="1060"/>
        <item x="33"/>
        <item x="1583"/>
        <item x="848"/>
        <item x="1272"/>
        <item x="1249"/>
        <item x="1209"/>
        <item x="1423"/>
        <item x="955"/>
        <item x="431"/>
        <item x="979"/>
        <item x="927"/>
        <item x="1265"/>
        <item x="117"/>
        <item x="986"/>
        <item x="1567"/>
        <item x="260"/>
        <item x="30"/>
        <item x="981"/>
        <item x="1545"/>
        <item x="1597"/>
        <item x="1048"/>
        <item x="531"/>
        <item x="1093"/>
        <item x="340"/>
        <item x="246"/>
        <item x="685"/>
        <item x="1693"/>
        <item x="1411"/>
        <item x="336"/>
        <item x="1641"/>
        <item x="1134"/>
        <item x="517"/>
        <item x="1294"/>
        <item x="996"/>
        <item x="383"/>
        <item x="1068"/>
        <item x="1387"/>
        <item x="1730"/>
        <item x="1367"/>
        <item x="223"/>
        <item x="304"/>
        <item x="639"/>
        <item x="374"/>
        <item x="209"/>
        <item x="194"/>
        <item x="388"/>
        <item x="377"/>
        <item x="1457"/>
        <item x="1683"/>
        <item x="634"/>
        <item x="1762"/>
        <item x="381"/>
        <item x="684"/>
        <item x="1427"/>
        <item x="1038"/>
        <item x="780"/>
        <item x="932"/>
        <item x="1708"/>
        <item x="1175"/>
        <item x="60"/>
        <item x="1419"/>
        <item x="275"/>
        <item x="1298"/>
        <item x="1391"/>
        <item x="1489"/>
        <item x="897"/>
        <item x="1410"/>
        <item x="1096"/>
        <item x="625"/>
        <item x="613"/>
        <item x="1435"/>
        <item x="1262"/>
        <item x="353"/>
        <item x="1401"/>
        <item x="468"/>
        <item x="973"/>
        <item x="675"/>
        <item x="1626"/>
        <item x="1570"/>
        <item x="599"/>
        <item x="1718"/>
        <item x="1207"/>
        <item x="1363"/>
        <item x="1761"/>
        <item x="926"/>
        <item x="824"/>
        <item x="1224"/>
        <item x="203"/>
        <item x="1119"/>
        <item x="1753"/>
        <item x="956"/>
        <item x="1501"/>
        <item x="689"/>
        <item x="315"/>
        <item x="638"/>
        <item x="379"/>
        <item x="562"/>
        <item x="842"/>
        <item x="354"/>
        <item x="277"/>
        <item x="174"/>
        <item x="318"/>
        <item x="465"/>
        <item x="1621"/>
        <item x="1388"/>
        <item x="1634"/>
        <item x="1065"/>
        <item x="1618"/>
        <item x="1145"/>
        <item x="1330"/>
        <item x="1506"/>
        <item x="608"/>
        <item x="1399"/>
        <item x="55"/>
        <item x="1384"/>
        <item x="831"/>
        <item x="1120"/>
        <item x="1040"/>
        <item x="351"/>
        <item x="1230"/>
        <item x="515"/>
        <item x="1126"/>
        <item x="1733"/>
        <item x="1660"/>
        <item x="9"/>
        <item x="963"/>
        <item x="1588"/>
        <item x="1655"/>
        <item x="507"/>
        <item x="1022"/>
        <item x="905"/>
        <item x="739"/>
        <item x="1355"/>
        <item x="402"/>
        <item x="1329"/>
        <item x="409"/>
        <item x="1750"/>
        <item x="1344"/>
        <item x="444"/>
        <item x="250"/>
        <item x="950"/>
        <item x="1271"/>
        <item x="1530"/>
        <item x="811"/>
        <item x="759"/>
        <item x="154"/>
        <item x="1095"/>
        <item x="1157"/>
        <item x="915"/>
        <item x="435"/>
        <item x="1288"/>
        <item x="1164"/>
        <item x="1475"/>
        <item x="1128"/>
        <item x="838"/>
        <item x="1728"/>
        <item x="657"/>
        <item x="1183"/>
        <item x="522"/>
        <item x="1080"/>
        <item x="1759"/>
        <item x="1445"/>
        <item x="1537"/>
        <item x="312"/>
        <item x="1345"/>
        <item x="1251"/>
        <item x="1189"/>
        <item x="1256"/>
        <item x="701"/>
        <item x="762"/>
        <item x="606"/>
        <item x="589"/>
        <item x="1243"/>
        <item x="750"/>
        <item x="1713"/>
        <item x="66"/>
        <item x="1763"/>
        <item x="1603"/>
        <item x="1531"/>
        <item x="900"/>
        <item x="362"/>
        <item x="1026"/>
        <item x="612"/>
        <item x="393"/>
        <item x="4"/>
        <item x="1284"/>
        <item x="1691"/>
        <item x="307"/>
        <item x="443"/>
        <item x="727"/>
        <item x="1512"/>
        <item x="1522"/>
        <item x="595"/>
        <item x="231"/>
        <item x="826"/>
        <item x="187"/>
        <item x="162"/>
        <item x="775"/>
        <item x="893"/>
        <item x="1669"/>
        <item x="597"/>
        <item x="1434"/>
        <item x="889"/>
        <item x="1337"/>
        <item x="1619"/>
        <item x="1395"/>
        <item x="224"/>
        <item x="25"/>
        <item x="122"/>
        <item x="766"/>
        <item x="218"/>
        <item x="1525"/>
        <item x="1350"/>
        <item x="257"/>
        <item x="983"/>
        <item x="633"/>
        <item x="74"/>
        <item x="394"/>
        <item x="67"/>
        <item x="1020"/>
        <item x="1573"/>
        <item x="476"/>
        <item x="359"/>
        <item x="366"/>
        <item x="1565"/>
        <item x="1142"/>
        <item x="1275"/>
        <item x="1452"/>
        <item x="690"/>
        <item x="106"/>
        <item x="364"/>
        <item x="316"/>
        <item x="1596"/>
        <item x="1143"/>
        <item x="1180"/>
        <item x="1165"/>
        <item x="156"/>
        <item x="79"/>
        <item x="808"/>
        <item x="1173"/>
        <item x="412"/>
        <item x="827"/>
        <item x="1390"/>
        <item x="1458"/>
        <item x="885"/>
        <item x="620"/>
        <item x="975"/>
        <item x="455"/>
        <item x="1385"/>
        <item x="118"/>
        <item x="1001"/>
        <item x="1582"/>
        <item x="1131"/>
        <item x="1086"/>
        <item x="1372"/>
        <item x="1348"/>
        <item x="724"/>
        <item x="213"/>
        <item x="1451"/>
        <item x="796"/>
        <item x="1042"/>
        <item x="1343"/>
        <item x="529"/>
        <item x="345"/>
        <item x="261"/>
        <item x="1473"/>
        <item x="94"/>
        <item x="1174"/>
        <item x="280"/>
        <item x="1568"/>
        <item x="1327"/>
        <item x="243"/>
        <item x="338"/>
        <item x="756"/>
        <item x="1572"/>
        <item x="487"/>
        <item x="436"/>
        <item x="958"/>
        <item x="167"/>
        <item x="1192"/>
        <item x="1210"/>
        <item x="896"/>
        <item x="308"/>
        <item x="271"/>
        <item x="1519"/>
        <item x="420"/>
        <item x="861"/>
        <item x="763"/>
        <item x="152"/>
        <item x="228"/>
        <item x="577"/>
        <item x="977"/>
        <item x="294"/>
        <item x="214"/>
        <item x="403"/>
        <item x="877"/>
        <item x="1186"/>
        <item x="43"/>
        <item x="454"/>
        <item x="461"/>
        <item x="1428"/>
        <item x="904"/>
        <item x="140"/>
        <item x="1704"/>
        <item x="1416"/>
        <item x="922"/>
        <item x="549"/>
        <item x="1336"/>
        <item x="264"/>
        <item x="609"/>
        <item x="138"/>
        <item x="1130"/>
        <item x="1202"/>
        <item x="23"/>
        <item x="1168"/>
        <item x="667"/>
        <item x="1651"/>
        <item x="1066"/>
        <item x="230"/>
        <item x="801"/>
        <item x="267"/>
        <item x="1547"/>
        <item x="226"/>
        <item x="325"/>
        <item x="560"/>
        <item x="523"/>
        <item x="818"/>
        <item x="679"/>
        <item x="1431"/>
        <item x="1725"/>
        <item x="303"/>
        <item x="397"/>
        <item x="1094"/>
        <item x="206"/>
        <item x="1715"/>
        <item x="760"/>
        <item x="358"/>
        <item x="1722"/>
        <item x="991"/>
        <item x="1433"/>
        <item x="1479"/>
        <item x="1282"/>
        <item x="104"/>
        <item x="985"/>
        <item x="20"/>
        <item x="77"/>
        <item x="1199"/>
        <item x="1437"/>
        <item x="1055"/>
        <item x="765"/>
        <item x="1156"/>
        <item x="839"/>
        <item x="642"/>
        <item x="961"/>
        <item x="1169"/>
        <item x="692"/>
        <item x="1141"/>
        <item x="901"/>
        <item x="846"/>
        <item x="890"/>
        <item x="873"/>
        <item x="317"/>
        <item x="1009"/>
        <item x="776"/>
        <item x="1535"/>
        <item x="326"/>
        <item x="1675"/>
        <item x="65"/>
        <item x="662"/>
        <item x="129"/>
        <item x="416"/>
        <item x="1279"/>
        <item x="147"/>
        <item x="1686"/>
        <item x="27"/>
        <item x="1541"/>
        <item x="1167"/>
        <item x="822"/>
        <item x="1166"/>
        <item x="984"/>
        <item x="743"/>
        <item x="1404"/>
        <item x="1161"/>
        <item x="1359"/>
        <item x="217"/>
        <item x="615"/>
        <item x="757"/>
        <item x="123"/>
        <item x="976"/>
        <item x="1412"/>
        <item x="1706"/>
        <item x="1118"/>
        <item x="540"/>
        <item x="76"/>
        <item x="666"/>
        <item x="1069"/>
        <item x="1760"/>
        <item x="989"/>
        <item x="1551"/>
        <item x="78"/>
        <item x="237"/>
        <item x="1396"/>
        <item x="1365"/>
        <item x="1150"/>
        <item x="1248"/>
        <item x="987"/>
        <item x="342"/>
        <item x="1533"/>
        <item x="1723"/>
        <item x="1044"/>
        <item x="1234"/>
        <item x="805"/>
        <item x="1726"/>
        <item x="1231"/>
        <item x="1017"/>
        <item x="596"/>
        <item x="1316"/>
        <item x="262"/>
        <item x="719"/>
        <item x="441"/>
        <item x="672"/>
        <item x="1031"/>
        <item x="1204"/>
        <item x="598"/>
        <item x="1576"/>
        <item x="721"/>
        <item x="238"/>
        <item x="1310"/>
        <item x="1235"/>
        <item x="216"/>
        <item x="1624"/>
        <item x="543"/>
        <item x="1267"/>
        <item x="467"/>
        <item x="1679"/>
        <item x="1136"/>
        <item x="545"/>
        <item x="1206"/>
        <item x="816"/>
        <item x="1578"/>
        <item x="1586"/>
        <item x="103"/>
        <item x="1306"/>
        <item x="754"/>
        <item x="343"/>
        <item x="28"/>
        <item x="133"/>
        <item x="951"/>
        <item x="281"/>
        <item x="755"/>
        <item x="300"/>
        <item x="87"/>
        <item x="1371"/>
        <item x="1292"/>
        <item x="946"/>
        <item x="536"/>
        <item x="650"/>
        <item x="155"/>
        <item x="629"/>
        <item x="1468"/>
        <item x="1499"/>
        <item x="1486"/>
        <item x="195"/>
        <item x="600"/>
        <item x="1290"/>
        <item x="960"/>
        <item x="361"/>
        <item x="1104"/>
        <item x="175"/>
        <item x="1754"/>
        <item x="124"/>
        <item x="948"/>
        <item x="3"/>
        <item x="723"/>
        <item x="1685"/>
        <item x="1497"/>
        <item x="751"/>
        <item x="1370"/>
        <item x="1611"/>
        <item x="1317"/>
        <item x="1266"/>
        <item x="792"/>
        <item x="844"/>
        <item x="843"/>
        <item x="1439"/>
        <item x="357"/>
        <item x="1083"/>
        <item x="1546"/>
        <item x="1123"/>
        <item x="259"/>
        <item x="1430"/>
        <item x="88"/>
        <item x="1625"/>
        <item x="54"/>
        <item x="899"/>
        <item x="1291"/>
        <item x="1029"/>
        <item x="208"/>
        <item x="1633"/>
        <item x="907"/>
        <item x="819"/>
        <item x="1144"/>
        <item x="1340"/>
        <item x="313"/>
        <item x="1409"/>
        <item x="97"/>
        <item x="276"/>
        <item x="552"/>
        <item x="1614"/>
        <item x="917"/>
        <item x="788"/>
        <item x="585"/>
        <item x="584"/>
        <item x="1677"/>
        <item x="45"/>
        <item x="592"/>
        <item x="674"/>
        <item x="1073"/>
        <item x="1004"/>
        <item x="1420"/>
        <item x="423"/>
        <item x="770"/>
        <item x="990"/>
        <item x="29"/>
        <item x="1241"/>
        <item x="1125"/>
        <item x="346"/>
        <item x="537"/>
        <item x="1264"/>
        <item x="1375"/>
        <item x="1008"/>
        <item x="1122"/>
        <item x="232"/>
        <item x="452"/>
        <item x="1368"/>
        <item x="1140"/>
        <item x="1526"/>
        <item x="457"/>
        <item x="1121"/>
        <item x="1743"/>
        <item x="1381"/>
        <item x="1397"/>
        <item x="764"/>
        <item x="711"/>
        <item x="320"/>
        <item x="295"/>
        <item x="1221"/>
        <item x="909"/>
        <item x="1460"/>
        <item x="1341"/>
        <item x="1444"/>
        <item x="57"/>
        <item x="159"/>
        <item x="182"/>
        <item x="373"/>
        <item x="1542"/>
        <item x="982"/>
        <item x="1052"/>
        <item x="1591"/>
        <item x="994"/>
        <item x="728"/>
        <item x="80"/>
        <item x="729"/>
        <item x="1694"/>
        <item x="1508"/>
        <item x="395"/>
        <item x="1566"/>
        <item x="1188"/>
        <item x="1347"/>
        <item x="1226"/>
        <item x="567"/>
        <item x="289"/>
        <item x="161"/>
        <item x="279"/>
        <item x="1269"/>
        <item x="1671"/>
        <item x="15"/>
        <item x="1505"/>
        <item x="141"/>
        <item x="892"/>
        <item x="400"/>
        <item x="355"/>
        <item x="1418"/>
        <item x="851"/>
        <item x="1037"/>
        <item x="1075"/>
        <item x="502"/>
        <item x="752"/>
        <item x="1755"/>
        <item x="1480"/>
        <item x="1747"/>
        <item x="895"/>
        <item x="176"/>
        <item x="744"/>
        <item x="269"/>
        <item x="1011"/>
        <item x="46"/>
        <item x="997"/>
        <item x="99"/>
        <item x="1015"/>
        <item x="1198"/>
        <item x="1238"/>
        <item x="310"/>
        <item x="1604"/>
        <item x="1592"/>
        <item x="730"/>
        <item x="1244"/>
        <item x="347"/>
        <item x="1496"/>
        <item x="1041"/>
        <item x="1305"/>
        <item x="1308"/>
        <item x="356"/>
        <item x="582"/>
        <item x="191"/>
        <item x="1181"/>
        <item x="2"/>
        <item x="847"/>
        <item x="1334"/>
        <item x="1736"/>
        <item x="1630"/>
        <item x="1278"/>
        <item x="1358"/>
        <item x="477"/>
        <item x="335"/>
        <item x="849"/>
        <item x="189"/>
        <item x="850"/>
        <item x="1354"/>
        <item x="149"/>
        <item x="272"/>
        <item x="265"/>
        <item x="1617"/>
        <item x="1463"/>
        <item x="1382"/>
        <item x="449"/>
        <item x="720"/>
        <item x="734"/>
        <item x="370"/>
        <item x="1540"/>
        <item x="1153"/>
        <item x="992"/>
        <item x="953"/>
        <item x="894"/>
        <item x="869"/>
        <item x="1213"/>
        <item x="1108"/>
        <item x="1383"/>
        <item x="1491"/>
        <item x="1132"/>
        <item x="240"/>
        <item x="1584"/>
        <item x="1735"/>
        <item x="1185"/>
        <item x="931"/>
        <item x="26"/>
        <item x="1377"/>
        <item x="1602"/>
        <item x="1490"/>
        <item x="1036"/>
        <item x="146"/>
        <item x="880"/>
        <item x="1688"/>
        <item x="995"/>
        <item x="914"/>
        <item x="1607"/>
        <item x="1023"/>
        <item x="192"/>
        <item x="682"/>
        <item x="1357"/>
        <item x="658"/>
        <item x="1018"/>
        <item x="935"/>
        <item x="1528"/>
        <item x="644"/>
        <item x="1521"/>
        <item x="116"/>
        <item x="785"/>
        <item x="1556"/>
        <item x="1731"/>
        <item x="1560"/>
        <item x="177"/>
        <item x="386"/>
        <item x="450"/>
        <item x="1373"/>
        <item x="790"/>
        <item x="1516"/>
        <item x="867"/>
        <item x="912"/>
        <item x="1464"/>
        <item x="498"/>
        <item x="1322"/>
        <item x="93"/>
        <item x="1054"/>
        <item x="428"/>
        <item x="82"/>
        <item x="439"/>
        <item x="871"/>
        <item x="1378"/>
        <item x="1258"/>
        <item x="575"/>
        <item x="1653"/>
        <item x="715"/>
        <item x="1662"/>
        <item x="1613"/>
        <item x="1746"/>
        <item x="288"/>
        <item x="1590"/>
        <item x="1632"/>
        <item x="339"/>
        <item x="222"/>
        <item x="713"/>
        <item x="69"/>
        <item x="1105"/>
        <item x="235"/>
        <item x="590"/>
        <item x="942"/>
        <item x="8"/>
        <item x="424"/>
        <item x="459"/>
        <item x="1627"/>
        <item x="1091"/>
        <item x="501"/>
        <item x="1571"/>
        <item x="908"/>
        <item x="635"/>
        <item x="704"/>
        <item x="229"/>
        <item x="691"/>
        <item x="732"/>
        <item x="1711"/>
        <item x="668"/>
        <item x="1587"/>
        <item x="921"/>
        <item x="1515"/>
        <item x="130"/>
        <item x="1160"/>
        <item x="1051"/>
        <item x="375"/>
        <item x="856"/>
        <item x="18"/>
        <item x="1059"/>
        <item x="1259"/>
        <item x="489"/>
        <item x="1665"/>
        <item x="654"/>
        <item x="814"/>
        <item x="1211"/>
        <item x="1203"/>
        <item x="1366"/>
        <item x="1756"/>
        <item x="524"/>
        <item x="40"/>
        <item x="943"/>
        <item x="378"/>
        <item x="1159"/>
        <item x="1353"/>
        <item x="1424"/>
        <item x="1514"/>
        <item x="241"/>
        <item x="1406"/>
        <item x="1552"/>
        <item x="348"/>
        <item x="1227"/>
        <item x="245"/>
        <item x="1610"/>
        <item x="656"/>
        <item x="795"/>
        <item x="349"/>
        <item x="1335"/>
        <item x="1067"/>
        <item x="96"/>
        <item x="651"/>
        <item x="421"/>
        <item x="920"/>
        <item x="1392"/>
        <item x="173"/>
        <item x="916"/>
        <item x="978"/>
        <item x="709"/>
        <item x="603"/>
        <item x="148"/>
        <item x="327"/>
        <item x="887"/>
        <item x="1562"/>
        <item x="621"/>
        <item x="1214"/>
        <item x="512"/>
        <item x="1550"/>
        <item x="198"/>
        <item x="114"/>
        <item x="113"/>
        <item x="1742"/>
        <item x="1351"/>
        <item x="1236"/>
        <item x="1318"/>
        <item x="1115"/>
        <item x="797"/>
        <item x="1147"/>
        <item x="1301"/>
        <item x="1056"/>
        <item x="1000"/>
        <item x="1595"/>
        <item x="602"/>
        <item x="686"/>
        <item x="929"/>
        <item x="1674"/>
        <item x="1050"/>
        <item x="1502"/>
        <item x="941"/>
        <item x="840"/>
        <item x="784"/>
        <item x="1741"/>
        <item x="972"/>
        <item x="1749"/>
        <item x="1442"/>
        <item x="210"/>
        <item x="1700"/>
        <item x="865"/>
        <item x="1110"/>
        <item x="554"/>
        <item x="157"/>
        <item x="389"/>
        <item x="845"/>
        <item x="478"/>
        <item x="777"/>
        <item x="1339"/>
        <item x="1190"/>
        <item x="367"/>
        <item x="1701"/>
        <item x="911"/>
        <item x="1299"/>
        <item x="1504"/>
        <item x="559"/>
        <item x="37"/>
        <item x="322"/>
        <item x="1462"/>
        <item x="1380"/>
        <item x="71"/>
        <item x="878"/>
        <item x="605"/>
        <item x="1485"/>
        <item x="1304"/>
        <item x="971"/>
        <item x="200"/>
        <item x="1495"/>
        <item x="324"/>
        <item x="561"/>
        <item x="1469"/>
        <item x="1729"/>
        <item x="1028"/>
        <item x="263"/>
        <item x="1254"/>
        <item x="471"/>
        <item x="437"/>
        <item x="566"/>
        <item x="1470"/>
        <item x="1215"/>
        <item x="1414"/>
        <item x="746"/>
        <item x="1646"/>
        <item x="1149"/>
        <item x="44"/>
        <item x="1446"/>
        <item x="947"/>
        <item x="205"/>
        <item x="999"/>
        <item x="1507"/>
        <item x="678"/>
        <item x="207"/>
        <item x="121"/>
        <item x="1663"/>
        <item x="306"/>
        <item x="1717"/>
        <item x="430"/>
        <item x="21"/>
        <item x="251"/>
        <item x="286"/>
        <item x="273"/>
        <item x="1379"/>
        <item x="284"/>
        <item x="761"/>
        <item x="285"/>
        <item x="1697"/>
        <item x="1361"/>
        <item x="396"/>
        <item x="1014"/>
        <item x="1307"/>
        <item x="1544"/>
        <item x="866"/>
        <item x="1654"/>
        <item x="669"/>
        <item x="1046"/>
        <item x="105"/>
        <item x="930"/>
        <item x="1328"/>
        <item x="699"/>
        <item x="712"/>
        <item x="767"/>
        <item x="1146"/>
        <item x="1179"/>
        <item x="1319"/>
        <item x="637"/>
        <item x="970"/>
        <item x="696"/>
        <item x="1536"/>
        <item x="1315"/>
        <item x="321"/>
        <item x="1064"/>
        <item x="270"/>
        <item x="1138"/>
        <item x="924"/>
        <item x="1280"/>
        <item x="587"/>
        <item x="1092"/>
        <item x="484"/>
        <item x="782"/>
        <item x="747"/>
        <item x="876"/>
        <item x="1673"/>
        <item x="1666"/>
        <item x="1628"/>
        <item x="1374"/>
        <item x="541"/>
        <item x="1719"/>
        <item x="1472"/>
        <item x="1698"/>
        <item x="1255"/>
        <item x="1744"/>
        <item x="649"/>
        <item x="405"/>
        <item x="1716"/>
        <item x="1643"/>
        <item x="617"/>
        <item x="127"/>
        <item x="1081"/>
        <item x="735"/>
        <item x="581"/>
        <item x="1421"/>
        <item x="448"/>
        <item x="1503"/>
        <item x="810"/>
        <item x="1078"/>
        <item x="1362"/>
        <item x="680"/>
        <item x="24"/>
        <item x="708"/>
        <item x="1245"/>
        <item x="809"/>
        <item x="369"/>
        <item x="1689"/>
        <item x="1162"/>
        <item x="1346"/>
        <item x="1453"/>
        <item x="1072"/>
        <item x="1615"/>
        <item x="875"/>
        <item x="1513"/>
        <item x="1218"/>
        <item x="481"/>
        <item x="1019"/>
        <item x="401"/>
        <item x="1739"/>
        <item x="1593"/>
        <item x="874"/>
        <item x="1303"/>
        <item x="89"/>
        <item x="1376"/>
        <item x="1690"/>
        <item x="1748"/>
        <item x="1240"/>
        <item x="718"/>
        <item x="1369"/>
        <item x="91"/>
        <item x="1257"/>
        <item x="1252"/>
        <item x="906"/>
        <item x="1225"/>
        <item x="1163"/>
        <item x="1263"/>
        <item x="1636"/>
        <item x="56"/>
        <item x="1461"/>
        <item x="1659"/>
        <item x="1606"/>
        <item x="363"/>
        <item x="75"/>
        <item x="12"/>
        <item x="31"/>
        <item x="1594"/>
        <item x="136"/>
        <item x="532"/>
        <item x="738"/>
        <item x="1408"/>
        <item x="653"/>
        <item x="1471"/>
        <item x="1529"/>
        <item x="404"/>
        <item x="1752"/>
        <item x="1338"/>
        <item x="652"/>
        <item x="1088"/>
        <item x="153"/>
        <item x="1386"/>
        <item x="1079"/>
        <item x="344"/>
        <item x="185"/>
        <item x="913"/>
        <item x="371"/>
        <item x="820"/>
        <item x="710"/>
        <item x="1032"/>
        <item x="1070"/>
        <item x="417"/>
        <item x="5"/>
        <item x="671"/>
        <item x="910"/>
        <item x="368"/>
        <item x="526"/>
        <item x="183"/>
        <item x="1696"/>
        <item x="1727"/>
        <item x="1398"/>
        <item x="1577"/>
        <item x="1548"/>
        <item x="1532"/>
        <item x="695"/>
        <item x="551"/>
        <item x="492"/>
        <item x="410"/>
        <item x="1170"/>
        <item x="1649"/>
        <item x="1027"/>
        <item x="1682"/>
        <item x="829"/>
        <item x="665"/>
        <item x="115"/>
        <item x="399"/>
        <item x="774"/>
        <item x="993"/>
        <item x="1302"/>
        <item x="706"/>
        <item x="1599"/>
        <item x="1477"/>
        <item x="98"/>
        <item x="1585"/>
        <item x="677"/>
        <item x="858"/>
        <item x="1658"/>
        <item x="1025"/>
        <item x="664"/>
        <item x="1313"/>
        <item x="1333"/>
        <item x="62"/>
        <item x="1103"/>
        <item x="768"/>
        <item x="1232"/>
        <item x="859"/>
        <item x="1273"/>
        <item x="1010"/>
        <item x="1295"/>
        <item x="741"/>
        <item x="1450"/>
        <item x="703"/>
        <item x="919"/>
        <item x="1438"/>
        <item x="456"/>
        <item x="290"/>
        <item x="107"/>
        <item x="555"/>
        <item x="1194"/>
        <item x="563"/>
        <item x="398"/>
        <item x="1724"/>
        <item x="870"/>
        <item x="22"/>
        <item x="201"/>
        <item x="1082"/>
        <item x="128"/>
        <item x="1312"/>
        <item x="365"/>
        <item x="490"/>
        <item x="1510"/>
        <item x="740"/>
        <item x="505"/>
        <item x="588"/>
        <item x="1509"/>
        <item x="1106"/>
        <item x="419"/>
        <item x="429"/>
        <item x="604"/>
        <item x="663"/>
        <item x="1676"/>
        <item x="1440"/>
        <item x="778"/>
        <item x="934"/>
        <item x="506"/>
        <item x="1612"/>
        <item x="360"/>
        <item x="227"/>
        <item x="13"/>
        <item x="1558"/>
        <item x="1393"/>
        <item x="868"/>
        <item x="1112"/>
        <item x="314"/>
        <item x="36"/>
        <item x="1720"/>
        <item x="171"/>
        <item x="188"/>
        <item x="1425"/>
        <item x="1631"/>
        <item x="1237"/>
        <item t="default"/>
      </items>
    </pivotField>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6">
        <item x="0"/>
        <item x="3"/>
        <item x="4"/>
        <item x="2"/>
        <item x="1"/>
        <item t="default"/>
      </items>
    </pivotField>
    <pivotField showAll="0"/>
    <pivotField showAll="0"/>
    <pivotField showAll="0"/>
    <pivotField showAll="0">
      <items count="16">
        <item x="7"/>
        <item x="3"/>
        <item x="1"/>
        <item x="2"/>
        <item x="5"/>
        <item x="0"/>
        <item x="4"/>
        <item x="6"/>
        <item x="9"/>
        <item x="8"/>
        <item x="14"/>
        <item x="11"/>
        <item x="13"/>
        <item x="10"/>
        <item x="12"/>
        <item t="default"/>
      </items>
    </pivotField>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4"/>
  </dataFields>
  <chartFormats count="2">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76DE98-802A-4102-8134-E8BE98878330}" name="kpi summary"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E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6">
        <item x="0"/>
        <item x="3"/>
        <item x="4"/>
        <item x="2"/>
        <item x="1"/>
        <item t="default"/>
      </items>
    </pivotField>
    <pivotField dataField="1" showAll="0"/>
    <pivotField showAll="0"/>
    <pivotField showAll="0"/>
    <pivotField dataField="1" showAll="0"/>
    <pivotField showAll="0"/>
    <pivotField showAll="0">
      <items count="5">
        <item x="2"/>
        <item x="1"/>
        <item x="3"/>
        <item x="0"/>
        <item t="default"/>
      </items>
    </pivotField>
    <pivotField showAll="0">
      <items count="8">
        <item x="0"/>
        <item x="1"/>
        <item x="2"/>
        <item x="4"/>
        <item x="3"/>
        <item x="5"/>
        <item x="6"/>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Average of Rating C" fld="9" subtotal="average" baseField="0" baseItem="0"/>
    <dataField name="Average of Days to Deliver" fld="12" subtotal="average" baseField="0" baseItem="0"/>
    <dataField name="Sum of Amount" fld="4" baseField="0" baseItem="0"/>
    <dataField name="Sum of Quantity"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8F521ED-B226-49E9-A935-DE3D44B7B54F}" name="Gender"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O10:P15" firstHeaderRow="1" firstDataRow="1" firstDataCol="1"/>
  <pivotFields count="18">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items count="1765">
        <item x="0"/>
        <item x="432"/>
        <item x="1482"/>
        <item x="178"/>
        <item x="1436"/>
        <item x="239"/>
        <item x="591"/>
        <item x="1426"/>
        <item x="1021"/>
        <item x="283"/>
        <item x="1494"/>
        <item x="749"/>
        <item x="1609"/>
        <item x="248"/>
        <item x="135"/>
        <item x="836"/>
        <item x="832"/>
        <item x="1200"/>
        <item x="1600"/>
        <item x="1709"/>
        <item x="670"/>
        <item x="1492"/>
        <item x="134"/>
        <item x="447"/>
        <item x="688"/>
        <item x="1219"/>
        <item x="614"/>
        <item x="1137"/>
        <item x="132"/>
        <item x="190"/>
        <item x="1500"/>
        <item x="323"/>
        <item x="798"/>
        <item x="333"/>
        <item x="1429"/>
        <item x="1349"/>
        <item x="483"/>
        <item x="731"/>
        <item x="1084"/>
        <item x="258"/>
        <item x="968"/>
        <item x="525"/>
        <item x="249"/>
        <item x="1246"/>
        <item x="61"/>
        <item x="1695"/>
        <item x="772"/>
        <item x="126"/>
        <item x="1561"/>
        <item x="779"/>
        <item x="301"/>
        <item x="835"/>
        <item x="1057"/>
        <item x="1616"/>
        <item x="830"/>
        <item x="1644"/>
        <item x="202"/>
        <item x="1672"/>
        <item x="19"/>
        <item x="382"/>
        <item x="1441"/>
        <item x="1703"/>
        <item x="1191"/>
        <item x="601"/>
        <item x="1102"/>
        <item x="38"/>
        <item x="534"/>
        <item x="63"/>
        <item x="49"/>
        <item x="1116"/>
        <item x="1639"/>
        <item x="1637"/>
        <item x="879"/>
        <item x="293"/>
        <item x="425"/>
        <item x="1034"/>
        <item x="1076"/>
        <item x="1678"/>
        <item x="47"/>
        <item x="1493"/>
        <item x="242"/>
        <item x="928"/>
        <item x="1538"/>
        <item x="1642"/>
        <item x="558"/>
        <item x="1705"/>
        <item x="406"/>
        <item x="1323"/>
        <item x="1455"/>
        <item x="35"/>
        <item x="137"/>
        <item x="627"/>
        <item x="109"/>
        <item x="1158"/>
        <item x="390"/>
        <item x="1684"/>
        <item x="1229"/>
        <item x="944"/>
        <item x="860"/>
        <item x="940"/>
        <item x="698"/>
        <item x="1417"/>
        <item x="253"/>
        <item x="1680"/>
        <item x="1564"/>
        <item x="1222"/>
        <item x="607"/>
        <item x="1656"/>
        <item x="1580"/>
        <item x="1114"/>
        <item x="169"/>
        <item x="1553"/>
        <item x="1668"/>
        <item x="1657"/>
        <item x="519"/>
        <item x="72"/>
        <item x="1520"/>
        <item x="53"/>
        <item x="168"/>
        <item x="1277"/>
        <item x="547"/>
        <item x="329"/>
        <item x="791"/>
        <item x="1745"/>
        <item x="804"/>
        <item x="463"/>
        <item x="853"/>
        <item x="753"/>
        <item x="220"/>
        <item x="1139"/>
        <item x="1320"/>
        <item x="1732"/>
        <item x="923"/>
        <item x="496"/>
        <item x="864"/>
        <item x="736"/>
        <item x="341"/>
        <item x="144"/>
        <item x="165"/>
        <item x="282"/>
        <item x="518"/>
        <item x="1400"/>
        <item x="1117"/>
        <item x="1352"/>
        <item x="274"/>
        <item x="803"/>
        <item x="783"/>
        <item x="1184"/>
        <item x="504"/>
        <item x="1667"/>
        <item x="50"/>
        <item x="1712"/>
        <item x="480"/>
        <item x="1465"/>
        <item x="1151"/>
        <item x="337"/>
        <item x="1283"/>
        <item x="469"/>
        <item x="440"/>
        <item x="39"/>
        <item x="1286"/>
        <item x="181"/>
        <item x="1422"/>
        <item x="1195"/>
        <item x="328"/>
        <item x="1661"/>
        <item x="945"/>
        <item x="573"/>
        <item x="225"/>
        <item x="1456"/>
        <item x="438"/>
        <item x="938"/>
        <item x="583"/>
        <item x="1212"/>
        <item x="705"/>
        <item x="204"/>
        <item x="962"/>
        <item x="494"/>
        <item x="716"/>
        <item x="722"/>
        <item x="1063"/>
        <item x="516"/>
        <item x="434"/>
        <item x="1447"/>
        <item x="594"/>
        <item x="86"/>
        <item x="179"/>
        <item x="392"/>
        <item x="828"/>
        <item x="1601"/>
        <item x="538"/>
        <item x="510"/>
        <item x="959"/>
        <item x="1293"/>
        <item x="655"/>
        <item x="319"/>
        <item x="1247"/>
        <item x="51"/>
        <item x="268"/>
        <item x="528"/>
        <item x="1111"/>
        <item x="256"/>
        <item x="1474"/>
        <item x="500"/>
        <item x="1039"/>
        <item x="486"/>
        <item x="813"/>
        <item x="458"/>
        <item x="578"/>
        <item x="163"/>
        <item x="180"/>
        <item x="1045"/>
        <item x="937"/>
        <item x="733"/>
        <item x="964"/>
        <item x="954"/>
        <item x="1074"/>
        <item x="1692"/>
        <item x="475"/>
        <item x="1342"/>
        <item x="773"/>
        <item x="1559"/>
        <item x="413"/>
        <item x="1228"/>
        <item x="112"/>
        <item x="513"/>
        <item x="535"/>
        <item x="1557"/>
        <item x="287"/>
        <item x="1563"/>
        <item x="789"/>
        <item x="1309"/>
        <item x="1758"/>
        <item x="1260"/>
        <item x="1089"/>
        <item x="521"/>
        <item x="1364"/>
        <item x="630"/>
        <item x="1107"/>
        <item x="1539"/>
        <item x="1407"/>
        <item x="1090"/>
        <item x="252"/>
        <item x="898"/>
        <item x="291"/>
        <item x="6"/>
        <item x="466"/>
        <item x="102"/>
        <item x="1581"/>
        <item x="391"/>
        <item x="571"/>
        <item x="1007"/>
        <item x="1498"/>
        <item x="1640"/>
        <item x="933"/>
        <item x="472"/>
        <item x="473"/>
        <item x="1177"/>
        <item x="1281"/>
        <item x="1253"/>
        <item x="636"/>
        <item x="569"/>
        <item x="687"/>
        <item x="1356"/>
        <item x="1635"/>
        <item x="331"/>
        <item x="305"/>
        <item x="902"/>
        <item x="150"/>
        <item x="572"/>
        <item x="1242"/>
        <item x="1478"/>
        <item x="676"/>
        <item x="1100"/>
        <item x="254"/>
        <item x="1176"/>
        <item x="1201"/>
        <item x="1738"/>
        <item x="266"/>
        <item x="408"/>
        <item x="1035"/>
        <item x="1297"/>
        <item x="170"/>
        <item x="1"/>
        <item x="886"/>
        <item x="1085"/>
        <item x="834"/>
        <item x="546"/>
        <item x="957"/>
        <item x="85"/>
        <item x="1448"/>
        <item x="1197"/>
        <item x="1030"/>
        <item x="683"/>
        <item x="1016"/>
        <item x="143"/>
        <item x="1620"/>
        <item x="1220"/>
        <item x="1276"/>
        <item x="34"/>
        <item x="1005"/>
        <item x="1394"/>
        <item x="453"/>
        <item x="1099"/>
        <item x="1740"/>
        <item x="460"/>
        <item x="891"/>
        <item x="221"/>
        <item x="212"/>
        <item x="1481"/>
        <item x="499"/>
        <item x="511"/>
        <item x="812"/>
        <item x="387"/>
        <item x="1124"/>
        <item x="702"/>
        <item x="815"/>
        <item x="14"/>
        <item x="119"/>
        <item x="884"/>
        <item x="966"/>
        <item x="863"/>
        <item x="1476"/>
        <item x="693"/>
        <item x="509"/>
        <item x="821"/>
        <item x="418"/>
        <item x="745"/>
        <item x="1714"/>
        <item x="508"/>
        <item x="1043"/>
        <item x="564"/>
        <item x="59"/>
        <item x="299"/>
        <item x="1154"/>
        <item x="952"/>
        <item x="474"/>
        <item x="1549"/>
        <item x="1012"/>
        <item x="527"/>
        <item x="1664"/>
        <item x="184"/>
        <item x="1321"/>
        <item x="1013"/>
        <item x="660"/>
        <item x="1574"/>
        <item x="503"/>
        <item x="1289"/>
        <item x="623"/>
        <item x="1325"/>
        <item x="236"/>
        <item x="1285"/>
        <item x="936"/>
        <item x="1524"/>
        <item x="426"/>
        <item x="1517"/>
        <item x="800"/>
        <item x="372"/>
        <item x="1314"/>
        <item x="610"/>
        <item x="110"/>
        <item x="965"/>
        <item x="1734"/>
        <item x="611"/>
        <item x="495"/>
        <item x="108"/>
        <item x="1554"/>
        <item x="998"/>
        <item x="172"/>
        <item x="1488"/>
        <item x="1648"/>
        <item x="514"/>
        <item x="882"/>
        <item x="714"/>
        <item x="332"/>
        <item x="1721"/>
        <item x="445"/>
        <item x="1003"/>
        <item x="837"/>
        <item x="83"/>
        <item x="771"/>
        <item x="1598"/>
        <item x="1233"/>
        <item x="482"/>
        <item x="292"/>
        <item x="648"/>
        <item x="1148"/>
        <item x="166"/>
        <item x="1670"/>
        <item x="1645"/>
        <item x="491"/>
        <item x="1623"/>
        <item x="1608"/>
        <item x="1751"/>
        <item x="1113"/>
        <item x="84"/>
        <item x="1187"/>
        <item x="1589"/>
        <item x="479"/>
        <item x="1133"/>
        <item x="556"/>
        <item x="48"/>
        <item x="7"/>
        <item x="1687"/>
        <item x="41"/>
        <item x="1443"/>
        <item x="969"/>
        <item x="1101"/>
        <item x="1523"/>
        <item x="330"/>
        <item x="1135"/>
        <item x="673"/>
        <item x="1518"/>
        <item x="462"/>
        <item x="1182"/>
        <item x="470"/>
        <item x="707"/>
        <item x="925"/>
        <item x="681"/>
        <item x="433"/>
        <item x="1405"/>
        <item x="903"/>
        <item x="278"/>
        <item x="533"/>
        <item x="1274"/>
        <item x="1647"/>
        <item x="1331"/>
        <item x="464"/>
        <item x="825"/>
        <item x="1216"/>
        <item x="1172"/>
        <item x="550"/>
        <item x="1324"/>
        <item x="1024"/>
        <item x="1360"/>
        <item x="616"/>
        <item x="781"/>
        <item x="700"/>
        <item x="626"/>
        <item x="1053"/>
        <item x="640"/>
        <item x="631"/>
        <item x="697"/>
        <item x="485"/>
        <item x="1205"/>
        <item x="1155"/>
        <item x="1047"/>
        <item x="787"/>
        <item x="1605"/>
        <item x="1702"/>
        <item x="542"/>
        <item x="70"/>
        <item x="32"/>
        <item x="817"/>
        <item x="645"/>
        <item x="244"/>
        <item x="786"/>
        <item x="497"/>
        <item x="742"/>
        <item x="407"/>
        <item x="1270"/>
        <item x="411"/>
        <item x="1058"/>
        <item x="758"/>
        <item x="988"/>
        <item x="1152"/>
        <item x="974"/>
        <item x="1196"/>
        <item x="737"/>
        <item x="1487"/>
        <item x="1707"/>
        <item x="16"/>
        <item x="1261"/>
        <item x="64"/>
        <item x="1650"/>
        <item x="442"/>
        <item x="255"/>
        <item x="1467"/>
        <item x="725"/>
        <item x="234"/>
        <item x="422"/>
        <item x="415"/>
        <item x="296"/>
        <item x="233"/>
        <item x="139"/>
        <item x="802"/>
        <item x="586"/>
        <item x="854"/>
        <item x="219"/>
        <item x="334"/>
        <item x="1629"/>
        <item x="73"/>
        <item x="980"/>
        <item x="1757"/>
        <item x="451"/>
        <item x="647"/>
        <item x="131"/>
        <item x="68"/>
        <item x="11"/>
        <item x="196"/>
        <item x="1543"/>
        <item x="197"/>
        <item x="643"/>
        <item x="1033"/>
        <item x="1300"/>
        <item x="1569"/>
        <item x="1459"/>
        <item x="350"/>
        <item x="1638"/>
        <item x="1217"/>
        <item x="1326"/>
        <item x="862"/>
        <item x="427"/>
        <item x="90"/>
        <item x="95"/>
        <item x="855"/>
        <item x="1171"/>
        <item x="857"/>
        <item x="1681"/>
        <item x="530"/>
        <item x="1062"/>
        <item x="646"/>
        <item x="298"/>
        <item x="125"/>
        <item x="576"/>
        <item x="1223"/>
        <item x="186"/>
        <item x="1454"/>
        <item x="1389"/>
        <item x="748"/>
        <item x="199"/>
        <item x="1652"/>
        <item x="661"/>
        <item x="211"/>
        <item x="1049"/>
        <item x="852"/>
        <item x="568"/>
        <item x="142"/>
        <item x="101"/>
        <item x="872"/>
        <item x="793"/>
        <item x="619"/>
        <item x="694"/>
        <item x="1002"/>
        <item x="1511"/>
        <item x="799"/>
        <item x="1311"/>
        <item x="215"/>
        <item x="807"/>
        <item x="1061"/>
        <item x="939"/>
        <item x="10"/>
        <item x="1178"/>
        <item x="42"/>
        <item x="659"/>
        <item x="414"/>
        <item x="1239"/>
        <item x="17"/>
        <item x="81"/>
        <item x="918"/>
        <item x="579"/>
        <item x="806"/>
        <item x="622"/>
        <item x="1097"/>
        <item x="1483"/>
        <item x="883"/>
        <item x="1006"/>
        <item x="1534"/>
        <item x="881"/>
        <item x="794"/>
        <item x="158"/>
        <item x="380"/>
        <item x="548"/>
        <item x="1413"/>
        <item x="1129"/>
        <item x="247"/>
        <item x="1127"/>
        <item x="1575"/>
        <item x="717"/>
        <item x="1466"/>
        <item x="488"/>
        <item x="1449"/>
        <item x="311"/>
        <item x="574"/>
        <item x="1579"/>
        <item x="151"/>
        <item x="1484"/>
        <item x="100"/>
        <item x="446"/>
        <item x="1699"/>
        <item x="565"/>
        <item x="1622"/>
        <item x="726"/>
        <item x="1527"/>
        <item x="1737"/>
        <item x="833"/>
        <item x="557"/>
        <item x="841"/>
        <item x="1098"/>
        <item x="593"/>
        <item x="1250"/>
        <item x="193"/>
        <item x="1402"/>
        <item x="120"/>
        <item x="111"/>
        <item x="160"/>
        <item x="493"/>
        <item x="92"/>
        <item x="1710"/>
        <item x="297"/>
        <item x="1087"/>
        <item x="164"/>
        <item x="641"/>
        <item x="1296"/>
        <item x="384"/>
        <item x="544"/>
        <item x="949"/>
        <item x="1287"/>
        <item x="1432"/>
        <item x="1268"/>
        <item x="553"/>
        <item x="302"/>
        <item x="145"/>
        <item x="376"/>
        <item x="1109"/>
        <item x="570"/>
        <item x="52"/>
        <item x="1415"/>
        <item x="352"/>
        <item x="967"/>
        <item x="624"/>
        <item x="1555"/>
        <item x="628"/>
        <item x="888"/>
        <item x="1077"/>
        <item x="1208"/>
        <item x="1332"/>
        <item x="520"/>
        <item x="1071"/>
        <item x="823"/>
        <item x="1193"/>
        <item x="618"/>
        <item x="539"/>
        <item x="58"/>
        <item x="580"/>
        <item x="1403"/>
        <item x="309"/>
        <item x="769"/>
        <item x="385"/>
        <item x="632"/>
        <item x="1060"/>
        <item x="33"/>
        <item x="1583"/>
        <item x="848"/>
        <item x="1272"/>
        <item x="1249"/>
        <item x="1209"/>
        <item x="1423"/>
        <item x="955"/>
        <item x="431"/>
        <item x="979"/>
        <item x="927"/>
        <item x="1265"/>
        <item x="117"/>
        <item x="986"/>
        <item x="1567"/>
        <item x="260"/>
        <item x="30"/>
        <item x="981"/>
        <item x="1545"/>
        <item x="1597"/>
        <item x="1048"/>
        <item x="531"/>
        <item x="1093"/>
        <item x="340"/>
        <item x="246"/>
        <item x="685"/>
        <item x="1693"/>
        <item x="1411"/>
        <item x="336"/>
        <item x="1641"/>
        <item x="1134"/>
        <item x="517"/>
        <item x="1294"/>
        <item x="996"/>
        <item x="383"/>
        <item x="1068"/>
        <item x="1387"/>
        <item x="1730"/>
        <item x="1367"/>
        <item x="223"/>
        <item x="304"/>
        <item x="639"/>
        <item x="374"/>
        <item x="209"/>
        <item x="194"/>
        <item x="388"/>
        <item x="377"/>
        <item x="1457"/>
        <item x="1683"/>
        <item x="634"/>
        <item x="1762"/>
        <item x="381"/>
        <item x="684"/>
        <item x="1427"/>
        <item x="1038"/>
        <item x="780"/>
        <item x="932"/>
        <item x="1708"/>
        <item x="1175"/>
        <item x="60"/>
        <item x="1419"/>
        <item x="275"/>
        <item x="1298"/>
        <item x="1391"/>
        <item x="1489"/>
        <item x="897"/>
        <item x="1410"/>
        <item x="1096"/>
        <item x="625"/>
        <item x="613"/>
        <item x="1435"/>
        <item x="1262"/>
        <item x="353"/>
        <item x="1401"/>
        <item x="468"/>
        <item x="973"/>
        <item x="675"/>
        <item x="1626"/>
        <item x="1570"/>
        <item x="599"/>
        <item x="1718"/>
        <item x="1207"/>
        <item x="1363"/>
        <item x="1761"/>
        <item x="926"/>
        <item x="824"/>
        <item x="1224"/>
        <item x="203"/>
        <item x="1119"/>
        <item x="1753"/>
        <item x="956"/>
        <item x="1501"/>
        <item x="689"/>
        <item x="315"/>
        <item x="638"/>
        <item x="379"/>
        <item x="562"/>
        <item x="842"/>
        <item x="354"/>
        <item x="277"/>
        <item x="174"/>
        <item x="318"/>
        <item x="465"/>
        <item x="1621"/>
        <item x="1388"/>
        <item x="1634"/>
        <item x="1065"/>
        <item x="1618"/>
        <item x="1145"/>
        <item x="1330"/>
        <item x="1506"/>
        <item x="608"/>
        <item x="1399"/>
        <item x="55"/>
        <item x="1384"/>
        <item x="831"/>
        <item x="1120"/>
        <item x="1040"/>
        <item x="351"/>
        <item x="1230"/>
        <item x="515"/>
        <item x="1126"/>
        <item x="1733"/>
        <item x="1660"/>
        <item x="9"/>
        <item x="963"/>
        <item x="1588"/>
        <item x="1655"/>
        <item x="507"/>
        <item x="1022"/>
        <item x="905"/>
        <item x="739"/>
        <item x="1355"/>
        <item x="402"/>
        <item x="1329"/>
        <item x="409"/>
        <item x="1750"/>
        <item x="1344"/>
        <item x="444"/>
        <item x="250"/>
        <item x="950"/>
        <item x="1271"/>
        <item x="1530"/>
        <item x="811"/>
        <item x="759"/>
        <item x="154"/>
        <item x="1095"/>
        <item x="1157"/>
        <item x="915"/>
        <item x="435"/>
        <item x="1288"/>
        <item x="1164"/>
        <item x="1475"/>
        <item x="1128"/>
        <item x="838"/>
        <item x="1728"/>
        <item x="657"/>
        <item x="1183"/>
        <item x="522"/>
        <item x="1080"/>
        <item x="1759"/>
        <item x="1445"/>
        <item x="1537"/>
        <item x="312"/>
        <item x="1345"/>
        <item x="1251"/>
        <item x="1189"/>
        <item x="1256"/>
        <item x="701"/>
        <item x="762"/>
        <item x="606"/>
        <item x="589"/>
        <item x="1243"/>
        <item x="750"/>
        <item x="1713"/>
        <item x="66"/>
        <item x="1763"/>
        <item x="1603"/>
        <item x="1531"/>
        <item x="900"/>
        <item x="362"/>
        <item x="1026"/>
        <item x="612"/>
        <item x="393"/>
        <item x="4"/>
        <item x="1284"/>
        <item x="1691"/>
        <item x="307"/>
        <item x="443"/>
        <item x="727"/>
        <item x="1512"/>
        <item x="1522"/>
        <item x="595"/>
        <item x="231"/>
        <item x="826"/>
        <item x="187"/>
        <item x="162"/>
        <item x="775"/>
        <item x="893"/>
        <item x="1669"/>
        <item x="597"/>
        <item x="1434"/>
        <item x="889"/>
        <item x="1337"/>
        <item x="1619"/>
        <item x="1395"/>
        <item x="224"/>
        <item x="25"/>
        <item x="122"/>
        <item x="766"/>
        <item x="218"/>
        <item x="1525"/>
        <item x="1350"/>
        <item x="257"/>
        <item x="983"/>
        <item x="633"/>
        <item x="74"/>
        <item x="394"/>
        <item x="67"/>
        <item x="1020"/>
        <item x="1573"/>
        <item x="476"/>
        <item x="359"/>
        <item x="366"/>
        <item x="1565"/>
        <item x="1142"/>
        <item x="1275"/>
        <item x="1452"/>
        <item x="690"/>
        <item x="106"/>
        <item x="364"/>
        <item x="316"/>
        <item x="1596"/>
        <item x="1143"/>
        <item x="1180"/>
        <item x="1165"/>
        <item x="156"/>
        <item x="79"/>
        <item x="808"/>
        <item x="1173"/>
        <item x="412"/>
        <item x="827"/>
        <item x="1390"/>
        <item x="1458"/>
        <item x="885"/>
        <item x="620"/>
        <item x="975"/>
        <item x="455"/>
        <item x="1385"/>
        <item x="118"/>
        <item x="1001"/>
        <item x="1582"/>
        <item x="1131"/>
        <item x="1086"/>
        <item x="1372"/>
        <item x="1348"/>
        <item x="724"/>
        <item x="213"/>
        <item x="1451"/>
        <item x="796"/>
        <item x="1042"/>
        <item x="1343"/>
        <item x="529"/>
        <item x="345"/>
        <item x="261"/>
        <item x="1473"/>
        <item x="94"/>
        <item x="1174"/>
        <item x="280"/>
        <item x="1568"/>
        <item x="1327"/>
        <item x="243"/>
        <item x="338"/>
        <item x="756"/>
        <item x="1572"/>
        <item x="487"/>
        <item x="436"/>
        <item x="958"/>
        <item x="167"/>
        <item x="1192"/>
        <item x="1210"/>
        <item x="896"/>
        <item x="308"/>
        <item x="271"/>
        <item x="1519"/>
        <item x="420"/>
        <item x="861"/>
        <item x="763"/>
        <item x="152"/>
        <item x="228"/>
        <item x="577"/>
        <item x="977"/>
        <item x="294"/>
        <item x="214"/>
        <item x="403"/>
        <item x="877"/>
        <item x="1186"/>
        <item x="43"/>
        <item x="454"/>
        <item x="461"/>
        <item x="1428"/>
        <item x="904"/>
        <item x="140"/>
        <item x="1704"/>
        <item x="1416"/>
        <item x="922"/>
        <item x="549"/>
        <item x="1336"/>
        <item x="264"/>
        <item x="609"/>
        <item x="138"/>
        <item x="1130"/>
        <item x="1202"/>
        <item x="23"/>
        <item x="1168"/>
        <item x="667"/>
        <item x="1651"/>
        <item x="1066"/>
        <item x="230"/>
        <item x="801"/>
        <item x="267"/>
        <item x="1547"/>
        <item x="226"/>
        <item x="325"/>
        <item x="560"/>
        <item x="523"/>
        <item x="818"/>
        <item x="679"/>
        <item x="1431"/>
        <item x="1725"/>
        <item x="303"/>
        <item x="397"/>
        <item x="1094"/>
        <item x="206"/>
        <item x="1715"/>
        <item x="760"/>
        <item x="358"/>
        <item x="1722"/>
        <item x="991"/>
        <item x="1433"/>
        <item x="1479"/>
        <item x="1282"/>
        <item x="104"/>
        <item x="985"/>
        <item x="20"/>
        <item x="77"/>
        <item x="1199"/>
        <item x="1437"/>
        <item x="1055"/>
        <item x="765"/>
        <item x="1156"/>
        <item x="839"/>
        <item x="642"/>
        <item x="961"/>
        <item x="1169"/>
        <item x="692"/>
        <item x="1141"/>
        <item x="901"/>
        <item x="846"/>
        <item x="890"/>
        <item x="873"/>
        <item x="317"/>
        <item x="1009"/>
        <item x="776"/>
        <item x="1535"/>
        <item x="326"/>
        <item x="1675"/>
        <item x="65"/>
        <item x="662"/>
        <item x="129"/>
        <item x="416"/>
        <item x="1279"/>
        <item x="147"/>
        <item x="1686"/>
        <item x="27"/>
        <item x="1541"/>
        <item x="1167"/>
        <item x="822"/>
        <item x="1166"/>
        <item x="984"/>
        <item x="743"/>
        <item x="1404"/>
        <item x="1161"/>
        <item x="1359"/>
        <item x="217"/>
        <item x="615"/>
        <item x="757"/>
        <item x="123"/>
        <item x="976"/>
        <item x="1412"/>
        <item x="1706"/>
        <item x="1118"/>
        <item x="540"/>
        <item x="76"/>
        <item x="666"/>
        <item x="1069"/>
        <item x="1760"/>
        <item x="989"/>
        <item x="1551"/>
        <item x="78"/>
        <item x="237"/>
        <item x="1396"/>
        <item x="1365"/>
        <item x="1150"/>
        <item x="1248"/>
        <item x="987"/>
        <item x="342"/>
        <item x="1533"/>
        <item x="1723"/>
        <item x="1044"/>
        <item x="1234"/>
        <item x="805"/>
        <item x="1726"/>
        <item x="1231"/>
        <item x="1017"/>
        <item x="596"/>
        <item x="1316"/>
        <item x="262"/>
        <item x="719"/>
        <item x="441"/>
        <item x="672"/>
        <item x="1031"/>
        <item x="1204"/>
        <item x="598"/>
        <item x="1576"/>
        <item x="721"/>
        <item x="238"/>
        <item x="1310"/>
        <item x="1235"/>
        <item x="216"/>
        <item x="1624"/>
        <item x="543"/>
        <item x="1267"/>
        <item x="467"/>
        <item x="1679"/>
        <item x="1136"/>
        <item x="545"/>
        <item x="1206"/>
        <item x="816"/>
        <item x="1578"/>
        <item x="1586"/>
        <item x="103"/>
        <item x="1306"/>
        <item x="754"/>
        <item x="343"/>
        <item x="28"/>
        <item x="133"/>
        <item x="951"/>
        <item x="281"/>
        <item x="755"/>
        <item x="300"/>
        <item x="87"/>
        <item x="1371"/>
        <item x="1292"/>
        <item x="946"/>
        <item x="536"/>
        <item x="650"/>
        <item x="155"/>
        <item x="629"/>
        <item x="1468"/>
        <item x="1499"/>
        <item x="1486"/>
        <item x="195"/>
        <item x="600"/>
        <item x="1290"/>
        <item x="960"/>
        <item x="361"/>
        <item x="1104"/>
        <item x="175"/>
        <item x="1754"/>
        <item x="124"/>
        <item x="948"/>
        <item x="3"/>
        <item x="723"/>
        <item x="1685"/>
        <item x="1497"/>
        <item x="751"/>
        <item x="1370"/>
        <item x="1611"/>
        <item x="1317"/>
        <item x="1266"/>
        <item x="792"/>
        <item x="844"/>
        <item x="843"/>
        <item x="1439"/>
        <item x="357"/>
        <item x="1083"/>
        <item x="1546"/>
        <item x="1123"/>
        <item x="259"/>
        <item x="1430"/>
        <item x="88"/>
        <item x="1625"/>
        <item x="54"/>
        <item x="899"/>
        <item x="1291"/>
        <item x="1029"/>
        <item x="208"/>
        <item x="1633"/>
        <item x="907"/>
        <item x="819"/>
        <item x="1144"/>
        <item x="1340"/>
        <item x="313"/>
        <item x="1409"/>
        <item x="97"/>
        <item x="276"/>
        <item x="552"/>
        <item x="1614"/>
        <item x="917"/>
        <item x="788"/>
        <item x="585"/>
        <item x="584"/>
        <item x="1677"/>
        <item x="45"/>
        <item x="592"/>
        <item x="674"/>
        <item x="1073"/>
        <item x="1004"/>
        <item x="1420"/>
        <item x="423"/>
        <item x="770"/>
        <item x="990"/>
        <item x="29"/>
        <item x="1241"/>
        <item x="1125"/>
        <item x="346"/>
        <item x="537"/>
        <item x="1264"/>
        <item x="1375"/>
        <item x="1008"/>
        <item x="1122"/>
        <item x="232"/>
        <item x="452"/>
        <item x="1368"/>
        <item x="1140"/>
        <item x="1526"/>
        <item x="457"/>
        <item x="1121"/>
        <item x="1743"/>
        <item x="1381"/>
        <item x="1397"/>
        <item x="764"/>
        <item x="711"/>
        <item x="320"/>
        <item x="295"/>
        <item x="1221"/>
        <item x="909"/>
        <item x="1460"/>
        <item x="1341"/>
        <item x="1444"/>
        <item x="57"/>
        <item x="159"/>
        <item x="182"/>
        <item x="373"/>
        <item x="1542"/>
        <item x="982"/>
        <item x="1052"/>
        <item x="1591"/>
        <item x="994"/>
        <item x="728"/>
        <item x="80"/>
        <item x="729"/>
        <item x="1694"/>
        <item x="1508"/>
        <item x="395"/>
        <item x="1566"/>
        <item x="1188"/>
        <item x="1347"/>
        <item x="1226"/>
        <item x="567"/>
        <item x="289"/>
        <item x="161"/>
        <item x="279"/>
        <item x="1269"/>
        <item x="1671"/>
        <item x="15"/>
        <item x="1505"/>
        <item x="141"/>
        <item x="892"/>
        <item x="400"/>
        <item x="355"/>
        <item x="1418"/>
        <item x="851"/>
        <item x="1037"/>
        <item x="1075"/>
        <item x="502"/>
        <item x="752"/>
        <item x="1755"/>
        <item x="1480"/>
        <item x="1747"/>
        <item x="895"/>
        <item x="176"/>
        <item x="744"/>
        <item x="269"/>
        <item x="1011"/>
        <item x="46"/>
        <item x="997"/>
        <item x="99"/>
        <item x="1015"/>
        <item x="1198"/>
        <item x="1238"/>
        <item x="310"/>
        <item x="1604"/>
        <item x="1592"/>
        <item x="730"/>
        <item x="1244"/>
        <item x="347"/>
        <item x="1496"/>
        <item x="1041"/>
        <item x="1305"/>
        <item x="1308"/>
        <item x="356"/>
        <item x="582"/>
        <item x="191"/>
        <item x="1181"/>
        <item x="2"/>
        <item x="847"/>
        <item x="1334"/>
        <item x="1736"/>
        <item x="1630"/>
        <item x="1278"/>
        <item x="1358"/>
        <item x="477"/>
        <item x="335"/>
        <item x="849"/>
        <item x="189"/>
        <item x="850"/>
        <item x="1354"/>
        <item x="149"/>
        <item x="272"/>
        <item x="265"/>
        <item x="1617"/>
        <item x="1463"/>
        <item x="1382"/>
        <item x="449"/>
        <item x="720"/>
        <item x="734"/>
        <item x="370"/>
        <item x="1540"/>
        <item x="1153"/>
        <item x="992"/>
        <item x="953"/>
        <item x="894"/>
        <item x="869"/>
        <item x="1213"/>
        <item x="1108"/>
        <item x="1383"/>
        <item x="1491"/>
        <item x="1132"/>
        <item x="240"/>
        <item x="1584"/>
        <item x="1735"/>
        <item x="1185"/>
        <item x="931"/>
        <item x="26"/>
        <item x="1377"/>
        <item x="1602"/>
        <item x="1490"/>
        <item x="1036"/>
        <item x="146"/>
        <item x="880"/>
        <item x="1688"/>
        <item x="995"/>
        <item x="914"/>
        <item x="1607"/>
        <item x="1023"/>
        <item x="192"/>
        <item x="682"/>
        <item x="1357"/>
        <item x="658"/>
        <item x="1018"/>
        <item x="935"/>
        <item x="1528"/>
        <item x="644"/>
        <item x="1521"/>
        <item x="116"/>
        <item x="785"/>
        <item x="1556"/>
        <item x="1731"/>
        <item x="1560"/>
        <item x="177"/>
        <item x="386"/>
        <item x="450"/>
        <item x="1373"/>
        <item x="790"/>
        <item x="1516"/>
        <item x="867"/>
        <item x="912"/>
        <item x="1464"/>
        <item x="498"/>
        <item x="1322"/>
        <item x="93"/>
        <item x="1054"/>
        <item x="428"/>
        <item x="82"/>
        <item x="439"/>
        <item x="871"/>
        <item x="1378"/>
        <item x="1258"/>
        <item x="575"/>
        <item x="1653"/>
        <item x="715"/>
        <item x="1662"/>
        <item x="1613"/>
        <item x="1746"/>
        <item x="288"/>
        <item x="1590"/>
        <item x="1632"/>
        <item x="339"/>
        <item x="222"/>
        <item x="713"/>
        <item x="69"/>
        <item x="1105"/>
        <item x="235"/>
        <item x="590"/>
        <item x="942"/>
        <item x="8"/>
        <item x="424"/>
        <item x="459"/>
        <item x="1627"/>
        <item x="1091"/>
        <item x="501"/>
        <item x="1571"/>
        <item x="908"/>
        <item x="635"/>
        <item x="704"/>
        <item x="229"/>
        <item x="691"/>
        <item x="732"/>
        <item x="1711"/>
        <item x="668"/>
        <item x="1587"/>
        <item x="921"/>
        <item x="1515"/>
        <item x="130"/>
        <item x="1160"/>
        <item x="1051"/>
        <item x="375"/>
        <item x="856"/>
        <item x="18"/>
        <item x="1059"/>
        <item x="1259"/>
        <item x="489"/>
        <item x="1665"/>
        <item x="654"/>
        <item x="814"/>
        <item x="1211"/>
        <item x="1203"/>
        <item x="1366"/>
        <item x="1756"/>
        <item x="524"/>
        <item x="40"/>
        <item x="943"/>
        <item x="378"/>
        <item x="1159"/>
        <item x="1353"/>
        <item x="1424"/>
        <item x="1514"/>
        <item x="241"/>
        <item x="1406"/>
        <item x="1552"/>
        <item x="348"/>
        <item x="1227"/>
        <item x="245"/>
        <item x="1610"/>
        <item x="656"/>
        <item x="795"/>
        <item x="349"/>
        <item x="1335"/>
        <item x="1067"/>
        <item x="96"/>
        <item x="651"/>
        <item x="421"/>
        <item x="920"/>
        <item x="1392"/>
        <item x="173"/>
        <item x="916"/>
        <item x="978"/>
        <item x="709"/>
        <item x="603"/>
        <item x="148"/>
        <item x="327"/>
        <item x="887"/>
        <item x="1562"/>
        <item x="621"/>
        <item x="1214"/>
        <item x="512"/>
        <item x="1550"/>
        <item x="198"/>
        <item x="114"/>
        <item x="113"/>
        <item x="1742"/>
        <item x="1351"/>
        <item x="1236"/>
        <item x="1318"/>
        <item x="1115"/>
        <item x="797"/>
        <item x="1147"/>
        <item x="1301"/>
        <item x="1056"/>
        <item x="1000"/>
        <item x="1595"/>
        <item x="602"/>
        <item x="686"/>
        <item x="929"/>
        <item x="1674"/>
        <item x="1050"/>
        <item x="1502"/>
        <item x="941"/>
        <item x="840"/>
        <item x="784"/>
        <item x="1741"/>
        <item x="972"/>
        <item x="1749"/>
        <item x="1442"/>
        <item x="210"/>
        <item x="1700"/>
        <item x="865"/>
        <item x="1110"/>
        <item x="554"/>
        <item x="157"/>
        <item x="389"/>
        <item x="845"/>
        <item x="478"/>
        <item x="777"/>
        <item x="1339"/>
        <item x="1190"/>
        <item x="367"/>
        <item x="1701"/>
        <item x="911"/>
        <item x="1299"/>
        <item x="1504"/>
        <item x="559"/>
        <item x="37"/>
        <item x="322"/>
        <item x="1462"/>
        <item x="1380"/>
        <item x="71"/>
        <item x="878"/>
        <item x="605"/>
        <item x="1485"/>
        <item x="1304"/>
        <item x="971"/>
        <item x="200"/>
        <item x="1495"/>
        <item x="324"/>
        <item x="561"/>
        <item x="1469"/>
        <item x="1729"/>
        <item x="1028"/>
        <item x="263"/>
        <item x="1254"/>
        <item x="471"/>
        <item x="437"/>
        <item x="566"/>
        <item x="1470"/>
        <item x="1215"/>
        <item x="1414"/>
        <item x="746"/>
        <item x="1646"/>
        <item x="1149"/>
        <item x="44"/>
        <item x="1446"/>
        <item x="947"/>
        <item x="205"/>
        <item x="999"/>
        <item x="1507"/>
        <item x="678"/>
        <item x="207"/>
        <item x="121"/>
        <item x="1663"/>
        <item x="306"/>
        <item x="1717"/>
        <item x="430"/>
        <item x="21"/>
        <item x="251"/>
        <item x="286"/>
        <item x="273"/>
        <item x="1379"/>
        <item x="284"/>
        <item x="761"/>
        <item x="285"/>
        <item x="1697"/>
        <item x="1361"/>
        <item x="396"/>
        <item x="1014"/>
        <item x="1307"/>
        <item x="1544"/>
        <item x="866"/>
        <item x="1654"/>
        <item x="669"/>
        <item x="1046"/>
        <item x="105"/>
        <item x="930"/>
        <item x="1328"/>
        <item x="699"/>
        <item x="712"/>
        <item x="767"/>
        <item x="1146"/>
        <item x="1179"/>
        <item x="1319"/>
        <item x="637"/>
        <item x="970"/>
        <item x="696"/>
        <item x="1536"/>
        <item x="1315"/>
        <item x="321"/>
        <item x="1064"/>
        <item x="270"/>
        <item x="1138"/>
        <item x="924"/>
        <item x="1280"/>
        <item x="587"/>
        <item x="1092"/>
        <item x="484"/>
        <item x="782"/>
        <item x="747"/>
        <item x="876"/>
        <item x="1673"/>
        <item x="1666"/>
        <item x="1628"/>
        <item x="1374"/>
        <item x="541"/>
        <item x="1719"/>
        <item x="1472"/>
        <item x="1698"/>
        <item x="1255"/>
        <item x="1744"/>
        <item x="649"/>
        <item x="405"/>
        <item x="1716"/>
        <item x="1643"/>
        <item x="617"/>
        <item x="127"/>
        <item x="1081"/>
        <item x="735"/>
        <item x="581"/>
        <item x="1421"/>
        <item x="448"/>
        <item x="1503"/>
        <item x="810"/>
        <item x="1078"/>
        <item x="1362"/>
        <item x="680"/>
        <item x="24"/>
        <item x="708"/>
        <item x="1245"/>
        <item x="809"/>
        <item x="369"/>
        <item x="1689"/>
        <item x="1162"/>
        <item x="1346"/>
        <item x="1453"/>
        <item x="1072"/>
        <item x="1615"/>
        <item x="875"/>
        <item x="1513"/>
        <item x="1218"/>
        <item x="481"/>
        <item x="1019"/>
        <item x="401"/>
        <item x="1739"/>
        <item x="1593"/>
        <item x="874"/>
        <item x="1303"/>
        <item x="89"/>
        <item x="1376"/>
        <item x="1690"/>
        <item x="1748"/>
        <item x="1240"/>
        <item x="718"/>
        <item x="1369"/>
        <item x="91"/>
        <item x="1257"/>
        <item x="1252"/>
        <item x="906"/>
        <item x="1225"/>
        <item x="1163"/>
        <item x="1263"/>
        <item x="1636"/>
        <item x="56"/>
        <item x="1461"/>
        <item x="1659"/>
        <item x="1606"/>
        <item x="363"/>
        <item x="75"/>
        <item x="12"/>
        <item x="31"/>
        <item x="1594"/>
        <item x="136"/>
        <item x="532"/>
        <item x="738"/>
        <item x="1408"/>
        <item x="653"/>
        <item x="1471"/>
        <item x="1529"/>
        <item x="404"/>
        <item x="1752"/>
        <item x="1338"/>
        <item x="652"/>
        <item x="1088"/>
        <item x="153"/>
        <item x="1386"/>
        <item x="1079"/>
        <item x="344"/>
        <item x="185"/>
        <item x="913"/>
        <item x="371"/>
        <item x="820"/>
        <item x="710"/>
        <item x="1032"/>
        <item x="1070"/>
        <item x="417"/>
        <item x="5"/>
        <item x="671"/>
        <item x="910"/>
        <item x="368"/>
        <item x="526"/>
        <item x="183"/>
        <item x="1696"/>
        <item x="1727"/>
        <item x="1398"/>
        <item x="1577"/>
        <item x="1548"/>
        <item x="1532"/>
        <item x="695"/>
        <item x="551"/>
        <item x="492"/>
        <item x="410"/>
        <item x="1170"/>
        <item x="1649"/>
        <item x="1027"/>
        <item x="1682"/>
        <item x="829"/>
        <item x="665"/>
        <item x="115"/>
        <item x="399"/>
        <item x="774"/>
        <item x="993"/>
        <item x="1302"/>
        <item x="706"/>
        <item x="1599"/>
        <item x="1477"/>
        <item x="98"/>
        <item x="1585"/>
        <item x="677"/>
        <item x="858"/>
        <item x="1658"/>
        <item x="1025"/>
        <item x="664"/>
        <item x="1313"/>
        <item x="1333"/>
        <item x="62"/>
        <item x="1103"/>
        <item x="768"/>
        <item x="1232"/>
        <item x="859"/>
        <item x="1273"/>
        <item x="1010"/>
        <item x="1295"/>
        <item x="741"/>
        <item x="1450"/>
        <item x="703"/>
        <item x="919"/>
        <item x="1438"/>
        <item x="456"/>
        <item x="290"/>
        <item x="107"/>
        <item x="555"/>
        <item x="1194"/>
        <item x="563"/>
        <item x="398"/>
        <item x="1724"/>
        <item x="870"/>
        <item x="22"/>
        <item x="201"/>
        <item x="1082"/>
        <item x="128"/>
        <item x="1312"/>
        <item x="365"/>
        <item x="490"/>
        <item x="1510"/>
        <item x="740"/>
        <item x="505"/>
        <item x="588"/>
        <item x="1509"/>
        <item x="1106"/>
        <item x="419"/>
        <item x="429"/>
        <item x="604"/>
        <item x="663"/>
        <item x="1676"/>
        <item x="1440"/>
        <item x="778"/>
        <item x="934"/>
        <item x="506"/>
        <item x="1612"/>
        <item x="360"/>
        <item x="227"/>
        <item x="13"/>
        <item x="1558"/>
        <item x="1393"/>
        <item x="868"/>
        <item x="1112"/>
        <item x="314"/>
        <item x="36"/>
        <item x="1720"/>
        <item x="171"/>
        <item x="188"/>
        <item x="1425"/>
        <item x="1631"/>
        <item x="1237"/>
        <item t="default"/>
      </items>
    </pivotField>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5">
        <item x="0"/>
        <item x="2"/>
        <item x="1"/>
        <item x="3"/>
        <item t="default"/>
      </items>
    </pivotField>
    <pivotField showAll="0"/>
    <pivotField showAll="0"/>
    <pivotField showAll="0"/>
    <pivotField showAll="0"/>
    <pivotField showAll="0">
      <items count="16">
        <item x="7"/>
        <item x="3"/>
        <item x="1"/>
        <item x="2"/>
        <item x="5"/>
        <item x="0"/>
        <item x="4"/>
        <item x="6"/>
        <item x="9"/>
        <item x="8"/>
        <item x="14"/>
        <item x="11"/>
        <item x="13"/>
        <item x="10"/>
        <item x="12"/>
        <item t="default"/>
      </items>
    </pivotField>
    <pivotField showAll="0">
      <items count="14">
        <item x="0"/>
        <item x="1"/>
        <item x="2"/>
        <item x="3"/>
        <item x="4"/>
        <item x="5"/>
        <item x="6"/>
        <item x="7"/>
        <item x="8"/>
        <item x="9"/>
        <item x="10"/>
        <item x="11"/>
        <item x="12"/>
        <item t="default"/>
      </items>
    </pivotField>
    <pivotField showAll="0"/>
    <pivotField showAll="0">
      <items count="8">
        <item sd="0" x="0"/>
        <item sd="0" x="1"/>
        <item sd="0" x="2"/>
        <item sd="0" x="4"/>
        <item sd="0" x="3"/>
        <item n="6-10" sd="0" x="5"/>
        <item n="11-87" sd="0" x="6"/>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s>
  <rowFields count="1">
    <field x="7"/>
  </rowFields>
  <rowItems count="5">
    <i>
      <x/>
    </i>
    <i>
      <x v="1"/>
    </i>
    <i>
      <x v="2"/>
    </i>
    <i>
      <x v="3"/>
    </i>
    <i t="grand">
      <x/>
    </i>
  </rowItems>
  <colItems count="1">
    <i/>
  </colItems>
  <dataFields count="1">
    <dataField name="Sum of Quantity" fld="2" baseField="0" baseItem="0"/>
  </dataFields>
  <chartFormats count="18">
    <chartFormat chart="6" format="0" series="1">
      <pivotArea type="data" outline="0" fieldPosition="0">
        <references count="2">
          <reference field="4294967294" count="1" selected="0">
            <x v="0"/>
          </reference>
          <reference field="7" count="1" selected="0">
            <x v="0"/>
          </reference>
        </references>
      </pivotArea>
    </chartFormat>
    <chartFormat chart="6" format="1" series="1">
      <pivotArea type="data" outline="0" fieldPosition="0">
        <references count="2">
          <reference field="4294967294" count="1" selected="0">
            <x v="0"/>
          </reference>
          <reference field="7" count="1" selected="0">
            <x v="1"/>
          </reference>
        </references>
      </pivotArea>
    </chartFormat>
    <chartFormat chart="6" format="2" series="1">
      <pivotArea type="data" outline="0" fieldPosition="0">
        <references count="2">
          <reference field="4294967294" count="1" selected="0">
            <x v="0"/>
          </reference>
          <reference field="7" count="1" selected="0">
            <x v="2"/>
          </reference>
        </references>
      </pivotArea>
    </chartFormat>
    <chartFormat chart="6" format="3" series="1">
      <pivotArea type="data" outline="0" fieldPosition="0">
        <references count="2">
          <reference field="4294967294" count="1" selected="0">
            <x v="0"/>
          </reference>
          <reference field="7" count="1" selected="0">
            <x v="3"/>
          </reference>
        </references>
      </pivotArea>
    </chartFormat>
    <chartFormat chart="8" format="8" series="1">
      <pivotArea type="data" outline="0" fieldPosition="0">
        <references count="2">
          <reference field="4294967294" count="1" selected="0">
            <x v="0"/>
          </reference>
          <reference field="7" count="1" selected="0">
            <x v="0"/>
          </reference>
        </references>
      </pivotArea>
    </chartFormat>
    <chartFormat chart="8" format="9" series="1">
      <pivotArea type="data" outline="0" fieldPosition="0">
        <references count="2">
          <reference field="4294967294" count="1" selected="0">
            <x v="0"/>
          </reference>
          <reference field="7" count="1" selected="0">
            <x v="1"/>
          </reference>
        </references>
      </pivotArea>
    </chartFormat>
    <chartFormat chart="8" format="10" series="1">
      <pivotArea type="data" outline="0" fieldPosition="0">
        <references count="2">
          <reference field="4294967294" count="1" selected="0">
            <x v="0"/>
          </reference>
          <reference field="7" count="1" selected="0">
            <x v="2"/>
          </reference>
        </references>
      </pivotArea>
    </chartFormat>
    <chartFormat chart="8" format="11" series="1">
      <pivotArea type="data" outline="0" fieldPosition="0">
        <references count="2">
          <reference field="4294967294" count="1" selected="0">
            <x v="0"/>
          </reference>
          <reference field="7" count="1" selected="0">
            <x v="3"/>
          </reference>
        </references>
      </pivotArea>
    </chartFormat>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7" count="1" selected="0">
            <x v="0"/>
          </reference>
        </references>
      </pivotArea>
    </chartFormat>
    <chartFormat chart="9" format="2">
      <pivotArea type="data" outline="0" fieldPosition="0">
        <references count="2">
          <reference field="4294967294" count="1" selected="0">
            <x v="0"/>
          </reference>
          <reference field="7" count="1" selected="0">
            <x v="3"/>
          </reference>
        </references>
      </pivotArea>
    </chartFormat>
    <chartFormat chart="9" format="3">
      <pivotArea type="data" outline="0" fieldPosition="0">
        <references count="2">
          <reference field="4294967294" count="1" selected="0">
            <x v="0"/>
          </reference>
          <reference field="7" count="1" selected="0">
            <x v="2"/>
          </reference>
        </references>
      </pivotArea>
    </chartFormat>
    <chartFormat chart="9" format="4">
      <pivotArea type="data" outline="0" fieldPosition="0">
        <references count="2">
          <reference field="4294967294" count="1" selected="0">
            <x v="0"/>
          </reference>
          <reference field="7" count="1" selected="0">
            <x v="1"/>
          </reference>
        </references>
      </pivotArea>
    </chartFormat>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7" count="1" selected="0">
            <x v="0"/>
          </reference>
        </references>
      </pivotArea>
    </chartFormat>
    <chartFormat chart="11" format="12">
      <pivotArea type="data" outline="0" fieldPosition="0">
        <references count="2">
          <reference field="4294967294" count="1" selected="0">
            <x v="0"/>
          </reference>
          <reference field="7" count="1" selected="0">
            <x v="1"/>
          </reference>
        </references>
      </pivotArea>
    </chartFormat>
    <chartFormat chart="11" format="13">
      <pivotArea type="data" outline="0" fieldPosition="0">
        <references count="2">
          <reference field="4294967294" count="1" selected="0">
            <x v="0"/>
          </reference>
          <reference field="7" count="1" selected="0">
            <x v="2"/>
          </reference>
        </references>
      </pivotArea>
    </chartFormat>
    <chartFormat chart="11" format="1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D742C47-F01A-49D1-810D-8C9A38B28C92}" name="popular product"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H10:M32" firstHeaderRow="1" firstDataRow="2" firstDataCol="1"/>
  <pivotFields count="18">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items count="1765">
        <item x="0"/>
        <item x="432"/>
        <item x="1482"/>
        <item x="178"/>
        <item x="1436"/>
        <item x="239"/>
        <item x="591"/>
        <item x="1426"/>
        <item x="1021"/>
        <item x="283"/>
        <item x="1494"/>
        <item x="749"/>
        <item x="1609"/>
        <item x="248"/>
        <item x="135"/>
        <item x="836"/>
        <item x="832"/>
        <item x="1200"/>
        <item x="1600"/>
        <item x="1709"/>
        <item x="670"/>
        <item x="1492"/>
        <item x="134"/>
        <item x="447"/>
        <item x="688"/>
        <item x="1219"/>
        <item x="614"/>
        <item x="1137"/>
        <item x="132"/>
        <item x="190"/>
        <item x="1500"/>
        <item x="323"/>
        <item x="798"/>
        <item x="333"/>
        <item x="1429"/>
        <item x="1349"/>
        <item x="483"/>
        <item x="731"/>
        <item x="1084"/>
        <item x="258"/>
        <item x="968"/>
        <item x="525"/>
        <item x="249"/>
        <item x="1246"/>
        <item x="61"/>
        <item x="1695"/>
        <item x="772"/>
        <item x="126"/>
        <item x="1561"/>
        <item x="779"/>
        <item x="301"/>
        <item x="835"/>
        <item x="1057"/>
        <item x="1616"/>
        <item x="830"/>
        <item x="1644"/>
        <item x="202"/>
        <item x="1672"/>
        <item x="19"/>
        <item x="382"/>
        <item x="1441"/>
        <item x="1703"/>
        <item x="1191"/>
        <item x="601"/>
        <item x="1102"/>
        <item x="38"/>
        <item x="534"/>
        <item x="63"/>
        <item x="49"/>
        <item x="1116"/>
        <item x="1639"/>
        <item x="1637"/>
        <item x="879"/>
        <item x="293"/>
        <item x="425"/>
        <item x="1034"/>
        <item x="1076"/>
        <item x="1678"/>
        <item x="47"/>
        <item x="1493"/>
        <item x="242"/>
        <item x="928"/>
        <item x="1538"/>
        <item x="1642"/>
        <item x="558"/>
        <item x="1705"/>
        <item x="406"/>
        <item x="1323"/>
        <item x="1455"/>
        <item x="35"/>
        <item x="137"/>
        <item x="627"/>
        <item x="109"/>
        <item x="1158"/>
        <item x="390"/>
        <item x="1684"/>
        <item x="1229"/>
        <item x="944"/>
        <item x="860"/>
        <item x="940"/>
        <item x="698"/>
        <item x="1417"/>
        <item x="253"/>
        <item x="1680"/>
        <item x="1564"/>
        <item x="1222"/>
        <item x="607"/>
        <item x="1656"/>
        <item x="1580"/>
        <item x="1114"/>
        <item x="169"/>
        <item x="1553"/>
        <item x="1668"/>
        <item x="1657"/>
        <item x="519"/>
        <item x="72"/>
        <item x="1520"/>
        <item x="53"/>
        <item x="168"/>
        <item x="1277"/>
        <item x="547"/>
        <item x="329"/>
        <item x="791"/>
        <item x="1745"/>
        <item x="804"/>
        <item x="463"/>
        <item x="853"/>
        <item x="753"/>
        <item x="220"/>
        <item x="1139"/>
        <item x="1320"/>
        <item x="1732"/>
        <item x="923"/>
        <item x="496"/>
        <item x="864"/>
        <item x="736"/>
        <item x="341"/>
        <item x="144"/>
        <item x="165"/>
        <item x="282"/>
        <item x="518"/>
        <item x="1400"/>
        <item x="1117"/>
        <item x="1352"/>
        <item x="274"/>
        <item x="803"/>
        <item x="783"/>
        <item x="1184"/>
        <item x="504"/>
        <item x="1667"/>
        <item x="50"/>
        <item x="1712"/>
        <item x="480"/>
        <item x="1465"/>
        <item x="1151"/>
        <item x="337"/>
        <item x="1283"/>
        <item x="469"/>
        <item x="440"/>
        <item x="39"/>
        <item x="1286"/>
        <item x="181"/>
        <item x="1422"/>
        <item x="1195"/>
        <item x="328"/>
        <item x="1661"/>
        <item x="945"/>
        <item x="573"/>
        <item x="225"/>
        <item x="1456"/>
        <item x="438"/>
        <item x="938"/>
        <item x="583"/>
        <item x="1212"/>
        <item x="705"/>
        <item x="204"/>
        <item x="962"/>
        <item x="494"/>
        <item x="716"/>
        <item x="722"/>
        <item x="1063"/>
        <item x="516"/>
        <item x="434"/>
        <item x="1447"/>
        <item x="594"/>
        <item x="86"/>
        <item x="179"/>
        <item x="392"/>
        <item x="828"/>
        <item x="1601"/>
        <item x="538"/>
        <item x="510"/>
        <item x="959"/>
        <item x="1293"/>
        <item x="655"/>
        <item x="319"/>
        <item x="1247"/>
        <item x="51"/>
        <item x="268"/>
        <item x="528"/>
        <item x="1111"/>
        <item x="256"/>
        <item x="1474"/>
        <item x="500"/>
        <item x="1039"/>
        <item x="486"/>
        <item x="813"/>
        <item x="458"/>
        <item x="578"/>
        <item x="163"/>
        <item x="180"/>
        <item x="1045"/>
        <item x="937"/>
        <item x="733"/>
        <item x="964"/>
        <item x="954"/>
        <item x="1074"/>
        <item x="1692"/>
        <item x="475"/>
        <item x="1342"/>
        <item x="773"/>
        <item x="1559"/>
        <item x="413"/>
        <item x="1228"/>
        <item x="112"/>
        <item x="513"/>
        <item x="535"/>
        <item x="1557"/>
        <item x="287"/>
        <item x="1563"/>
        <item x="789"/>
        <item x="1309"/>
        <item x="1758"/>
        <item x="1260"/>
        <item x="1089"/>
        <item x="521"/>
        <item x="1364"/>
        <item x="630"/>
        <item x="1107"/>
        <item x="1539"/>
        <item x="1407"/>
        <item x="1090"/>
        <item x="252"/>
        <item x="898"/>
        <item x="291"/>
        <item x="6"/>
        <item x="466"/>
        <item x="102"/>
        <item x="1581"/>
        <item x="391"/>
        <item x="571"/>
        <item x="1007"/>
        <item x="1498"/>
        <item x="1640"/>
        <item x="933"/>
        <item x="472"/>
        <item x="473"/>
        <item x="1177"/>
        <item x="1281"/>
        <item x="1253"/>
        <item x="636"/>
        <item x="569"/>
        <item x="687"/>
        <item x="1356"/>
        <item x="1635"/>
        <item x="331"/>
        <item x="305"/>
        <item x="902"/>
        <item x="150"/>
        <item x="572"/>
        <item x="1242"/>
        <item x="1478"/>
        <item x="676"/>
        <item x="1100"/>
        <item x="254"/>
        <item x="1176"/>
        <item x="1201"/>
        <item x="1738"/>
        <item x="266"/>
        <item x="408"/>
        <item x="1035"/>
        <item x="1297"/>
        <item x="170"/>
        <item x="1"/>
        <item x="886"/>
        <item x="1085"/>
        <item x="834"/>
        <item x="546"/>
        <item x="957"/>
        <item x="85"/>
        <item x="1448"/>
        <item x="1197"/>
        <item x="1030"/>
        <item x="683"/>
        <item x="1016"/>
        <item x="143"/>
        <item x="1620"/>
        <item x="1220"/>
        <item x="1276"/>
        <item x="34"/>
        <item x="1005"/>
        <item x="1394"/>
        <item x="453"/>
        <item x="1099"/>
        <item x="1740"/>
        <item x="460"/>
        <item x="891"/>
        <item x="221"/>
        <item x="212"/>
        <item x="1481"/>
        <item x="499"/>
        <item x="511"/>
        <item x="812"/>
        <item x="387"/>
        <item x="1124"/>
        <item x="702"/>
        <item x="815"/>
        <item x="14"/>
        <item x="119"/>
        <item x="884"/>
        <item x="966"/>
        <item x="863"/>
        <item x="1476"/>
        <item x="693"/>
        <item x="509"/>
        <item x="821"/>
        <item x="418"/>
        <item x="745"/>
        <item x="1714"/>
        <item x="508"/>
        <item x="1043"/>
        <item x="564"/>
        <item x="59"/>
        <item x="299"/>
        <item x="1154"/>
        <item x="952"/>
        <item x="474"/>
        <item x="1549"/>
        <item x="1012"/>
        <item x="527"/>
        <item x="1664"/>
        <item x="184"/>
        <item x="1321"/>
        <item x="1013"/>
        <item x="660"/>
        <item x="1574"/>
        <item x="503"/>
        <item x="1289"/>
        <item x="623"/>
        <item x="1325"/>
        <item x="236"/>
        <item x="1285"/>
        <item x="936"/>
        <item x="1524"/>
        <item x="426"/>
        <item x="1517"/>
        <item x="800"/>
        <item x="372"/>
        <item x="1314"/>
        <item x="610"/>
        <item x="110"/>
        <item x="965"/>
        <item x="1734"/>
        <item x="611"/>
        <item x="495"/>
        <item x="108"/>
        <item x="1554"/>
        <item x="998"/>
        <item x="172"/>
        <item x="1488"/>
        <item x="1648"/>
        <item x="514"/>
        <item x="882"/>
        <item x="714"/>
        <item x="332"/>
        <item x="1721"/>
        <item x="445"/>
        <item x="1003"/>
        <item x="837"/>
        <item x="83"/>
        <item x="771"/>
        <item x="1598"/>
        <item x="1233"/>
        <item x="482"/>
        <item x="292"/>
        <item x="648"/>
        <item x="1148"/>
        <item x="166"/>
        <item x="1670"/>
        <item x="1645"/>
        <item x="491"/>
        <item x="1623"/>
        <item x="1608"/>
        <item x="1751"/>
        <item x="1113"/>
        <item x="84"/>
        <item x="1187"/>
        <item x="1589"/>
        <item x="479"/>
        <item x="1133"/>
        <item x="556"/>
        <item x="48"/>
        <item x="7"/>
        <item x="1687"/>
        <item x="41"/>
        <item x="1443"/>
        <item x="969"/>
        <item x="1101"/>
        <item x="1523"/>
        <item x="330"/>
        <item x="1135"/>
        <item x="673"/>
        <item x="1518"/>
        <item x="462"/>
        <item x="1182"/>
        <item x="470"/>
        <item x="707"/>
        <item x="925"/>
        <item x="681"/>
        <item x="433"/>
        <item x="1405"/>
        <item x="903"/>
        <item x="278"/>
        <item x="533"/>
        <item x="1274"/>
        <item x="1647"/>
        <item x="1331"/>
        <item x="464"/>
        <item x="825"/>
        <item x="1216"/>
        <item x="1172"/>
        <item x="550"/>
        <item x="1324"/>
        <item x="1024"/>
        <item x="1360"/>
        <item x="616"/>
        <item x="781"/>
        <item x="700"/>
        <item x="626"/>
        <item x="1053"/>
        <item x="640"/>
        <item x="631"/>
        <item x="697"/>
        <item x="485"/>
        <item x="1205"/>
        <item x="1155"/>
        <item x="1047"/>
        <item x="787"/>
        <item x="1605"/>
        <item x="1702"/>
        <item x="542"/>
        <item x="70"/>
        <item x="32"/>
        <item x="817"/>
        <item x="645"/>
        <item x="244"/>
        <item x="786"/>
        <item x="497"/>
        <item x="742"/>
        <item x="407"/>
        <item x="1270"/>
        <item x="411"/>
        <item x="1058"/>
        <item x="758"/>
        <item x="988"/>
        <item x="1152"/>
        <item x="974"/>
        <item x="1196"/>
        <item x="737"/>
        <item x="1487"/>
        <item x="1707"/>
        <item x="16"/>
        <item x="1261"/>
        <item x="64"/>
        <item x="1650"/>
        <item x="442"/>
        <item x="255"/>
        <item x="1467"/>
        <item x="725"/>
        <item x="234"/>
        <item x="422"/>
        <item x="415"/>
        <item x="296"/>
        <item x="233"/>
        <item x="139"/>
        <item x="802"/>
        <item x="586"/>
        <item x="854"/>
        <item x="219"/>
        <item x="334"/>
        <item x="1629"/>
        <item x="73"/>
        <item x="980"/>
        <item x="1757"/>
        <item x="451"/>
        <item x="647"/>
        <item x="131"/>
        <item x="68"/>
        <item x="11"/>
        <item x="196"/>
        <item x="1543"/>
        <item x="197"/>
        <item x="643"/>
        <item x="1033"/>
        <item x="1300"/>
        <item x="1569"/>
        <item x="1459"/>
        <item x="350"/>
        <item x="1638"/>
        <item x="1217"/>
        <item x="1326"/>
        <item x="862"/>
        <item x="427"/>
        <item x="90"/>
        <item x="95"/>
        <item x="855"/>
        <item x="1171"/>
        <item x="857"/>
        <item x="1681"/>
        <item x="530"/>
        <item x="1062"/>
        <item x="646"/>
        <item x="298"/>
        <item x="125"/>
        <item x="576"/>
        <item x="1223"/>
        <item x="186"/>
        <item x="1454"/>
        <item x="1389"/>
        <item x="748"/>
        <item x="199"/>
        <item x="1652"/>
        <item x="661"/>
        <item x="211"/>
        <item x="1049"/>
        <item x="852"/>
        <item x="568"/>
        <item x="142"/>
        <item x="101"/>
        <item x="872"/>
        <item x="793"/>
        <item x="619"/>
        <item x="694"/>
        <item x="1002"/>
        <item x="1511"/>
        <item x="799"/>
        <item x="1311"/>
        <item x="215"/>
        <item x="807"/>
        <item x="1061"/>
        <item x="939"/>
        <item x="10"/>
        <item x="1178"/>
        <item x="42"/>
        <item x="659"/>
        <item x="414"/>
        <item x="1239"/>
        <item x="17"/>
        <item x="81"/>
        <item x="918"/>
        <item x="579"/>
        <item x="806"/>
        <item x="622"/>
        <item x="1097"/>
        <item x="1483"/>
        <item x="883"/>
        <item x="1006"/>
        <item x="1534"/>
        <item x="881"/>
        <item x="794"/>
        <item x="158"/>
        <item x="380"/>
        <item x="548"/>
        <item x="1413"/>
        <item x="1129"/>
        <item x="247"/>
        <item x="1127"/>
        <item x="1575"/>
        <item x="717"/>
        <item x="1466"/>
        <item x="488"/>
        <item x="1449"/>
        <item x="311"/>
        <item x="574"/>
        <item x="1579"/>
        <item x="151"/>
        <item x="1484"/>
        <item x="100"/>
        <item x="446"/>
        <item x="1699"/>
        <item x="565"/>
        <item x="1622"/>
        <item x="726"/>
        <item x="1527"/>
        <item x="1737"/>
        <item x="833"/>
        <item x="557"/>
        <item x="841"/>
        <item x="1098"/>
        <item x="593"/>
        <item x="1250"/>
        <item x="193"/>
        <item x="1402"/>
        <item x="120"/>
        <item x="111"/>
        <item x="160"/>
        <item x="493"/>
        <item x="92"/>
        <item x="1710"/>
        <item x="297"/>
        <item x="1087"/>
        <item x="164"/>
        <item x="641"/>
        <item x="1296"/>
        <item x="384"/>
        <item x="544"/>
        <item x="949"/>
        <item x="1287"/>
        <item x="1432"/>
        <item x="1268"/>
        <item x="553"/>
        <item x="302"/>
        <item x="145"/>
        <item x="376"/>
        <item x="1109"/>
        <item x="570"/>
        <item x="52"/>
        <item x="1415"/>
        <item x="352"/>
        <item x="967"/>
        <item x="624"/>
        <item x="1555"/>
        <item x="628"/>
        <item x="888"/>
        <item x="1077"/>
        <item x="1208"/>
        <item x="1332"/>
        <item x="520"/>
        <item x="1071"/>
        <item x="823"/>
        <item x="1193"/>
        <item x="618"/>
        <item x="539"/>
        <item x="58"/>
        <item x="580"/>
        <item x="1403"/>
        <item x="309"/>
        <item x="769"/>
        <item x="385"/>
        <item x="632"/>
        <item x="1060"/>
        <item x="33"/>
        <item x="1583"/>
        <item x="848"/>
        <item x="1272"/>
        <item x="1249"/>
        <item x="1209"/>
        <item x="1423"/>
        <item x="955"/>
        <item x="431"/>
        <item x="979"/>
        <item x="927"/>
        <item x="1265"/>
        <item x="117"/>
        <item x="986"/>
        <item x="1567"/>
        <item x="260"/>
        <item x="30"/>
        <item x="981"/>
        <item x="1545"/>
        <item x="1597"/>
        <item x="1048"/>
        <item x="531"/>
        <item x="1093"/>
        <item x="340"/>
        <item x="246"/>
        <item x="685"/>
        <item x="1693"/>
        <item x="1411"/>
        <item x="336"/>
        <item x="1641"/>
        <item x="1134"/>
        <item x="517"/>
        <item x="1294"/>
        <item x="996"/>
        <item x="383"/>
        <item x="1068"/>
        <item x="1387"/>
        <item x="1730"/>
        <item x="1367"/>
        <item x="223"/>
        <item x="304"/>
        <item x="639"/>
        <item x="374"/>
        <item x="209"/>
        <item x="194"/>
        <item x="388"/>
        <item x="377"/>
        <item x="1457"/>
        <item x="1683"/>
        <item x="634"/>
        <item x="1762"/>
        <item x="381"/>
        <item x="684"/>
        <item x="1427"/>
        <item x="1038"/>
        <item x="780"/>
        <item x="932"/>
        <item x="1708"/>
        <item x="1175"/>
        <item x="60"/>
        <item x="1419"/>
        <item x="275"/>
        <item x="1298"/>
        <item x="1391"/>
        <item x="1489"/>
        <item x="897"/>
        <item x="1410"/>
        <item x="1096"/>
        <item x="625"/>
        <item x="613"/>
        <item x="1435"/>
        <item x="1262"/>
        <item x="353"/>
        <item x="1401"/>
        <item x="468"/>
        <item x="973"/>
        <item x="675"/>
        <item x="1626"/>
        <item x="1570"/>
        <item x="599"/>
        <item x="1718"/>
        <item x="1207"/>
        <item x="1363"/>
        <item x="1761"/>
        <item x="926"/>
        <item x="824"/>
        <item x="1224"/>
        <item x="203"/>
        <item x="1119"/>
        <item x="1753"/>
        <item x="956"/>
        <item x="1501"/>
        <item x="689"/>
        <item x="315"/>
        <item x="638"/>
        <item x="379"/>
        <item x="562"/>
        <item x="842"/>
        <item x="354"/>
        <item x="277"/>
        <item x="174"/>
        <item x="318"/>
        <item x="465"/>
        <item x="1621"/>
        <item x="1388"/>
        <item x="1634"/>
        <item x="1065"/>
        <item x="1618"/>
        <item x="1145"/>
        <item x="1330"/>
        <item x="1506"/>
        <item x="608"/>
        <item x="1399"/>
        <item x="55"/>
        <item x="1384"/>
        <item x="831"/>
        <item x="1120"/>
        <item x="1040"/>
        <item x="351"/>
        <item x="1230"/>
        <item x="515"/>
        <item x="1126"/>
        <item x="1733"/>
        <item x="1660"/>
        <item x="9"/>
        <item x="963"/>
        <item x="1588"/>
        <item x="1655"/>
        <item x="507"/>
        <item x="1022"/>
        <item x="905"/>
        <item x="739"/>
        <item x="1355"/>
        <item x="402"/>
        <item x="1329"/>
        <item x="409"/>
        <item x="1750"/>
        <item x="1344"/>
        <item x="444"/>
        <item x="250"/>
        <item x="950"/>
        <item x="1271"/>
        <item x="1530"/>
        <item x="811"/>
        <item x="759"/>
        <item x="154"/>
        <item x="1095"/>
        <item x="1157"/>
        <item x="915"/>
        <item x="435"/>
        <item x="1288"/>
        <item x="1164"/>
        <item x="1475"/>
        <item x="1128"/>
        <item x="838"/>
        <item x="1728"/>
        <item x="657"/>
        <item x="1183"/>
        <item x="522"/>
        <item x="1080"/>
        <item x="1759"/>
        <item x="1445"/>
        <item x="1537"/>
        <item x="312"/>
        <item x="1345"/>
        <item x="1251"/>
        <item x="1189"/>
        <item x="1256"/>
        <item x="701"/>
        <item x="762"/>
        <item x="606"/>
        <item x="589"/>
        <item x="1243"/>
        <item x="750"/>
        <item x="1713"/>
        <item x="66"/>
        <item x="1763"/>
        <item x="1603"/>
        <item x="1531"/>
        <item x="900"/>
        <item x="362"/>
        <item x="1026"/>
        <item x="612"/>
        <item x="393"/>
        <item x="4"/>
        <item x="1284"/>
        <item x="1691"/>
        <item x="307"/>
        <item x="443"/>
        <item x="727"/>
        <item x="1512"/>
        <item x="1522"/>
        <item x="595"/>
        <item x="231"/>
        <item x="826"/>
        <item x="187"/>
        <item x="162"/>
        <item x="775"/>
        <item x="893"/>
        <item x="1669"/>
        <item x="597"/>
        <item x="1434"/>
        <item x="889"/>
        <item x="1337"/>
        <item x="1619"/>
        <item x="1395"/>
        <item x="224"/>
        <item x="25"/>
        <item x="122"/>
        <item x="766"/>
        <item x="218"/>
        <item x="1525"/>
        <item x="1350"/>
        <item x="257"/>
        <item x="983"/>
        <item x="633"/>
        <item x="74"/>
        <item x="394"/>
        <item x="67"/>
        <item x="1020"/>
        <item x="1573"/>
        <item x="476"/>
        <item x="359"/>
        <item x="366"/>
        <item x="1565"/>
        <item x="1142"/>
        <item x="1275"/>
        <item x="1452"/>
        <item x="690"/>
        <item x="106"/>
        <item x="364"/>
        <item x="316"/>
        <item x="1596"/>
        <item x="1143"/>
        <item x="1180"/>
        <item x="1165"/>
        <item x="156"/>
        <item x="79"/>
        <item x="808"/>
        <item x="1173"/>
        <item x="412"/>
        <item x="827"/>
        <item x="1390"/>
        <item x="1458"/>
        <item x="885"/>
        <item x="620"/>
        <item x="975"/>
        <item x="455"/>
        <item x="1385"/>
        <item x="118"/>
        <item x="1001"/>
        <item x="1582"/>
        <item x="1131"/>
        <item x="1086"/>
        <item x="1372"/>
        <item x="1348"/>
        <item x="724"/>
        <item x="213"/>
        <item x="1451"/>
        <item x="796"/>
        <item x="1042"/>
        <item x="1343"/>
        <item x="529"/>
        <item x="345"/>
        <item x="261"/>
        <item x="1473"/>
        <item x="94"/>
        <item x="1174"/>
        <item x="280"/>
        <item x="1568"/>
        <item x="1327"/>
        <item x="243"/>
        <item x="338"/>
        <item x="756"/>
        <item x="1572"/>
        <item x="487"/>
        <item x="436"/>
        <item x="958"/>
        <item x="167"/>
        <item x="1192"/>
        <item x="1210"/>
        <item x="896"/>
        <item x="308"/>
        <item x="271"/>
        <item x="1519"/>
        <item x="420"/>
        <item x="861"/>
        <item x="763"/>
        <item x="152"/>
        <item x="228"/>
        <item x="577"/>
        <item x="977"/>
        <item x="294"/>
        <item x="214"/>
        <item x="403"/>
        <item x="877"/>
        <item x="1186"/>
        <item x="43"/>
        <item x="454"/>
        <item x="461"/>
        <item x="1428"/>
        <item x="904"/>
        <item x="140"/>
        <item x="1704"/>
        <item x="1416"/>
        <item x="922"/>
        <item x="549"/>
        <item x="1336"/>
        <item x="264"/>
        <item x="609"/>
        <item x="138"/>
        <item x="1130"/>
        <item x="1202"/>
        <item x="23"/>
        <item x="1168"/>
        <item x="667"/>
        <item x="1651"/>
        <item x="1066"/>
        <item x="230"/>
        <item x="801"/>
        <item x="267"/>
        <item x="1547"/>
        <item x="226"/>
        <item x="325"/>
        <item x="560"/>
        <item x="523"/>
        <item x="818"/>
        <item x="679"/>
        <item x="1431"/>
        <item x="1725"/>
        <item x="303"/>
        <item x="397"/>
        <item x="1094"/>
        <item x="206"/>
        <item x="1715"/>
        <item x="760"/>
        <item x="358"/>
        <item x="1722"/>
        <item x="991"/>
        <item x="1433"/>
        <item x="1479"/>
        <item x="1282"/>
        <item x="104"/>
        <item x="985"/>
        <item x="20"/>
        <item x="77"/>
        <item x="1199"/>
        <item x="1437"/>
        <item x="1055"/>
        <item x="765"/>
        <item x="1156"/>
        <item x="839"/>
        <item x="642"/>
        <item x="961"/>
        <item x="1169"/>
        <item x="692"/>
        <item x="1141"/>
        <item x="901"/>
        <item x="846"/>
        <item x="890"/>
        <item x="873"/>
        <item x="317"/>
        <item x="1009"/>
        <item x="776"/>
        <item x="1535"/>
        <item x="326"/>
        <item x="1675"/>
        <item x="65"/>
        <item x="662"/>
        <item x="129"/>
        <item x="416"/>
        <item x="1279"/>
        <item x="147"/>
        <item x="1686"/>
        <item x="27"/>
        <item x="1541"/>
        <item x="1167"/>
        <item x="822"/>
        <item x="1166"/>
        <item x="984"/>
        <item x="743"/>
        <item x="1404"/>
        <item x="1161"/>
        <item x="1359"/>
        <item x="217"/>
        <item x="615"/>
        <item x="757"/>
        <item x="123"/>
        <item x="976"/>
        <item x="1412"/>
        <item x="1706"/>
        <item x="1118"/>
        <item x="540"/>
        <item x="76"/>
        <item x="666"/>
        <item x="1069"/>
        <item x="1760"/>
        <item x="989"/>
        <item x="1551"/>
        <item x="78"/>
        <item x="237"/>
        <item x="1396"/>
        <item x="1365"/>
        <item x="1150"/>
        <item x="1248"/>
        <item x="987"/>
        <item x="342"/>
        <item x="1533"/>
        <item x="1723"/>
        <item x="1044"/>
        <item x="1234"/>
        <item x="805"/>
        <item x="1726"/>
        <item x="1231"/>
        <item x="1017"/>
        <item x="596"/>
        <item x="1316"/>
        <item x="262"/>
        <item x="719"/>
        <item x="441"/>
        <item x="672"/>
        <item x="1031"/>
        <item x="1204"/>
        <item x="598"/>
        <item x="1576"/>
        <item x="721"/>
        <item x="238"/>
        <item x="1310"/>
        <item x="1235"/>
        <item x="216"/>
        <item x="1624"/>
        <item x="543"/>
        <item x="1267"/>
        <item x="467"/>
        <item x="1679"/>
        <item x="1136"/>
        <item x="545"/>
        <item x="1206"/>
        <item x="816"/>
        <item x="1578"/>
        <item x="1586"/>
        <item x="103"/>
        <item x="1306"/>
        <item x="754"/>
        <item x="343"/>
        <item x="28"/>
        <item x="133"/>
        <item x="951"/>
        <item x="281"/>
        <item x="755"/>
        <item x="300"/>
        <item x="87"/>
        <item x="1371"/>
        <item x="1292"/>
        <item x="946"/>
        <item x="536"/>
        <item x="650"/>
        <item x="155"/>
        <item x="629"/>
        <item x="1468"/>
        <item x="1499"/>
        <item x="1486"/>
        <item x="195"/>
        <item x="600"/>
        <item x="1290"/>
        <item x="960"/>
        <item x="361"/>
        <item x="1104"/>
        <item x="175"/>
        <item x="1754"/>
        <item x="124"/>
        <item x="948"/>
        <item x="3"/>
        <item x="723"/>
        <item x="1685"/>
        <item x="1497"/>
        <item x="751"/>
        <item x="1370"/>
        <item x="1611"/>
        <item x="1317"/>
        <item x="1266"/>
        <item x="792"/>
        <item x="844"/>
        <item x="843"/>
        <item x="1439"/>
        <item x="357"/>
        <item x="1083"/>
        <item x="1546"/>
        <item x="1123"/>
        <item x="259"/>
        <item x="1430"/>
        <item x="88"/>
        <item x="1625"/>
        <item x="54"/>
        <item x="899"/>
        <item x="1291"/>
        <item x="1029"/>
        <item x="208"/>
        <item x="1633"/>
        <item x="907"/>
        <item x="819"/>
        <item x="1144"/>
        <item x="1340"/>
        <item x="313"/>
        <item x="1409"/>
        <item x="97"/>
        <item x="276"/>
        <item x="552"/>
        <item x="1614"/>
        <item x="917"/>
        <item x="788"/>
        <item x="585"/>
        <item x="584"/>
        <item x="1677"/>
        <item x="45"/>
        <item x="592"/>
        <item x="674"/>
        <item x="1073"/>
        <item x="1004"/>
        <item x="1420"/>
        <item x="423"/>
        <item x="770"/>
        <item x="990"/>
        <item x="29"/>
        <item x="1241"/>
        <item x="1125"/>
        <item x="346"/>
        <item x="537"/>
        <item x="1264"/>
        <item x="1375"/>
        <item x="1008"/>
        <item x="1122"/>
        <item x="232"/>
        <item x="452"/>
        <item x="1368"/>
        <item x="1140"/>
        <item x="1526"/>
        <item x="457"/>
        <item x="1121"/>
        <item x="1743"/>
        <item x="1381"/>
        <item x="1397"/>
        <item x="764"/>
        <item x="711"/>
        <item x="320"/>
        <item x="295"/>
        <item x="1221"/>
        <item x="909"/>
        <item x="1460"/>
        <item x="1341"/>
        <item x="1444"/>
        <item x="57"/>
        <item x="159"/>
        <item x="182"/>
        <item x="373"/>
        <item x="1542"/>
        <item x="982"/>
        <item x="1052"/>
        <item x="1591"/>
        <item x="994"/>
        <item x="728"/>
        <item x="80"/>
        <item x="729"/>
        <item x="1694"/>
        <item x="1508"/>
        <item x="395"/>
        <item x="1566"/>
        <item x="1188"/>
        <item x="1347"/>
        <item x="1226"/>
        <item x="567"/>
        <item x="289"/>
        <item x="161"/>
        <item x="279"/>
        <item x="1269"/>
        <item x="1671"/>
        <item x="15"/>
        <item x="1505"/>
        <item x="141"/>
        <item x="892"/>
        <item x="400"/>
        <item x="355"/>
        <item x="1418"/>
        <item x="851"/>
        <item x="1037"/>
        <item x="1075"/>
        <item x="502"/>
        <item x="752"/>
        <item x="1755"/>
        <item x="1480"/>
        <item x="1747"/>
        <item x="895"/>
        <item x="176"/>
        <item x="744"/>
        <item x="269"/>
        <item x="1011"/>
        <item x="46"/>
        <item x="997"/>
        <item x="99"/>
        <item x="1015"/>
        <item x="1198"/>
        <item x="1238"/>
        <item x="310"/>
        <item x="1604"/>
        <item x="1592"/>
        <item x="730"/>
        <item x="1244"/>
        <item x="347"/>
        <item x="1496"/>
        <item x="1041"/>
        <item x="1305"/>
        <item x="1308"/>
        <item x="356"/>
        <item x="582"/>
        <item x="191"/>
        <item x="1181"/>
        <item x="2"/>
        <item x="847"/>
        <item x="1334"/>
        <item x="1736"/>
        <item x="1630"/>
        <item x="1278"/>
        <item x="1358"/>
        <item x="477"/>
        <item x="335"/>
        <item x="849"/>
        <item x="189"/>
        <item x="850"/>
        <item x="1354"/>
        <item x="149"/>
        <item x="272"/>
        <item x="265"/>
        <item x="1617"/>
        <item x="1463"/>
        <item x="1382"/>
        <item x="449"/>
        <item x="720"/>
        <item x="734"/>
        <item x="370"/>
        <item x="1540"/>
        <item x="1153"/>
        <item x="992"/>
        <item x="953"/>
        <item x="894"/>
        <item x="869"/>
        <item x="1213"/>
        <item x="1108"/>
        <item x="1383"/>
        <item x="1491"/>
        <item x="1132"/>
        <item x="240"/>
        <item x="1584"/>
        <item x="1735"/>
        <item x="1185"/>
        <item x="931"/>
        <item x="26"/>
        <item x="1377"/>
        <item x="1602"/>
        <item x="1490"/>
        <item x="1036"/>
        <item x="146"/>
        <item x="880"/>
        <item x="1688"/>
        <item x="995"/>
        <item x="914"/>
        <item x="1607"/>
        <item x="1023"/>
        <item x="192"/>
        <item x="682"/>
        <item x="1357"/>
        <item x="658"/>
        <item x="1018"/>
        <item x="935"/>
        <item x="1528"/>
        <item x="644"/>
        <item x="1521"/>
        <item x="116"/>
        <item x="785"/>
        <item x="1556"/>
        <item x="1731"/>
        <item x="1560"/>
        <item x="177"/>
        <item x="386"/>
        <item x="450"/>
        <item x="1373"/>
        <item x="790"/>
        <item x="1516"/>
        <item x="867"/>
        <item x="912"/>
        <item x="1464"/>
        <item x="498"/>
        <item x="1322"/>
        <item x="93"/>
        <item x="1054"/>
        <item x="428"/>
        <item x="82"/>
        <item x="439"/>
        <item x="871"/>
        <item x="1378"/>
        <item x="1258"/>
        <item x="575"/>
        <item x="1653"/>
        <item x="715"/>
        <item x="1662"/>
        <item x="1613"/>
        <item x="1746"/>
        <item x="288"/>
        <item x="1590"/>
        <item x="1632"/>
        <item x="339"/>
        <item x="222"/>
        <item x="713"/>
        <item x="69"/>
        <item x="1105"/>
        <item x="235"/>
        <item x="590"/>
        <item x="942"/>
        <item x="8"/>
        <item x="424"/>
        <item x="459"/>
        <item x="1627"/>
        <item x="1091"/>
        <item x="501"/>
        <item x="1571"/>
        <item x="908"/>
        <item x="635"/>
        <item x="704"/>
        <item x="229"/>
        <item x="691"/>
        <item x="732"/>
        <item x="1711"/>
        <item x="668"/>
        <item x="1587"/>
        <item x="921"/>
        <item x="1515"/>
        <item x="130"/>
        <item x="1160"/>
        <item x="1051"/>
        <item x="375"/>
        <item x="856"/>
        <item x="18"/>
        <item x="1059"/>
        <item x="1259"/>
        <item x="489"/>
        <item x="1665"/>
        <item x="654"/>
        <item x="814"/>
        <item x="1211"/>
        <item x="1203"/>
        <item x="1366"/>
        <item x="1756"/>
        <item x="524"/>
        <item x="40"/>
        <item x="943"/>
        <item x="378"/>
        <item x="1159"/>
        <item x="1353"/>
        <item x="1424"/>
        <item x="1514"/>
        <item x="241"/>
        <item x="1406"/>
        <item x="1552"/>
        <item x="348"/>
        <item x="1227"/>
        <item x="245"/>
        <item x="1610"/>
        <item x="656"/>
        <item x="795"/>
        <item x="349"/>
        <item x="1335"/>
        <item x="1067"/>
        <item x="96"/>
        <item x="651"/>
        <item x="421"/>
        <item x="920"/>
        <item x="1392"/>
        <item x="173"/>
        <item x="916"/>
        <item x="978"/>
        <item x="709"/>
        <item x="603"/>
        <item x="148"/>
        <item x="327"/>
        <item x="887"/>
        <item x="1562"/>
        <item x="621"/>
        <item x="1214"/>
        <item x="512"/>
        <item x="1550"/>
        <item x="198"/>
        <item x="114"/>
        <item x="113"/>
        <item x="1742"/>
        <item x="1351"/>
        <item x="1236"/>
        <item x="1318"/>
        <item x="1115"/>
        <item x="797"/>
        <item x="1147"/>
        <item x="1301"/>
        <item x="1056"/>
        <item x="1000"/>
        <item x="1595"/>
        <item x="602"/>
        <item x="686"/>
        <item x="929"/>
        <item x="1674"/>
        <item x="1050"/>
        <item x="1502"/>
        <item x="941"/>
        <item x="840"/>
        <item x="784"/>
        <item x="1741"/>
        <item x="972"/>
        <item x="1749"/>
        <item x="1442"/>
        <item x="210"/>
        <item x="1700"/>
        <item x="865"/>
        <item x="1110"/>
        <item x="554"/>
        <item x="157"/>
        <item x="389"/>
        <item x="845"/>
        <item x="478"/>
        <item x="777"/>
        <item x="1339"/>
        <item x="1190"/>
        <item x="367"/>
        <item x="1701"/>
        <item x="911"/>
        <item x="1299"/>
        <item x="1504"/>
        <item x="559"/>
        <item x="37"/>
        <item x="322"/>
        <item x="1462"/>
        <item x="1380"/>
        <item x="71"/>
        <item x="878"/>
        <item x="605"/>
        <item x="1485"/>
        <item x="1304"/>
        <item x="971"/>
        <item x="200"/>
        <item x="1495"/>
        <item x="324"/>
        <item x="561"/>
        <item x="1469"/>
        <item x="1729"/>
        <item x="1028"/>
        <item x="263"/>
        <item x="1254"/>
        <item x="471"/>
        <item x="437"/>
        <item x="566"/>
        <item x="1470"/>
        <item x="1215"/>
        <item x="1414"/>
        <item x="746"/>
        <item x="1646"/>
        <item x="1149"/>
        <item x="44"/>
        <item x="1446"/>
        <item x="947"/>
        <item x="205"/>
        <item x="999"/>
        <item x="1507"/>
        <item x="678"/>
        <item x="207"/>
        <item x="121"/>
        <item x="1663"/>
        <item x="306"/>
        <item x="1717"/>
        <item x="430"/>
        <item x="21"/>
        <item x="251"/>
        <item x="286"/>
        <item x="273"/>
        <item x="1379"/>
        <item x="284"/>
        <item x="761"/>
        <item x="285"/>
        <item x="1697"/>
        <item x="1361"/>
        <item x="396"/>
        <item x="1014"/>
        <item x="1307"/>
        <item x="1544"/>
        <item x="866"/>
        <item x="1654"/>
        <item x="669"/>
        <item x="1046"/>
        <item x="105"/>
        <item x="930"/>
        <item x="1328"/>
        <item x="699"/>
        <item x="712"/>
        <item x="767"/>
        <item x="1146"/>
        <item x="1179"/>
        <item x="1319"/>
        <item x="637"/>
        <item x="970"/>
        <item x="696"/>
        <item x="1536"/>
        <item x="1315"/>
        <item x="321"/>
        <item x="1064"/>
        <item x="270"/>
        <item x="1138"/>
        <item x="924"/>
        <item x="1280"/>
        <item x="587"/>
        <item x="1092"/>
        <item x="484"/>
        <item x="782"/>
        <item x="747"/>
        <item x="876"/>
        <item x="1673"/>
        <item x="1666"/>
        <item x="1628"/>
        <item x="1374"/>
        <item x="541"/>
        <item x="1719"/>
        <item x="1472"/>
        <item x="1698"/>
        <item x="1255"/>
        <item x="1744"/>
        <item x="649"/>
        <item x="405"/>
        <item x="1716"/>
        <item x="1643"/>
        <item x="617"/>
        <item x="127"/>
        <item x="1081"/>
        <item x="735"/>
        <item x="581"/>
        <item x="1421"/>
        <item x="448"/>
        <item x="1503"/>
        <item x="810"/>
        <item x="1078"/>
        <item x="1362"/>
        <item x="680"/>
        <item x="24"/>
        <item x="708"/>
        <item x="1245"/>
        <item x="809"/>
        <item x="369"/>
        <item x="1689"/>
        <item x="1162"/>
        <item x="1346"/>
        <item x="1453"/>
        <item x="1072"/>
        <item x="1615"/>
        <item x="875"/>
        <item x="1513"/>
        <item x="1218"/>
        <item x="481"/>
        <item x="1019"/>
        <item x="401"/>
        <item x="1739"/>
        <item x="1593"/>
        <item x="874"/>
        <item x="1303"/>
        <item x="89"/>
        <item x="1376"/>
        <item x="1690"/>
        <item x="1748"/>
        <item x="1240"/>
        <item x="718"/>
        <item x="1369"/>
        <item x="91"/>
        <item x="1257"/>
        <item x="1252"/>
        <item x="906"/>
        <item x="1225"/>
        <item x="1163"/>
        <item x="1263"/>
        <item x="1636"/>
        <item x="56"/>
        <item x="1461"/>
        <item x="1659"/>
        <item x="1606"/>
        <item x="363"/>
        <item x="75"/>
        <item x="12"/>
        <item x="31"/>
        <item x="1594"/>
        <item x="136"/>
        <item x="532"/>
        <item x="738"/>
        <item x="1408"/>
        <item x="653"/>
        <item x="1471"/>
        <item x="1529"/>
        <item x="404"/>
        <item x="1752"/>
        <item x="1338"/>
        <item x="652"/>
        <item x="1088"/>
        <item x="153"/>
        <item x="1386"/>
        <item x="1079"/>
        <item x="344"/>
        <item x="185"/>
        <item x="913"/>
        <item x="371"/>
        <item x="820"/>
        <item x="710"/>
        <item x="1032"/>
        <item x="1070"/>
        <item x="417"/>
        <item x="5"/>
        <item x="671"/>
        <item x="910"/>
        <item x="368"/>
        <item x="526"/>
        <item x="183"/>
        <item x="1696"/>
        <item x="1727"/>
        <item x="1398"/>
        <item x="1577"/>
        <item x="1548"/>
        <item x="1532"/>
        <item x="695"/>
        <item x="551"/>
        <item x="492"/>
        <item x="410"/>
        <item x="1170"/>
        <item x="1649"/>
        <item x="1027"/>
        <item x="1682"/>
        <item x="829"/>
        <item x="665"/>
        <item x="115"/>
        <item x="399"/>
        <item x="774"/>
        <item x="993"/>
        <item x="1302"/>
        <item x="706"/>
        <item x="1599"/>
        <item x="1477"/>
        <item x="98"/>
        <item x="1585"/>
        <item x="677"/>
        <item x="858"/>
        <item x="1658"/>
        <item x="1025"/>
        <item x="664"/>
        <item x="1313"/>
        <item x="1333"/>
        <item x="62"/>
        <item x="1103"/>
        <item x="768"/>
        <item x="1232"/>
        <item x="859"/>
        <item x="1273"/>
        <item x="1010"/>
        <item x="1295"/>
        <item x="741"/>
        <item x="1450"/>
        <item x="703"/>
        <item x="919"/>
        <item x="1438"/>
        <item x="456"/>
        <item x="290"/>
        <item x="107"/>
        <item x="555"/>
        <item x="1194"/>
        <item x="563"/>
        <item x="398"/>
        <item x="1724"/>
        <item x="870"/>
        <item x="22"/>
        <item x="201"/>
        <item x="1082"/>
        <item x="128"/>
        <item x="1312"/>
        <item x="365"/>
        <item x="490"/>
        <item x="1510"/>
        <item x="740"/>
        <item x="505"/>
        <item x="588"/>
        <item x="1509"/>
        <item x="1106"/>
        <item x="419"/>
        <item x="429"/>
        <item x="604"/>
        <item x="663"/>
        <item x="1676"/>
        <item x="1440"/>
        <item x="778"/>
        <item x="934"/>
        <item x="506"/>
        <item x="1612"/>
        <item x="360"/>
        <item x="227"/>
        <item x="13"/>
        <item x="1558"/>
        <item x="1393"/>
        <item x="868"/>
        <item x="1112"/>
        <item x="314"/>
        <item x="36"/>
        <item x="1720"/>
        <item x="171"/>
        <item x="188"/>
        <item x="1425"/>
        <item x="1631"/>
        <item x="1237"/>
        <item t="default"/>
      </items>
    </pivotField>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Col" showAll="0">
      <items count="5">
        <item x="0"/>
        <item x="2"/>
        <item x="1"/>
        <item x="3"/>
        <item t="default"/>
      </items>
    </pivotField>
    <pivotField showAll="0">
      <items count="6">
        <item x="0"/>
        <item x="3"/>
        <item x="4"/>
        <item x="2"/>
        <item x="1"/>
        <item t="default"/>
      </items>
    </pivotField>
    <pivotField showAll="0"/>
    <pivotField showAll="0"/>
    <pivotField showAll="0"/>
    <pivotField showAll="0">
      <items count="16">
        <item x="7"/>
        <item x="3"/>
        <item x="1"/>
        <item x="2"/>
        <item x="5"/>
        <item x="0"/>
        <item x="4"/>
        <item x="6"/>
        <item x="9"/>
        <item x="8"/>
        <item x="14"/>
        <item x="11"/>
        <item x="13"/>
        <item x="10"/>
        <item x="12"/>
        <item t="default"/>
      </items>
    </pivotField>
    <pivotField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sd="0" x="0"/>
        <item sd="0" x="1"/>
        <item sd="0" x="2"/>
        <item sd="0" x="4"/>
        <item sd="0" x="3"/>
        <item n="6-10" sd="0" x="5"/>
        <item n="11-87" sd="0" x="6"/>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7"/>
  </colFields>
  <colItems count="5">
    <i>
      <x/>
    </i>
    <i>
      <x v="1"/>
    </i>
    <i>
      <x v="2"/>
    </i>
    <i>
      <x v="3"/>
    </i>
    <i t="grand">
      <x/>
    </i>
  </colItems>
  <dataFields count="1">
    <dataField name="Sum of Quantity" fld="2" baseField="0" baseItem="0"/>
  </dataFields>
  <chartFormats count="8">
    <chartFormat chart="6" format="0" series="1">
      <pivotArea type="data" outline="0" fieldPosition="0">
        <references count="2">
          <reference field="4294967294" count="1" selected="0">
            <x v="0"/>
          </reference>
          <reference field="7" count="1" selected="0">
            <x v="0"/>
          </reference>
        </references>
      </pivotArea>
    </chartFormat>
    <chartFormat chart="6" format="1" series="1">
      <pivotArea type="data" outline="0" fieldPosition="0">
        <references count="2">
          <reference field="4294967294" count="1" selected="0">
            <x v="0"/>
          </reference>
          <reference field="7" count="1" selected="0">
            <x v="1"/>
          </reference>
        </references>
      </pivotArea>
    </chartFormat>
    <chartFormat chart="6" format="2" series="1">
      <pivotArea type="data" outline="0" fieldPosition="0">
        <references count="2">
          <reference field="4294967294" count="1" selected="0">
            <x v="0"/>
          </reference>
          <reference field="7" count="1" selected="0">
            <x v="2"/>
          </reference>
        </references>
      </pivotArea>
    </chartFormat>
    <chartFormat chart="6" format="3" series="1">
      <pivotArea type="data" outline="0" fieldPosition="0">
        <references count="2">
          <reference field="4294967294" count="1" selected="0">
            <x v="0"/>
          </reference>
          <reference field="7" count="1" selected="0">
            <x v="3"/>
          </reference>
        </references>
      </pivotArea>
    </chartFormat>
    <chartFormat chart="8" format="8" series="1">
      <pivotArea type="data" outline="0" fieldPosition="0">
        <references count="2">
          <reference field="4294967294" count="1" selected="0">
            <x v="0"/>
          </reference>
          <reference field="7" count="1" selected="0">
            <x v="0"/>
          </reference>
        </references>
      </pivotArea>
    </chartFormat>
    <chartFormat chart="8" format="9" series="1">
      <pivotArea type="data" outline="0" fieldPosition="0">
        <references count="2">
          <reference field="4294967294" count="1" selected="0">
            <x v="0"/>
          </reference>
          <reference field="7" count="1" selected="0">
            <x v="1"/>
          </reference>
        </references>
      </pivotArea>
    </chartFormat>
    <chartFormat chart="8" format="10" series="1">
      <pivotArea type="data" outline="0" fieldPosition="0">
        <references count="2">
          <reference field="4294967294" count="1" selected="0">
            <x v="0"/>
          </reference>
          <reference field="7" count="1" selected="0">
            <x v="2"/>
          </reference>
        </references>
      </pivotArea>
    </chartFormat>
    <chartFormat chart="8" format="11" series="1">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AC23B3C-7DC9-469D-A5A7-998AA0140F97}" name="rating"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E35:K40" firstHeaderRow="1" firstDataRow="2"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items count="21">
        <item x="14"/>
        <item x="10"/>
        <item x="12"/>
        <item x="15"/>
        <item x="4"/>
        <item x="7"/>
        <item x="6"/>
        <item x="19"/>
        <item x="18"/>
        <item x="11"/>
        <item x="17"/>
        <item x="5"/>
        <item x="0"/>
        <item x="2"/>
        <item x="9"/>
        <item x="16"/>
        <item x="1"/>
        <item x="13"/>
        <item x="8"/>
        <item x="3"/>
        <item t="default"/>
      </items>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items count="1765">
        <item x="0"/>
        <item x="432"/>
        <item x="1482"/>
        <item x="178"/>
        <item x="1436"/>
        <item x="239"/>
        <item x="591"/>
        <item x="1426"/>
        <item x="1021"/>
        <item x="283"/>
        <item x="1494"/>
        <item x="749"/>
        <item x="1609"/>
        <item x="248"/>
        <item x="135"/>
        <item x="836"/>
        <item x="832"/>
        <item x="1200"/>
        <item x="1600"/>
        <item x="1709"/>
        <item x="670"/>
        <item x="1492"/>
        <item x="134"/>
        <item x="447"/>
        <item x="688"/>
        <item x="1219"/>
        <item x="614"/>
        <item x="1137"/>
        <item x="132"/>
        <item x="190"/>
        <item x="1500"/>
        <item x="323"/>
        <item x="798"/>
        <item x="333"/>
        <item x="1429"/>
        <item x="1349"/>
        <item x="483"/>
        <item x="731"/>
        <item x="1084"/>
        <item x="258"/>
        <item x="968"/>
        <item x="525"/>
        <item x="249"/>
        <item x="1246"/>
        <item x="61"/>
        <item x="1695"/>
        <item x="772"/>
        <item x="126"/>
        <item x="1561"/>
        <item x="779"/>
        <item x="301"/>
        <item x="835"/>
        <item x="1057"/>
        <item x="1616"/>
        <item x="830"/>
        <item x="1644"/>
        <item x="202"/>
        <item x="1672"/>
        <item x="19"/>
        <item x="382"/>
        <item x="1441"/>
        <item x="1703"/>
        <item x="1191"/>
        <item x="601"/>
        <item x="1102"/>
        <item x="38"/>
        <item x="534"/>
        <item x="63"/>
        <item x="49"/>
        <item x="1116"/>
        <item x="1639"/>
        <item x="1637"/>
        <item x="879"/>
        <item x="293"/>
        <item x="425"/>
        <item x="1034"/>
        <item x="1076"/>
        <item x="1678"/>
        <item x="47"/>
        <item x="1493"/>
        <item x="242"/>
        <item x="928"/>
        <item x="1538"/>
        <item x="1642"/>
        <item x="558"/>
        <item x="1705"/>
        <item x="406"/>
        <item x="1323"/>
        <item x="1455"/>
        <item x="35"/>
        <item x="137"/>
        <item x="627"/>
        <item x="109"/>
        <item x="1158"/>
        <item x="390"/>
        <item x="1684"/>
        <item x="1229"/>
        <item x="944"/>
        <item x="860"/>
        <item x="940"/>
        <item x="698"/>
        <item x="1417"/>
        <item x="253"/>
        <item x="1680"/>
        <item x="1564"/>
        <item x="1222"/>
        <item x="607"/>
        <item x="1656"/>
        <item x="1580"/>
        <item x="1114"/>
        <item x="169"/>
        <item x="1553"/>
        <item x="1668"/>
        <item x="1657"/>
        <item x="519"/>
        <item x="72"/>
        <item x="1520"/>
        <item x="53"/>
        <item x="168"/>
        <item x="1277"/>
        <item x="547"/>
        <item x="329"/>
        <item x="791"/>
        <item x="1745"/>
        <item x="804"/>
        <item x="463"/>
        <item x="853"/>
        <item x="753"/>
        <item x="220"/>
        <item x="1139"/>
        <item x="1320"/>
        <item x="1732"/>
        <item x="923"/>
        <item x="496"/>
        <item x="864"/>
        <item x="736"/>
        <item x="341"/>
        <item x="144"/>
        <item x="165"/>
        <item x="282"/>
        <item x="518"/>
        <item x="1400"/>
        <item x="1117"/>
        <item x="1352"/>
        <item x="274"/>
        <item x="803"/>
        <item x="783"/>
        <item x="1184"/>
        <item x="504"/>
        <item x="1667"/>
        <item x="50"/>
        <item x="1712"/>
        <item x="480"/>
        <item x="1465"/>
        <item x="1151"/>
        <item x="337"/>
        <item x="1283"/>
        <item x="469"/>
        <item x="440"/>
        <item x="39"/>
        <item x="1286"/>
        <item x="181"/>
        <item x="1422"/>
        <item x="1195"/>
        <item x="328"/>
        <item x="1661"/>
        <item x="945"/>
        <item x="573"/>
        <item x="225"/>
        <item x="1456"/>
        <item x="438"/>
        <item x="938"/>
        <item x="583"/>
        <item x="1212"/>
        <item x="705"/>
        <item x="204"/>
        <item x="962"/>
        <item x="494"/>
        <item x="716"/>
        <item x="722"/>
        <item x="1063"/>
        <item x="516"/>
        <item x="434"/>
        <item x="1447"/>
        <item x="594"/>
        <item x="86"/>
        <item x="179"/>
        <item x="392"/>
        <item x="828"/>
        <item x="1601"/>
        <item x="538"/>
        <item x="510"/>
        <item x="959"/>
        <item x="1293"/>
        <item x="655"/>
        <item x="319"/>
        <item x="1247"/>
        <item x="51"/>
        <item x="268"/>
        <item x="528"/>
        <item x="1111"/>
        <item x="256"/>
        <item x="1474"/>
        <item x="500"/>
        <item x="1039"/>
        <item x="486"/>
        <item x="813"/>
        <item x="458"/>
        <item x="578"/>
        <item x="163"/>
        <item x="180"/>
        <item x="1045"/>
        <item x="937"/>
        <item x="733"/>
        <item x="964"/>
        <item x="954"/>
        <item x="1074"/>
        <item x="1692"/>
        <item x="475"/>
        <item x="1342"/>
        <item x="773"/>
        <item x="1559"/>
        <item x="413"/>
        <item x="1228"/>
        <item x="112"/>
        <item x="513"/>
        <item x="535"/>
        <item x="1557"/>
        <item x="287"/>
        <item x="1563"/>
        <item x="789"/>
        <item x="1309"/>
        <item x="1758"/>
        <item x="1260"/>
        <item x="1089"/>
        <item x="521"/>
        <item x="1364"/>
        <item x="630"/>
        <item x="1107"/>
        <item x="1539"/>
        <item x="1407"/>
        <item x="1090"/>
        <item x="252"/>
        <item x="898"/>
        <item x="291"/>
        <item x="6"/>
        <item x="466"/>
        <item x="102"/>
        <item x="1581"/>
        <item x="391"/>
        <item x="571"/>
        <item x="1007"/>
        <item x="1498"/>
        <item x="1640"/>
        <item x="933"/>
        <item x="472"/>
        <item x="473"/>
        <item x="1177"/>
        <item x="1281"/>
        <item x="1253"/>
        <item x="636"/>
        <item x="569"/>
        <item x="687"/>
        <item x="1356"/>
        <item x="1635"/>
        <item x="331"/>
        <item x="305"/>
        <item x="902"/>
        <item x="150"/>
        <item x="572"/>
        <item x="1242"/>
        <item x="1478"/>
        <item x="676"/>
        <item x="1100"/>
        <item x="254"/>
        <item x="1176"/>
        <item x="1201"/>
        <item x="1738"/>
        <item x="266"/>
        <item x="408"/>
        <item x="1035"/>
        <item x="1297"/>
        <item x="170"/>
        <item x="1"/>
        <item x="886"/>
        <item x="1085"/>
        <item x="834"/>
        <item x="546"/>
        <item x="957"/>
        <item x="85"/>
        <item x="1448"/>
        <item x="1197"/>
        <item x="1030"/>
        <item x="683"/>
        <item x="1016"/>
        <item x="143"/>
        <item x="1620"/>
        <item x="1220"/>
        <item x="1276"/>
        <item x="34"/>
        <item x="1005"/>
        <item x="1394"/>
        <item x="453"/>
        <item x="1099"/>
        <item x="1740"/>
        <item x="460"/>
        <item x="891"/>
        <item x="221"/>
        <item x="212"/>
        <item x="1481"/>
        <item x="499"/>
        <item x="511"/>
        <item x="812"/>
        <item x="387"/>
        <item x="1124"/>
        <item x="702"/>
        <item x="815"/>
        <item x="14"/>
        <item x="119"/>
        <item x="884"/>
        <item x="966"/>
        <item x="863"/>
        <item x="1476"/>
        <item x="693"/>
        <item x="509"/>
        <item x="821"/>
        <item x="418"/>
        <item x="745"/>
        <item x="1714"/>
        <item x="508"/>
        <item x="1043"/>
        <item x="564"/>
        <item x="59"/>
        <item x="299"/>
        <item x="1154"/>
        <item x="952"/>
        <item x="474"/>
        <item x="1549"/>
        <item x="1012"/>
        <item x="527"/>
        <item x="1664"/>
        <item x="184"/>
        <item x="1321"/>
        <item x="1013"/>
        <item x="660"/>
        <item x="1574"/>
        <item x="503"/>
        <item x="1289"/>
        <item x="623"/>
        <item x="1325"/>
        <item x="236"/>
        <item x="1285"/>
        <item x="936"/>
        <item x="1524"/>
        <item x="426"/>
        <item x="1517"/>
        <item x="800"/>
        <item x="372"/>
        <item x="1314"/>
        <item x="610"/>
        <item x="110"/>
        <item x="965"/>
        <item x="1734"/>
        <item x="611"/>
        <item x="495"/>
        <item x="108"/>
        <item x="1554"/>
        <item x="998"/>
        <item x="172"/>
        <item x="1488"/>
        <item x="1648"/>
        <item x="514"/>
        <item x="882"/>
        <item x="714"/>
        <item x="332"/>
        <item x="1721"/>
        <item x="445"/>
        <item x="1003"/>
        <item x="837"/>
        <item x="83"/>
        <item x="771"/>
        <item x="1598"/>
        <item x="1233"/>
        <item x="482"/>
        <item x="292"/>
        <item x="648"/>
        <item x="1148"/>
        <item x="166"/>
        <item x="1670"/>
        <item x="1645"/>
        <item x="491"/>
        <item x="1623"/>
        <item x="1608"/>
        <item x="1751"/>
        <item x="1113"/>
        <item x="84"/>
        <item x="1187"/>
        <item x="1589"/>
        <item x="479"/>
        <item x="1133"/>
        <item x="556"/>
        <item x="48"/>
        <item x="7"/>
        <item x="1687"/>
        <item x="41"/>
        <item x="1443"/>
        <item x="969"/>
        <item x="1101"/>
        <item x="1523"/>
        <item x="330"/>
        <item x="1135"/>
        <item x="673"/>
        <item x="1518"/>
        <item x="462"/>
        <item x="1182"/>
        <item x="470"/>
        <item x="707"/>
        <item x="925"/>
        <item x="681"/>
        <item x="433"/>
        <item x="1405"/>
        <item x="903"/>
        <item x="278"/>
        <item x="533"/>
        <item x="1274"/>
        <item x="1647"/>
        <item x="1331"/>
        <item x="464"/>
        <item x="825"/>
        <item x="1216"/>
        <item x="1172"/>
        <item x="550"/>
        <item x="1324"/>
        <item x="1024"/>
        <item x="1360"/>
        <item x="616"/>
        <item x="781"/>
        <item x="700"/>
        <item x="626"/>
        <item x="1053"/>
        <item x="640"/>
        <item x="631"/>
        <item x="697"/>
        <item x="485"/>
        <item x="1205"/>
        <item x="1155"/>
        <item x="1047"/>
        <item x="787"/>
        <item x="1605"/>
        <item x="1702"/>
        <item x="542"/>
        <item x="70"/>
        <item x="32"/>
        <item x="817"/>
        <item x="645"/>
        <item x="244"/>
        <item x="786"/>
        <item x="497"/>
        <item x="742"/>
        <item x="407"/>
        <item x="1270"/>
        <item x="411"/>
        <item x="1058"/>
        <item x="758"/>
        <item x="988"/>
        <item x="1152"/>
        <item x="974"/>
        <item x="1196"/>
        <item x="737"/>
        <item x="1487"/>
        <item x="1707"/>
        <item x="16"/>
        <item x="1261"/>
        <item x="64"/>
        <item x="1650"/>
        <item x="442"/>
        <item x="255"/>
        <item x="1467"/>
        <item x="725"/>
        <item x="234"/>
        <item x="422"/>
        <item x="415"/>
        <item x="296"/>
        <item x="233"/>
        <item x="139"/>
        <item x="802"/>
        <item x="586"/>
        <item x="854"/>
        <item x="219"/>
        <item x="334"/>
        <item x="1629"/>
        <item x="73"/>
        <item x="980"/>
        <item x="1757"/>
        <item x="451"/>
        <item x="647"/>
        <item x="131"/>
        <item x="68"/>
        <item x="11"/>
        <item x="196"/>
        <item x="1543"/>
        <item x="197"/>
        <item x="643"/>
        <item x="1033"/>
        <item x="1300"/>
        <item x="1569"/>
        <item x="1459"/>
        <item x="350"/>
        <item x="1638"/>
        <item x="1217"/>
        <item x="1326"/>
        <item x="862"/>
        <item x="427"/>
        <item x="90"/>
        <item x="95"/>
        <item x="855"/>
        <item x="1171"/>
        <item x="857"/>
        <item x="1681"/>
        <item x="530"/>
        <item x="1062"/>
        <item x="646"/>
        <item x="298"/>
        <item x="125"/>
        <item x="576"/>
        <item x="1223"/>
        <item x="186"/>
        <item x="1454"/>
        <item x="1389"/>
        <item x="748"/>
        <item x="199"/>
        <item x="1652"/>
        <item x="661"/>
        <item x="211"/>
        <item x="1049"/>
        <item x="852"/>
        <item x="568"/>
        <item x="142"/>
        <item x="101"/>
        <item x="872"/>
        <item x="793"/>
        <item x="619"/>
        <item x="694"/>
        <item x="1002"/>
        <item x="1511"/>
        <item x="799"/>
        <item x="1311"/>
        <item x="215"/>
        <item x="807"/>
        <item x="1061"/>
        <item x="939"/>
        <item x="10"/>
        <item x="1178"/>
        <item x="42"/>
        <item x="659"/>
        <item x="414"/>
        <item x="1239"/>
        <item x="17"/>
        <item x="81"/>
        <item x="918"/>
        <item x="579"/>
        <item x="806"/>
        <item x="622"/>
        <item x="1097"/>
        <item x="1483"/>
        <item x="883"/>
        <item x="1006"/>
        <item x="1534"/>
        <item x="881"/>
        <item x="794"/>
        <item x="158"/>
        <item x="380"/>
        <item x="548"/>
        <item x="1413"/>
        <item x="1129"/>
        <item x="247"/>
        <item x="1127"/>
        <item x="1575"/>
        <item x="717"/>
        <item x="1466"/>
        <item x="488"/>
        <item x="1449"/>
        <item x="311"/>
        <item x="574"/>
        <item x="1579"/>
        <item x="151"/>
        <item x="1484"/>
        <item x="100"/>
        <item x="446"/>
        <item x="1699"/>
        <item x="565"/>
        <item x="1622"/>
        <item x="726"/>
        <item x="1527"/>
        <item x="1737"/>
        <item x="833"/>
        <item x="557"/>
        <item x="841"/>
        <item x="1098"/>
        <item x="593"/>
        <item x="1250"/>
        <item x="193"/>
        <item x="1402"/>
        <item x="120"/>
        <item x="111"/>
        <item x="160"/>
        <item x="493"/>
        <item x="92"/>
        <item x="1710"/>
        <item x="297"/>
        <item x="1087"/>
        <item x="164"/>
        <item x="641"/>
        <item x="1296"/>
        <item x="384"/>
        <item x="544"/>
        <item x="949"/>
        <item x="1287"/>
        <item x="1432"/>
        <item x="1268"/>
        <item x="553"/>
        <item x="302"/>
        <item x="145"/>
        <item x="376"/>
        <item x="1109"/>
        <item x="570"/>
        <item x="52"/>
        <item x="1415"/>
        <item x="352"/>
        <item x="967"/>
        <item x="624"/>
        <item x="1555"/>
        <item x="628"/>
        <item x="888"/>
        <item x="1077"/>
        <item x="1208"/>
        <item x="1332"/>
        <item x="520"/>
        <item x="1071"/>
        <item x="823"/>
        <item x="1193"/>
        <item x="618"/>
        <item x="539"/>
        <item x="58"/>
        <item x="580"/>
        <item x="1403"/>
        <item x="309"/>
        <item x="769"/>
        <item x="385"/>
        <item x="632"/>
        <item x="1060"/>
        <item x="33"/>
        <item x="1583"/>
        <item x="848"/>
        <item x="1272"/>
        <item x="1249"/>
        <item x="1209"/>
        <item x="1423"/>
        <item x="955"/>
        <item x="431"/>
        <item x="979"/>
        <item x="927"/>
        <item x="1265"/>
        <item x="117"/>
        <item x="986"/>
        <item x="1567"/>
        <item x="260"/>
        <item x="30"/>
        <item x="981"/>
        <item x="1545"/>
        <item x="1597"/>
        <item x="1048"/>
        <item x="531"/>
        <item x="1093"/>
        <item x="340"/>
        <item x="246"/>
        <item x="685"/>
        <item x="1693"/>
        <item x="1411"/>
        <item x="336"/>
        <item x="1641"/>
        <item x="1134"/>
        <item x="517"/>
        <item x="1294"/>
        <item x="996"/>
        <item x="383"/>
        <item x="1068"/>
        <item x="1387"/>
        <item x="1730"/>
        <item x="1367"/>
        <item x="223"/>
        <item x="304"/>
        <item x="639"/>
        <item x="374"/>
        <item x="209"/>
        <item x="194"/>
        <item x="388"/>
        <item x="377"/>
        <item x="1457"/>
        <item x="1683"/>
        <item x="634"/>
        <item x="1762"/>
        <item x="381"/>
        <item x="684"/>
        <item x="1427"/>
        <item x="1038"/>
        <item x="780"/>
        <item x="932"/>
        <item x="1708"/>
        <item x="1175"/>
        <item x="60"/>
        <item x="1419"/>
        <item x="275"/>
        <item x="1298"/>
        <item x="1391"/>
        <item x="1489"/>
        <item x="897"/>
        <item x="1410"/>
        <item x="1096"/>
        <item x="625"/>
        <item x="613"/>
        <item x="1435"/>
        <item x="1262"/>
        <item x="353"/>
        <item x="1401"/>
        <item x="468"/>
        <item x="973"/>
        <item x="675"/>
        <item x="1626"/>
        <item x="1570"/>
        <item x="599"/>
        <item x="1718"/>
        <item x="1207"/>
        <item x="1363"/>
        <item x="1761"/>
        <item x="926"/>
        <item x="824"/>
        <item x="1224"/>
        <item x="203"/>
        <item x="1119"/>
        <item x="1753"/>
        <item x="956"/>
        <item x="1501"/>
        <item x="689"/>
        <item x="315"/>
        <item x="638"/>
        <item x="379"/>
        <item x="562"/>
        <item x="842"/>
        <item x="354"/>
        <item x="277"/>
        <item x="174"/>
        <item x="318"/>
        <item x="465"/>
        <item x="1621"/>
        <item x="1388"/>
        <item x="1634"/>
        <item x="1065"/>
        <item x="1618"/>
        <item x="1145"/>
        <item x="1330"/>
        <item x="1506"/>
        <item x="608"/>
        <item x="1399"/>
        <item x="55"/>
        <item x="1384"/>
        <item x="831"/>
        <item x="1120"/>
        <item x="1040"/>
        <item x="351"/>
        <item x="1230"/>
        <item x="515"/>
        <item x="1126"/>
        <item x="1733"/>
        <item x="1660"/>
        <item x="9"/>
        <item x="963"/>
        <item x="1588"/>
        <item x="1655"/>
        <item x="507"/>
        <item x="1022"/>
        <item x="905"/>
        <item x="739"/>
        <item x="1355"/>
        <item x="402"/>
        <item x="1329"/>
        <item x="409"/>
        <item x="1750"/>
        <item x="1344"/>
        <item x="444"/>
        <item x="250"/>
        <item x="950"/>
        <item x="1271"/>
        <item x="1530"/>
        <item x="811"/>
        <item x="759"/>
        <item x="154"/>
        <item x="1095"/>
        <item x="1157"/>
        <item x="915"/>
        <item x="435"/>
        <item x="1288"/>
        <item x="1164"/>
        <item x="1475"/>
        <item x="1128"/>
        <item x="838"/>
        <item x="1728"/>
        <item x="657"/>
        <item x="1183"/>
        <item x="522"/>
        <item x="1080"/>
        <item x="1759"/>
        <item x="1445"/>
        <item x="1537"/>
        <item x="312"/>
        <item x="1345"/>
        <item x="1251"/>
        <item x="1189"/>
        <item x="1256"/>
        <item x="701"/>
        <item x="762"/>
        <item x="606"/>
        <item x="589"/>
        <item x="1243"/>
        <item x="750"/>
        <item x="1713"/>
        <item x="66"/>
        <item x="1763"/>
        <item x="1603"/>
        <item x="1531"/>
        <item x="900"/>
        <item x="362"/>
        <item x="1026"/>
        <item x="612"/>
        <item x="393"/>
        <item x="4"/>
        <item x="1284"/>
        <item x="1691"/>
        <item x="307"/>
        <item x="443"/>
        <item x="727"/>
        <item x="1512"/>
        <item x="1522"/>
        <item x="595"/>
        <item x="231"/>
        <item x="826"/>
        <item x="187"/>
        <item x="162"/>
        <item x="775"/>
        <item x="893"/>
        <item x="1669"/>
        <item x="597"/>
        <item x="1434"/>
        <item x="889"/>
        <item x="1337"/>
        <item x="1619"/>
        <item x="1395"/>
        <item x="224"/>
        <item x="25"/>
        <item x="122"/>
        <item x="766"/>
        <item x="218"/>
        <item x="1525"/>
        <item x="1350"/>
        <item x="257"/>
        <item x="983"/>
        <item x="633"/>
        <item x="74"/>
        <item x="394"/>
        <item x="67"/>
        <item x="1020"/>
        <item x="1573"/>
        <item x="476"/>
        <item x="359"/>
        <item x="366"/>
        <item x="1565"/>
        <item x="1142"/>
        <item x="1275"/>
        <item x="1452"/>
        <item x="690"/>
        <item x="106"/>
        <item x="364"/>
        <item x="316"/>
        <item x="1596"/>
        <item x="1143"/>
        <item x="1180"/>
        <item x="1165"/>
        <item x="156"/>
        <item x="79"/>
        <item x="808"/>
        <item x="1173"/>
        <item x="412"/>
        <item x="827"/>
        <item x="1390"/>
        <item x="1458"/>
        <item x="885"/>
        <item x="620"/>
        <item x="975"/>
        <item x="455"/>
        <item x="1385"/>
        <item x="118"/>
        <item x="1001"/>
        <item x="1582"/>
        <item x="1131"/>
        <item x="1086"/>
        <item x="1372"/>
        <item x="1348"/>
        <item x="724"/>
        <item x="213"/>
        <item x="1451"/>
        <item x="796"/>
        <item x="1042"/>
        <item x="1343"/>
        <item x="529"/>
        <item x="345"/>
        <item x="261"/>
        <item x="1473"/>
        <item x="94"/>
        <item x="1174"/>
        <item x="280"/>
        <item x="1568"/>
        <item x="1327"/>
        <item x="243"/>
        <item x="338"/>
        <item x="756"/>
        <item x="1572"/>
        <item x="487"/>
        <item x="436"/>
        <item x="958"/>
        <item x="167"/>
        <item x="1192"/>
        <item x="1210"/>
        <item x="896"/>
        <item x="308"/>
        <item x="271"/>
        <item x="1519"/>
        <item x="420"/>
        <item x="861"/>
        <item x="763"/>
        <item x="152"/>
        <item x="228"/>
        <item x="577"/>
        <item x="977"/>
        <item x="294"/>
        <item x="214"/>
        <item x="403"/>
        <item x="877"/>
        <item x="1186"/>
        <item x="43"/>
        <item x="454"/>
        <item x="461"/>
        <item x="1428"/>
        <item x="904"/>
        <item x="140"/>
        <item x="1704"/>
        <item x="1416"/>
        <item x="922"/>
        <item x="549"/>
        <item x="1336"/>
        <item x="264"/>
        <item x="609"/>
        <item x="138"/>
        <item x="1130"/>
        <item x="1202"/>
        <item x="23"/>
        <item x="1168"/>
        <item x="667"/>
        <item x="1651"/>
        <item x="1066"/>
        <item x="230"/>
        <item x="801"/>
        <item x="267"/>
        <item x="1547"/>
        <item x="226"/>
        <item x="325"/>
        <item x="560"/>
        <item x="523"/>
        <item x="818"/>
        <item x="679"/>
        <item x="1431"/>
        <item x="1725"/>
        <item x="303"/>
        <item x="397"/>
        <item x="1094"/>
        <item x="206"/>
        <item x="1715"/>
        <item x="760"/>
        <item x="358"/>
        <item x="1722"/>
        <item x="991"/>
        <item x="1433"/>
        <item x="1479"/>
        <item x="1282"/>
        <item x="104"/>
        <item x="985"/>
        <item x="20"/>
        <item x="77"/>
        <item x="1199"/>
        <item x="1437"/>
        <item x="1055"/>
        <item x="765"/>
        <item x="1156"/>
        <item x="839"/>
        <item x="642"/>
        <item x="961"/>
        <item x="1169"/>
        <item x="692"/>
        <item x="1141"/>
        <item x="901"/>
        <item x="846"/>
        <item x="890"/>
        <item x="873"/>
        <item x="317"/>
        <item x="1009"/>
        <item x="776"/>
        <item x="1535"/>
        <item x="326"/>
        <item x="1675"/>
        <item x="65"/>
        <item x="662"/>
        <item x="129"/>
        <item x="416"/>
        <item x="1279"/>
        <item x="147"/>
        <item x="1686"/>
        <item x="27"/>
        <item x="1541"/>
        <item x="1167"/>
        <item x="822"/>
        <item x="1166"/>
        <item x="984"/>
        <item x="743"/>
        <item x="1404"/>
        <item x="1161"/>
        <item x="1359"/>
        <item x="217"/>
        <item x="615"/>
        <item x="757"/>
        <item x="123"/>
        <item x="976"/>
        <item x="1412"/>
        <item x="1706"/>
        <item x="1118"/>
        <item x="540"/>
        <item x="76"/>
        <item x="666"/>
        <item x="1069"/>
        <item x="1760"/>
        <item x="989"/>
        <item x="1551"/>
        <item x="78"/>
        <item x="237"/>
        <item x="1396"/>
        <item x="1365"/>
        <item x="1150"/>
        <item x="1248"/>
        <item x="987"/>
        <item x="342"/>
        <item x="1533"/>
        <item x="1723"/>
        <item x="1044"/>
        <item x="1234"/>
        <item x="805"/>
        <item x="1726"/>
        <item x="1231"/>
        <item x="1017"/>
        <item x="596"/>
        <item x="1316"/>
        <item x="262"/>
        <item x="719"/>
        <item x="441"/>
        <item x="672"/>
        <item x="1031"/>
        <item x="1204"/>
        <item x="598"/>
        <item x="1576"/>
        <item x="721"/>
        <item x="238"/>
        <item x="1310"/>
        <item x="1235"/>
        <item x="216"/>
        <item x="1624"/>
        <item x="543"/>
        <item x="1267"/>
        <item x="467"/>
        <item x="1679"/>
        <item x="1136"/>
        <item x="545"/>
        <item x="1206"/>
        <item x="816"/>
        <item x="1578"/>
        <item x="1586"/>
        <item x="103"/>
        <item x="1306"/>
        <item x="754"/>
        <item x="343"/>
        <item x="28"/>
        <item x="133"/>
        <item x="951"/>
        <item x="281"/>
        <item x="755"/>
        <item x="300"/>
        <item x="87"/>
        <item x="1371"/>
        <item x="1292"/>
        <item x="946"/>
        <item x="536"/>
        <item x="650"/>
        <item x="155"/>
        <item x="629"/>
        <item x="1468"/>
        <item x="1499"/>
        <item x="1486"/>
        <item x="195"/>
        <item x="600"/>
        <item x="1290"/>
        <item x="960"/>
        <item x="361"/>
        <item x="1104"/>
        <item x="175"/>
        <item x="1754"/>
        <item x="124"/>
        <item x="948"/>
        <item x="3"/>
        <item x="723"/>
        <item x="1685"/>
        <item x="1497"/>
        <item x="751"/>
        <item x="1370"/>
        <item x="1611"/>
        <item x="1317"/>
        <item x="1266"/>
        <item x="792"/>
        <item x="844"/>
        <item x="843"/>
        <item x="1439"/>
        <item x="357"/>
        <item x="1083"/>
        <item x="1546"/>
        <item x="1123"/>
        <item x="259"/>
        <item x="1430"/>
        <item x="88"/>
        <item x="1625"/>
        <item x="54"/>
        <item x="899"/>
        <item x="1291"/>
        <item x="1029"/>
        <item x="208"/>
        <item x="1633"/>
        <item x="907"/>
        <item x="819"/>
        <item x="1144"/>
        <item x="1340"/>
        <item x="313"/>
        <item x="1409"/>
        <item x="97"/>
        <item x="276"/>
        <item x="552"/>
        <item x="1614"/>
        <item x="917"/>
        <item x="788"/>
        <item x="585"/>
        <item x="584"/>
        <item x="1677"/>
        <item x="45"/>
        <item x="592"/>
        <item x="674"/>
        <item x="1073"/>
        <item x="1004"/>
        <item x="1420"/>
        <item x="423"/>
        <item x="770"/>
        <item x="990"/>
        <item x="29"/>
        <item x="1241"/>
        <item x="1125"/>
        <item x="346"/>
        <item x="537"/>
        <item x="1264"/>
        <item x="1375"/>
        <item x="1008"/>
        <item x="1122"/>
        <item x="232"/>
        <item x="452"/>
        <item x="1368"/>
        <item x="1140"/>
        <item x="1526"/>
        <item x="457"/>
        <item x="1121"/>
        <item x="1743"/>
        <item x="1381"/>
        <item x="1397"/>
        <item x="764"/>
        <item x="711"/>
        <item x="320"/>
        <item x="295"/>
        <item x="1221"/>
        <item x="909"/>
        <item x="1460"/>
        <item x="1341"/>
        <item x="1444"/>
        <item x="57"/>
        <item x="159"/>
        <item x="182"/>
        <item x="373"/>
        <item x="1542"/>
        <item x="982"/>
        <item x="1052"/>
        <item x="1591"/>
        <item x="994"/>
        <item x="728"/>
        <item x="80"/>
        <item x="729"/>
        <item x="1694"/>
        <item x="1508"/>
        <item x="395"/>
        <item x="1566"/>
        <item x="1188"/>
        <item x="1347"/>
        <item x="1226"/>
        <item x="567"/>
        <item x="289"/>
        <item x="161"/>
        <item x="279"/>
        <item x="1269"/>
        <item x="1671"/>
        <item x="15"/>
        <item x="1505"/>
        <item x="141"/>
        <item x="892"/>
        <item x="400"/>
        <item x="355"/>
        <item x="1418"/>
        <item x="851"/>
        <item x="1037"/>
        <item x="1075"/>
        <item x="502"/>
        <item x="752"/>
        <item x="1755"/>
        <item x="1480"/>
        <item x="1747"/>
        <item x="895"/>
        <item x="176"/>
        <item x="744"/>
        <item x="269"/>
        <item x="1011"/>
        <item x="46"/>
        <item x="997"/>
        <item x="99"/>
        <item x="1015"/>
        <item x="1198"/>
        <item x="1238"/>
        <item x="310"/>
        <item x="1604"/>
        <item x="1592"/>
        <item x="730"/>
        <item x="1244"/>
        <item x="347"/>
        <item x="1496"/>
        <item x="1041"/>
        <item x="1305"/>
        <item x="1308"/>
        <item x="356"/>
        <item x="582"/>
        <item x="191"/>
        <item x="1181"/>
        <item x="2"/>
        <item x="847"/>
        <item x="1334"/>
        <item x="1736"/>
        <item x="1630"/>
        <item x="1278"/>
        <item x="1358"/>
        <item x="477"/>
        <item x="335"/>
        <item x="849"/>
        <item x="189"/>
        <item x="850"/>
        <item x="1354"/>
        <item x="149"/>
        <item x="272"/>
        <item x="265"/>
        <item x="1617"/>
        <item x="1463"/>
        <item x="1382"/>
        <item x="449"/>
        <item x="720"/>
        <item x="734"/>
        <item x="370"/>
        <item x="1540"/>
        <item x="1153"/>
        <item x="992"/>
        <item x="953"/>
        <item x="894"/>
        <item x="869"/>
        <item x="1213"/>
        <item x="1108"/>
        <item x="1383"/>
        <item x="1491"/>
        <item x="1132"/>
        <item x="240"/>
        <item x="1584"/>
        <item x="1735"/>
        <item x="1185"/>
        <item x="931"/>
        <item x="26"/>
        <item x="1377"/>
        <item x="1602"/>
        <item x="1490"/>
        <item x="1036"/>
        <item x="146"/>
        <item x="880"/>
        <item x="1688"/>
        <item x="995"/>
        <item x="914"/>
        <item x="1607"/>
        <item x="1023"/>
        <item x="192"/>
        <item x="682"/>
        <item x="1357"/>
        <item x="658"/>
        <item x="1018"/>
        <item x="935"/>
        <item x="1528"/>
        <item x="644"/>
        <item x="1521"/>
        <item x="116"/>
        <item x="785"/>
        <item x="1556"/>
        <item x="1731"/>
        <item x="1560"/>
        <item x="177"/>
        <item x="386"/>
        <item x="450"/>
        <item x="1373"/>
        <item x="790"/>
        <item x="1516"/>
        <item x="867"/>
        <item x="912"/>
        <item x="1464"/>
        <item x="498"/>
        <item x="1322"/>
        <item x="93"/>
        <item x="1054"/>
        <item x="428"/>
        <item x="82"/>
        <item x="439"/>
        <item x="871"/>
        <item x="1378"/>
        <item x="1258"/>
        <item x="575"/>
        <item x="1653"/>
        <item x="715"/>
        <item x="1662"/>
        <item x="1613"/>
        <item x="1746"/>
        <item x="288"/>
        <item x="1590"/>
        <item x="1632"/>
        <item x="339"/>
        <item x="222"/>
        <item x="713"/>
        <item x="69"/>
        <item x="1105"/>
        <item x="235"/>
        <item x="590"/>
        <item x="942"/>
        <item x="8"/>
        <item x="424"/>
        <item x="459"/>
        <item x="1627"/>
        <item x="1091"/>
        <item x="501"/>
        <item x="1571"/>
        <item x="908"/>
        <item x="635"/>
        <item x="704"/>
        <item x="229"/>
        <item x="691"/>
        <item x="732"/>
        <item x="1711"/>
        <item x="668"/>
        <item x="1587"/>
        <item x="921"/>
        <item x="1515"/>
        <item x="130"/>
        <item x="1160"/>
        <item x="1051"/>
        <item x="375"/>
        <item x="856"/>
        <item x="18"/>
        <item x="1059"/>
        <item x="1259"/>
        <item x="489"/>
        <item x="1665"/>
        <item x="654"/>
        <item x="814"/>
        <item x="1211"/>
        <item x="1203"/>
        <item x="1366"/>
        <item x="1756"/>
        <item x="524"/>
        <item x="40"/>
        <item x="943"/>
        <item x="378"/>
        <item x="1159"/>
        <item x="1353"/>
        <item x="1424"/>
        <item x="1514"/>
        <item x="241"/>
        <item x="1406"/>
        <item x="1552"/>
        <item x="348"/>
        <item x="1227"/>
        <item x="245"/>
        <item x="1610"/>
        <item x="656"/>
        <item x="795"/>
        <item x="349"/>
        <item x="1335"/>
        <item x="1067"/>
        <item x="96"/>
        <item x="651"/>
        <item x="421"/>
        <item x="920"/>
        <item x="1392"/>
        <item x="173"/>
        <item x="916"/>
        <item x="978"/>
        <item x="709"/>
        <item x="603"/>
        <item x="148"/>
        <item x="327"/>
        <item x="887"/>
        <item x="1562"/>
        <item x="621"/>
        <item x="1214"/>
        <item x="512"/>
        <item x="1550"/>
        <item x="198"/>
        <item x="114"/>
        <item x="113"/>
        <item x="1742"/>
        <item x="1351"/>
        <item x="1236"/>
        <item x="1318"/>
        <item x="1115"/>
        <item x="797"/>
        <item x="1147"/>
        <item x="1301"/>
        <item x="1056"/>
        <item x="1000"/>
        <item x="1595"/>
        <item x="602"/>
        <item x="686"/>
        <item x="929"/>
        <item x="1674"/>
        <item x="1050"/>
        <item x="1502"/>
        <item x="941"/>
        <item x="840"/>
        <item x="784"/>
        <item x="1741"/>
        <item x="972"/>
        <item x="1749"/>
        <item x="1442"/>
        <item x="210"/>
        <item x="1700"/>
        <item x="865"/>
        <item x="1110"/>
        <item x="554"/>
        <item x="157"/>
        <item x="389"/>
        <item x="845"/>
        <item x="478"/>
        <item x="777"/>
        <item x="1339"/>
        <item x="1190"/>
        <item x="367"/>
        <item x="1701"/>
        <item x="911"/>
        <item x="1299"/>
        <item x="1504"/>
        <item x="559"/>
        <item x="37"/>
        <item x="322"/>
        <item x="1462"/>
        <item x="1380"/>
        <item x="71"/>
        <item x="878"/>
        <item x="605"/>
        <item x="1485"/>
        <item x="1304"/>
        <item x="971"/>
        <item x="200"/>
        <item x="1495"/>
        <item x="324"/>
        <item x="561"/>
        <item x="1469"/>
        <item x="1729"/>
        <item x="1028"/>
        <item x="263"/>
        <item x="1254"/>
        <item x="471"/>
        <item x="437"/>
        <item x="566"/>
        <item x="1470"/>
        <item x="1215"/>
        <item x="1414"/>
        <item x="746"/>
        <item x="1646"/>
        <item x="1149"/>
        <item x="44"/>
        <item x="1446"/>
        <item x="947"/>
        <item x="205"/>
        <item x="999"/>
        <item x="1507"/>
        <item x="678"/>
        <item x="207"/>
        <item x="121"/>
        <item x="1663"/>
        <item x="306"/>
        <item x="1717"/>
        <item x="430"/>
        <item x="21"/>
        <item x="251"/>
        <item x="286"/>
        <item x="273"/>
        <item x="1379"/>
        <item x="284"/>
        <item x="761"/>
        <item x="285"/>
        <item x="1697"/>
        <item x="1361"/>
        <item x="396"/>
        <item x="1014"/>
        <item x="1307"/>
        <item x="1544"/>
        <item x="866"/>
        <item x="1654"/>
        <item x="669"/>
        <item x="1046"/>
        <item x="105"/>
        <item x="930"/>
        <item x="1328"/>
        <item x="699"/>
        <item x="712"/>
        <item x="767"/>
        <item x="1146"/>
        <item x="1179"/>
        <item x="1319"/>
        <item x="637"/>
        <item x="970"/>
        <item x="696"/>
        <item x="1536"/>
        <item x="1315"/>
        <item x="321"/>
        <item x="1064"/>
        <item x="270"/>
        <item x="1138"/>
        <item x="924"/>
        <item x="1280"/>
        <item x="587"/>
        <item x="1092"/>
        <item x="484"/>
        <item x="782"/>
        <item x="747"/>
        <item x="876"/>
        <item x="1673"/>
        <item x="1666"/>
        <item x="1628"/>
        <item x="1374"/>
        <item x="541"/>
        <item x="1719"/>
        <item x="1472"/>
        <item x="1698"/>
        <item x="1255"/>
        <item x="1744"/>
        <item x="649"/>
        <item x="405"/>
        <item x="1716"/>
        <item x="1643"/>
        <item x="617"/>
        <item x="127"/>
        <item x="1081"/>
        <item x="735"/>
        <item x="581"/>
        <item x="1421"/>
        <item x="448"/>
        <item x="1503"/>
        <item x="810"/>
        <item x="1078"/>
        <item x="1362"/>
        <item x="680"/>
        <item x="24"/>
        <item x="708"/>
        <item x="1245"/>
        <item x="809"/>
        <item x="369"/>
        <item x="1689"/>
        <item x="1162"/>
        <item x="1346"/>
        <item x="1453"/>
        <item x="1072"/>
        <item x="1615"/>
        <item x="875"/>
        <item x="1513"/>
        <item x="1218"/>
        <item x="481"/>
        <item x="1019"/>
        <item x="401"/>
        <item x="1739"/>
        <item x="1593"/>
        <item x="874"/>
        <item x="1303"/>
        <item x="89"/>
        <item x="1376"/>
        <item x="1690"/>
        <item x="1748"/>
        <item x="1240"/>
        <item x="718"/>
        <item x="1369"/>
        <item x="91"/>
        <item x="1257"/>
        <item x="1252"/>
        <item x="906"/>
        <item x="1225"/>
        <item x="1163"/>
        <item x="1263"/>
        <item x="1636"/>
        <item x="56"/>
        <item x="1461"/>
        <item x="1659"/>
        <item x="1606"/>
        <item x="363"/>
        <item x="75"/>
        <item x="12"/>
        <item x="31"/>
        <item x="1594"/>
        <item x="136"/>
        <item x="532"/>
        <item x="738"/>
        <item x="1408"/>
        <item x="653"/>
        <item x="1471"/>
        <item x="1529"/>
        <item x="404"/>
        <item x="1752"/>
        <item x="1338"/>
        <item x="652"/>
        <item x="1088"/>
        <item x="153"/>
        <item x="1386"/>
        <item x="1079"/>
        <item x="344"/>
        <item x="185"/>
        <item x="913"/>
        <item x="371"/>
        <item x="820"/>
        <item x="710"/>
        <item x="1032"/>
        <item x="1070"/>
        <item x="417"/>
        <item x="5"/>
        <item x="671"/>
        <item x="910"/>
        <item x="368"/>
        <item x="526"/>
        <item x="183"/>
        <item x="1696"/>
        <item x="1727"/>
        <item x="1398"/>
        <item x="1577"/>
        <item x="1548"/>
        <item x="1532"/>
        <item x="695"/>
        <item x="551"/>
        <item x="492"/>
        <item x="410"/>
        <item x="1170"/>
        <item x="1649"/>
        <item x="1027"/>
        <item x="1682"/>
        <item x="829"/>
        <item x="665"/>
        <item x="115"/>
        <item x="399"/>
        <item x="774"/>
        <item x="993"/>
        <item x="1302"/>
        <item x="706"/>
        <item x="1599"/>
        <item x="1477"/>
        <item x="98"/>
        <item x="1585"/>
        <item x="677"/>
        <item x="858"/>
        <item x="1658"/>
        <item x="1025"/>
        <item x="664"/>
        <item x="1313"/>
        <item x="1333"/>
        <item x="62"/>
        <item x="1103"/>
        <item x="768"/>
        <item x="1232"/>
        <item x="859"/>
        <item x="1273"/>
        <item x="1010"/>
        <item x="1295"/>
        <item x="741"/>
        <item x="1450"/>
        <item x="703"/>
        <item x="919"/>
        <item x="1438"/>
        <item x="456"/>
        <item x="290"/>
        <item x="107"/>
        <item x="555"/>
        <item x="1194"/>
        <item x="563"/>
        <item x="398"/>
        <item x="1724"/>
        <item x="870"/>
        <item x="22"/>
        <item x="201"/>
        <item x="1082"/>
        <item x="128"/>
        <item x="1312"/>
        <item x="365"/>
        <item x="490"/>
        <item x="1510"/>
        <item x="740"/>
        <item x="505"/>
        <item x="588"/>
        <item x="1509"/>
        <item x="1106"/>
        <item x="419"/>
        <item x="429"/>
        <item x="604"/>
        <item x="663"/>
        <item x="1676"/>
        <item x="1440"/>
        <item x="778"/>
        <item x="934"/>
        <item x="506"/>
        <item x="1612"/>
        <item x="360"/>
        <item x="227"/>
        <item x="13"/>
        <item x="1558"/>
        <item x="1393"/>
        <item x="868"/>
        <item x="1112"/>
        <item x="314"/>
        <item x="36"/>
        <item x="1720"/>
        <item x="171"/>
        <item x="188"/>
        <item x="1425"/>
        <item x="1631"/>
        <item x="1237"/>
        <item t="default"/>
      </items>
    </pivotField>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items count="16">
        <item x="7"/>
        <item x="3"/>
        <item x="1"/>
        <item x="2"/>
        <item x="5"/>
        <item x="0"/>
        <item x="4"/>
        <item x="6"/>
        <item x="9"/>
        <item x="8"/>
        <item x="14"/>
        <item x="11"/>
        <item x="13"/>
        <item x="10"/>
        <item x="12"/>
        <item t="default"/>
      </items>
    </pivotField>
    <pivotField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sd="0" x="0"/>
        <item sd="0" x="1"/>
        <item sd="0" x="2"/>
        <item sd="0" x="4"/>
        <item sd="0" x="3"/>
        <item n="6-10" sd="0" x="5"/>
        <item n="11-87" sd="0" x="6"/>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16">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0" series="1">
      <pivotArea type="data" outline="0" fieldPosition="0">
        <references count="2">
          <reference field="4294967294" count="1" selected="0">
            <x v="0"/>
          </reference>
          <reference field="17" count="1" selected="0">
            <x v="1"/>
          </reference>
        </references>
      </pivotArea>
    </chartFormat>
    <chartFormat chart="9" format="1" series="1">
      <pivotArea type="data" outline="0" fieldPosition="0">
        <references count="2">
          <reference field="4294967294" count="1" selected="0">
            <x v="0"/>
          </reference>
          <reference field="17" count="1" selected="0">
            <x v="2"/>
          </reference>
        </references>
      </pivotArea>
    </chartFormat>
    <chartFormat chart="9" format="2" series="1">
      <pivotArea type="data" outline="0" fieldPosition="0">
        <references count="2">
          <reference field="4294967294" count="1" selected="0">
            <x v="0"/>
          </reference>
          <reference field="17" count="1" selected="0">
            <x v="3"/>
          </reference>
        </references>
      </pivotArea>
    </chartFormat>
    <chartFormat chart="9" format="3" series="1">
      <pivotArea type="data" outline="0" fieldPosition="0">
        <references count="1">
          <reference field="4294967294" count="1" selected="0">
            <x v="0"/>
          </reference>
        </references>
      </pivotArea>
    </chartFormat>
    <chartFormat chart="10" format="4" series="1">
      <pivotArea type="data" outline="0" fieldPosition="0">
        <references count="2">
          <reference field="4294967294" count="1" selected="0">
            <x v="0"/>
          </reference>
          <reference field="9" count="1" selected="0">
            <x v="0"/>
          </reference>
        </references>
      </pivotArea>
    </chartFormat>
    <chartFormat chart="10" format="5" series="1">
      <pivotArea type="data" outline="0" fieldPosition="0">
        <references count="2">
          <reference field="4294967294" count="1" selected="0">
            <x v="0"/>
          </reference>
          <reference field="9" count="1" selected="0">
            <x v="1"/>
          </reference>
        </references>
      </pivotArea>
    </chartFormat>
    <chartFormat chart="10" format="6" series="1">
      <pivotArea type="data" outline="0" fieldPosition="0">
        <references count="2">
          <reference field="4294967294" count="1" selected="0">
            <x v="0"/>
          </reference>
          <reference field="9" count="1" selected="0">
            <x v="2"/>
          </reference>
        </references>
      </pivotArea>
    </chartFormat>
    <chartFormat chart="10" format="7" series="1">
      <pivotArea type="data" outline="0" fieldPosition="0">
        <references count="2">
          <reference field="4294967294" count="1" selected="0">
            <x v="0"/>
          </reference>
          <reference field="9" count="1" selected="0">
            <x v="3"/>
          </reference>
        </references>
      </pivotArea>
    </chartFormat>
    <chartFormat chart="10" format="8" series="1">
      <pivotArea type="data" outline="0" fieldPosition="0">
        <references count="2">
          <reference field="4294967294" count="1" selected="0">
            <x v="0"/>
          </reference>
          <reference field="9" count="1" selected="0">
            <x v="4"/>
          </reference>
        </references>
      </pivotArea>
    </chartFormat>
    <chartFormat chart="11" format="9" series="1">
      <pivotArea type="data" outline="0" fieldPosition="0">
        <references count="2">
          <reference field="4294967294" count="1" selected="0">
            <x v="0"/>
          </reference>
          <reference field="9" count="1" selected="0">
            <x v="0"/>
          </reference>
        </references>
      </pivotArea>
    </chartFormat>
    <chartFormat chart="11" format="10" series="1">
      <pivotArea type="data" outline="0" fieldPosition="0">
        <references count="2">
          <reference field="4294967294" count="1" selected="0">
            <x v="0"/>
          </reference>
          <reference field="9" count="1" selected="0">
            <x v="1"/>
          </reference>
        </references>
      </pivotArea>
    </chartFormat>
    <chartFormat chart="11" format="11" series="1">
      <pivotArea type="data" outline="0" fieldPosition="0">
        <references count="2">
          <reference field="4294967294" count="1" selected="0">
            <x v="0"/>
          </reference>
          <reference field="9" count="1" selected="0">
            <x v="2"/>
          </reference>
        </references>
      </pivotArea>
    </chartFormat>
    <chartFormat chart="11" format="12" series="1">
      <pivotArea type="data" outline="0" fieldPosition="0">
        <references count="2">
          <reference field="4294967294" count="1" selected="0">
            <x v="0"/>
          </reference>
          <reference field="9" count="1" selected="0">
            <x v="3"/>
          </reference>
        </references>
      </pivotArea>
    </chartFormat>
    <chartFormat chart="11" format="13"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F13ED1F-1FCE-4AD6-8CF9-BDA7D96ACB42}"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F10"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items count="1765">
        <item x="0"/>
        <item x="432"/>
        <item x="1482"/>
        <item x="178"/>
        <item x="1436"/>
        <item x="239"/>
        <item x="591"/>
        <item x="1426"/>
        <item x="1021"/>
        <item x="283"/>
        <item x="1494"/>
        <item x="749"/>
        <item x="1609"/>
        <item x="248"/>
        <item x="135"/>
        <item x="836"/>
        <item x="832"/>
        <item x="1200"/>
        <item x="1600"/>
        <item x="1709"/>
        <item x="670"/>
        <item x="1492"/>
        <item x="134"/>
        <item x="447"/>
        <item x="688"/>
        <item x="1219"/>
        <item x="614"/>
        <item x="1137"/>
        <item x="132"/>
        <item x="190"/>
        <item x="1500"/>
        <item x="323"/>
        <item x="798"/>
        <item x="333"/>
        <item x="1429"/>
        <item x="1349"/>
        <item x="483"/>
        <item x="731"/>
        <item x="1084"/>
        <item x="258"/>
        <item x="968"/>
        <item x="525"/>
        <item x="249"/>
        <item x="1246"/>
        <item x="61"/>
        <item x="1695"/>
        <item x="772"/>
        <item x="126"/>
        <item x="1561"/>
        <item x="779"/>
        <item x="301"/>
        <item x="835"/>
        <item x="1057"/>
        <item x="1616"/>
        <item x="830"/>
        <item x="1644"/>
        <item x="202"/>
        <item x="1672"/>
        <item x="19"/>
        <item x="382"/>
        <item x="1441"/>
        <item x="1703"/>
        <item x="1191"/>
        <item x="601"/>
        <item x="1102"/>
        <item x="38"/>
        <item x="534"/>
        <item x="63"/>
        <item x="49"/>
        <item x="1116"/>
        <item x="1639"/>
        <item x="1637"/>
        <item x="879"/>
        <item x="293"/>
        <item x="425"/>
        <item x="1034"/>
        <item x="1076"/>
        <item x="1678"/>
        <item x="47"/>
        <item x="1493"/>
        <item x="242"/>
        <item x="928"/>
        <item x="1538"/>
        <item x="1642"/>
        <item x="558"/>
        <item x="1705"/>
        <item x="406"/>
        <item x="1323"/>
        <item x="1455"/>
        <item x="35"/>
        <item x="137"/>
        <item x="627"/>
        <item x="109"/>
        <item x="1158"/>
        <item x="390"/>
        <item x="1684"/>
        <item x="1229"/>
        <item x="944"/>
        <item x="860"/>
        <item x="940"/>
        <item x="698"/>
        <item x="1417"/>
        <item x="253"/>
        <item x="1680"/>
        <item x="1564"/>
        <item x="1222"/>
        <item x="607"/>
        <item x="1656"/>
        <item x="1580"/>
        <item x="1114"/>
        <item x="169"/>
        <item x="1553"/>
        <item x="1668"/>
        <item x="1657"/>
        <item x="519"/>
        <item x="72"/>
        <item x="1520"/>
        <item x="53"/>
        <item x="168"/>
        <item x="1277"/>
        <item x="547"/>
        <item x="329"/>
        <item x="791"/>
        <item x="1745"/>
        <item x="804"/>
        <item x="463"/>
        <item x="853"/>
        <item x="753"/>
        <item x="220"/>
        <item x="1139"/>
        <item x="1320"/>
        <item x="1732"/>
        <item x="923"/>
        <item x="496"/>
        <item x="864"/>
        <item x="736"/>
        <item x="341"/>
        <item x="144"/>
        <item x="165"/>
        <item x="282"/>
        <item x="518"/>
        <item x="1400"/>
        <item x="1117"/>
        <item x="1352"/>
        <item x="274"/>
        <item x="803"/>
        <item x="783"/>
        <item x="1184"/>
        <item x="504"/>
        <item x="1667"/>
        <item x="50"/>
        <item x="1712"/>
        <item x="480"/>
        <item x="1465"/>
        <item x="1151"/>
        <item x="337"/>
        <item x="1283"/>
        <item x="469"/>
        <item x="440"/>
        <item x="39"/>
        <item x="1286"/>
        <item x="181"/>
        <item x="1422"/>
        <item x="1195"/>
        <item x="328"/>
        <item x="1661"/>
        <item x="945"/>
        <item x="573"/>
        <item x="225"/>
        <item x="1456"/>
        <item x="438"/>
        <item x="938"/>
        <item x="583"/>
        <item x="1212"/>
        <item x="705"/>
        <item x="204"/>
        <item x="962"/>
        <item x="494"/>
        <item x="716"/>
        <item x="722"/>
        <item x="1063"/>
        <item x="516"/>
        <item x="434"/>
        <item x="1447"/>
        <item x="594"/>
        <item x="86"/>
        <item x="179"/>
        <item x="392"/>
        <item x="828"/>
        <item x="1601"/>
        <item x="538"/>
        <item x="510"/>
        <item x="959"/>
        <item x="1293"/>
        <item x="655"/>
        <item x="319"/>
        <item x="1247"/>
        <item x="51"/>
        <item x="268"/>
        <item x="528"/>
        <item x="1111"/>
        <item x="256"/>
        <item x="1474"/>
        <item x="500"/>
        <item x="1039"/>
        <item x="486"/>
        <item x="813"/>
        <item x="458"/>
        <item x="578"/>
        <item x="163"/>
        <item x="180"/>
        <item x="1045"/>
        <item x="937"/>
        <item x="733"/>
        <item x="964"/>
        <item x="954"/>
        <item x="1074"/>
        <item x="1692"/>
        <item x="475"/>
        <item x="1342"/>
        <item x="773"/>
        <item x="1559"/>
        <item x="413"/>
        <item x="1228"/>
        <item x="112"/>
        <item x="513"/>
        <item x="535"/>
        <item x="1557"/>
        <item x="287"/>
        <item x="1563"/>
        <item x="789"/>
        <item x="1309"/>
        <item x="1758"/>
        <item x="1260"/>
        <item x="1089"/>
        <item x="521"/>
        <item x="1364"/>
        <item x="630"/>
        <item x="1107"/>
        <item x="1539"/>
        <item x="1407"/>
        <item x="1090"/>
        <item x="252"/>
        <item x="898"/>
        <item x="291"/>
        <item x="6"/>
        <item x="466"/>
        <item x="102"/>
        <item x="1581"/>
        <item x="391"/>
        <item x="571"/>
        <item x="1007"/>
        <item x="1498"/>
        <item x="1640"/>
        <item x="933"/>
        <item x="472"/>
        <item x="473"/>
        <item x="1177"/>
        <item x="1281"/>
        <item x="1253"/>
        <item x="636"/>
        <item x="569"/>
        <item x="687"/>
        <item x="1356"/>
        <item x="1635"/>
        <item x="331"/>
        <item x="305"/>
        <item x="902"/>
        <item x="150"/>
        <item x="572"/>
        <item x="1242"/>
        <item x="1478"/>
        <item x="676"/>
        <item x="1100"/>
        <item x="254"/>
        <item x="1176"/>
        <item x="1201"/>
        <item x="1738"/>
        <item x="266"/>
        <item x="408"/>
        <item x="1035"/>
        <item x="1297"/>
        <item x="170"/>
        <item x="1"/>
        <item x="886"/>
        <item x="1085"/>
        <item x="834"/>
        <item x="546"/>
        <item x="957"/>
        <item x="85"/>
        <item x="1448"/>
        <item x="1197"/>
        <item x="1030"/>
        <item x="683"/>
        <item x="1016"/>
        <item x="143"/>
        <item x="1620"/>
        <item x="1220"/>
        <item x="1276"/>
        <item x="34"/>
        <item x="1005"/>
        <item x="1394"/>
        <item x="453"/>
        <item x="1099"/>
        <item x="1740"/>
        <item x="460"/>
        <item x="891"/>
        <item x="221"/>
        <item x="212"/>
        <item x="1481"/>
        <item x="499"/>
        <item x="511"/>
        <item x="812"/>
        <item x="387"/>
        <item x="1124"/>
        <item x="702"/>
        <item x="815"/>
        <item x="14"/>
        <item x="119"/>
        <item x="884"/>
        <item x="966"/>
        <item x="863"/>
        <item x="1476"/>
        <item x="693"/>
        <item x="509"/>
        <item x="821"/>
        <item x="418"/>
        <item x="745"/>
        <item x="1714"/>
        <item x="508"/>
        <item x="1043"/>
        <item x="564"/>
        <item x="59"/>
        <item x="299"/>
        <item x="1154"/>
        <item x="952"/>
        <item x="474"/>
        <item x="1549"/>
        <item x="1012"/>
        <item x="527"/>
        <item x="1664"/>
        <item x="184"/>
        <item x="1321"/>
        <item x="1013"/>
        <item x="660"/>
        <item x="1574"/>
        <item x="503"/>
        <item x="1289"/>
        <item x="623"/>
        <item x="1325"/>
        <item x="236"/>
        <item x="1285"/>
        <item x="936"/>
        <item x="1524"/>
        <item x="426"/>
        <item x="1517"/>
        <item x="800"/>
        <item x="372"/>
        <item x="1314"/>
        <item x="610"/>
        <item x="110"/>
        <item x="965"/>
        <item x="1734"/>
        <item x="611"/>
        <item x="495"/>
        <item x="108"/>
        <item x="1554"/>
        <item x="998"/>
        <item x="172"/>
        <item x="1488"/>
        <item x="1648"/>
        <item x="514"/>
        <item x="882"/>
        <item x="714"/>
        <item x="332"/>
        <item x="1721"/>
        <item x="445"/>
        <item x="1003"/>
        <item x="837"/>
        <item x="83"/>
        <item x="771"/>
        <item x="1598"/>
        <item x="1233"/>
        <item x="482"/>
        <item x="292"/>
        <item x="648"/>
        <item x="1148"/>
        <item x="166"/>
        <item x="1670"/>
        <item x="1645"/>
        <item x="491"/>
        <item x="1623"/>
        <item x="1608"/>
        <item x="1751"/>
        <item x="1113"/>
        <item x="84"/>
        <item x="1187"/>
        <item x="1589"/>
        <item x="479"/>
        <item x="1133"/>
        <item x="556"/>
        <item x="48"/>
        <item x="7"/>
        <item x="1687"/>
        <item x="41"/>
        <item x="1443"/>
        <item x="969"/>
        <item x="1101"/>
        <item x="1523"/>
        <item x="330"/>
        <item x="1135"/>
        <item x="673"/>
        <item x="1518"/>
        <item x="462"/>
        <item x="1182"/>
        <item x="470"/>
        <item x="707"/>
        <item x="925"/>
        <item x="681"/>
        <item x="433"/>
        <item x="1405"/>
        <item x="903"/>
        <item x="278"/>
        <item x="533"/>
        <item x="1274"/>
        <item x="1647"/>
        <item x="1331"/>
        <item x="464"/>
        <item x="825"/>
        <item x="1216"/>
        <item x="1172"/>
        <item x="550"/>
        <item x="1324"/>
        <item x="1024"/>
        <item x="1360"/>
        <item x="616"/>
        <item x="781"/>
        <item x="700"/>
        <item x="626"/>
        <item x="1053"/>
        <item x="640"/>
        <item x="631"/>
        <item x="697"/>
        <item x="485"/>
        <item x="1205"/>
        <item x="1155"/>
        <item x="1047"/>
        <item x="787"/>
        <item x="1605"/>
        <item x="1702"/>
        <item x="542"/>
        <item x="70"/>
        <item x="32"/>
        <item x="817"/>
        <item x="645"/>
        <item x="244"/>
        <item x="786"/>
        <item x="497"/>
        <item x="742"/>
        <item x="407"/>
        <item x="1270"/>
        <item x="411"/>
        <item x="1058"/>
        <item x="758"/>
        <item x="988"/>
        <item x="1152"/>
        <item x="974"/>
        <item x="1196"/>
        <item x="737"/>
        <item x="1487"/>
        <item x="1707"/>
        <item x="16"/>
        <item x="1261"/>
        <item x="64"/>
        <item x="1650"/>
        <item x="442"/>
        <item x="255"/>
        <item x="1467"/>
        <item x="725"/>
        <item x="234"/>
        <item x="422"/>
        <item x="415"/>
        <item x="296"/>
        <item x="233"/>
        <item x="139"/>
        <item x="802"/>
        <item x="586"/>
        <item x="854"/>
        <item x="219"/>
        <item x="334"/>
        <item x="1629"/>
        <item x="73"/>
        <item x="980"/>
        <item x="1757"/>
        <item x="451"/>
        <item x="647"/>
        <item x="131"/>
        <item x="68"/>
        <item x="11"/>
        <item x="196"/>
        <item x="1543"/>
        <item x="197"/>
        <item x="643"/>
        <item x="1033"/>
        <item x="1300"/>
        <item x="1569"/>
        <item x="1459"/>
        <item x="350"/>
        <item x="1638"/>
        <item x="1217"/>
        <item x="1326"/>
        <item x="862"/>
        <item x="427"/>
        <item x="90"/>
        <item x="95"/>
        <item x="855"/>
        <item x="1171"/>
        <item x="857"/>
        <item x="1681"/>
        <item x="530"/>
        <item x="1062"/>
        <item x="646"/>
        <item x="298"/>
        <item x="125"/>
        <item x="576"/>
        <item x="1223"/>
        <item x="186"/>
        <item x="1454"/>
        <item x="1389"/>
        <item x="748"/>
        <item x="199"/>
        <item x="1652"/>
        <item x="661"/>
        <item x="211"/>
        <item x="1049"/>
        <item x="852"/>
        <item x="568"/>
        <item x="142"/>
        <item x="101"/>
        <item x="872"/>
        <item x="793"/>
        <item x="619"/>
        <item x="694"/>
        <item x="1002"/>
        <item x="1511"/>
        <item x="799"/>
        <item x="1311"/>
        <item x="215"/>
        <item x="807"/>
        <item x="1061"/>
        <item x="939"/>
        <item x="10"/>
        <item x="1178"/>
        <item x="42"/>
        <item x="659"/>
        <item x="414"/>
        <item x="1239"/>
        <item x="17"/>
        <item x="81"/>
        <item x="918"/>
        <item x="579"/>
        <item x="806"/>
        <item x="622"/>
        <item x="1097"/>
        <item x="1483"/>
        <item x="883"/>
        <item x="1006"/>
        <item x="1534"/>
        <item x="881"/>
        <item x="794"/>
        <item x="158"/>
        <item x="380"/>
        <item x="548"/>
        <item x="1413"/>
        <item x="1129"/>
        <item x="247"/>
        <item x="1127"/>
        <item x="1575"/>
        <item x="717"/>
        <item x="1466"/>
        <item x="488"/>
        <item x="1449"/>
        <item x="311"/>
        <item x="574"/>
        <item x="1579"/>
        <item x="151"/>
        <item x="1484"/>
        <item x="100"/>
        <item x="446"/>
        <item x="1699"/>
        <item x="565"/>
        <item x="1622"/>
        <item x="726"/>
        <item x="1527"/>
        <item x="1737"/>
        <item x="833"/>
        <item x="557"/>
        <item x="841"/>
        <item x="1098"/>
        <item x="593"/>
        <item x="1250"/>
        <item x="193"/>
        <item x="1402"/>
        <item x="120"/>
        <item x="111"/>
        <item x="160"/>
        <item x="493"/>
        <item x="92"/>
        <item x="1710"/>
        <item x="297"/>
        <item x="1087"/>
        <item x="164"/>
        <item x="641"/>
        <item x="1296"/>
        <item x="384"/>
        <item x="544"/>
        <item x="949"/>
        <item x="1287"/>
        <item x="1432"/>
        <item x="1268"/>
        <item x="553"/>
        <item x="302"/>
        <item x="145"/>
        <item x="376"/>
        <item x="1109"/>
        <item x="570"/>
        <item x="52"/>
        <item x="1415"/>
        <item x="352"/>
        <item x="967"/>
        <item x="624"/>
        <item x="1555"/>
        <item x="628"/>
        <item x="888"/>
        <item x="1077"/>
        <item x="1208"/>
        <item x="1332"/>
        <item x="520"/>
        <item x="1071"/>
        <item x="823"/>
        <item x="1193"/>
        <item x="618"/>
        <item x="539"/>
        <item x="58"/>
        <item x="580"/>
        <item x="1403"/>
        <item x="309"/>
        <item x="769"/>
        <item x="385"/>
        <item x="632"/>
        <item x="1060"/>
        <item x="33"/>
        <item x="1583"/>
        <item x="848"/>
        <item x="1272"/>
        <item x="1249"/>
        <item x="1209"/>
        <item x="1423"/>
        <item x="955"/>
        <item x="431"/>
        <item x="979"/>
        <item x="927"/>
        <item x="1265"/>
        <item x="117"/>
        <item x="986"/>
        <item x="1567"/>
        <item x="260"/>
        <item x="30"/>
        <item x="981"/>
        <item x="1545"/>
        <item x="1597"/>
        <item x="1048"/>
        <item x="531"/>
        <item x="1093"/>
        <item x="340"/>
        <item x="246"/>
        <item x="685"/>
        <item x="1693"/>
        <item x="1411"/>
        <item x="336"/>
        <item x="1641"/>
        <item x="1134"/>
        <item x="517"/>
        <item x="1294"/>
        <item x="996"/>
        <item x="383"/>
        <item x="1068"/>
        <item x="1387"/>
        <item x="1730"/>
        <item x="1367"/>
        <item x="223"/>
        <item x="304"/>
        <item x="639"/>
        <item x="374"/>
        <item x="209"/>
        <item x="194"/>
        <item x="388"/>
        <item x="377"/>
        <item x="1457"/>
        <item x="1683"/>
        <item x="634"/>
        <item x="1762"/>
        <item x="381"/>
        <item x="684"/>
        <item x="1427"/>
        <item x="1038"/>
        <item x="780"/>
        <item x="932"/>
        <item x="1708"/>
        <item x="1175"/>
        <item x="60"/>
        <item x="1419"/>
        <item x="275"/>
        <item x="1298"/>
        <item x="1391"/>
        <item x="1489"/>
        <item x="897"/>
        <item x="1410"/>
        <item x="1096"/>
        <item x="625"/>
        <item x="613"/>
        <item x="1435"/>
        <item x="1262"/>
        <item x="353"/>
        <item x="1401"/>
        <item x="468"/>
        <item x="973"/>
        <item x="675"/>
        <item x="1626"/>
        <item x="1570"/>
        <item x="599"/>
        <item x="1718"/>
        <item x="1207"/>
        <item x="1363"/>
        <item x="1761"/>
        <item x="926"/>
        <item x="824"/>
        <item x="1224"/>
        <item x="203"/>
        <item x="1119"/>
        <item x="1753"/>
        <item x="956"/>
        <item x="1501"/>
        <item x="689"/>
        <item x="315"/>
        <item x="638"/>
        <item x="379"/>
        <item x="562"/>
        <item x="842"/>
        <item x="354"/>
        <item x="277"/>
        <item x="174"/>
        <item x="318"/>
        <item x="465"/>
        <item x="1621"/>
        <item x="1388"/>
        <item x="1634"/>
        <item x="1065"/>
        <item x="1618"/>
        <item x="1145"/>
        <item x="1330"/>
        <item x="1506"/>
        <item x="608"/>
        <item x="1399"/>
        <item x="55"/>
        <item x="1384"/>
        <item x="831"/>
        <item x="1120"/>
        <item x="1040"/>
        <item x="351"/>
        <item x="1230"/>
        <item x="515"/>
        <item x="1126"/>
        <item x="1733"/>
        <item x="1660"/>
        <item x="9"/>
        <item x="963"/>
        <item x="1588"/>
        <item x="1655"/>
        <item x="507"/>
        <item x="1022"/>
        <item x="905"/>
        <item x="739"/>
        <item x="1355"/>
        <item x="402"/>
        <item x="1329"/>
        <item x="409"/>
        <item x="1750"/>
        <item x="1344"/>
        <item x="444"/>
        <item x="250"/>
        <item x="950"/>
        <item x="1271"/>
        <item x="1530"/>
        <item x="811"/>
        <item x="759"/>
        <item x="154"/>
        <item x="1095"/>
        <item x="1157"/>
        <item x="915"/>
        <item x="435"/>
        <item x="1288"/>
        <item x="1164"/>
        <item x="1475"/>
        <item x="1128"/>
        <item x="838"/>
        <item x="1728"/>
        <item x="657"/>
        <item x="1183"/>
        <item x="522"/>
        <item x="1080"/>
        <item x="1759"/>
        <item x="1445"/>
        <item x="1537"/>
        <item x="312"/>
        <item x="1345"/>
        <item x="1251"/>
        <item x="1189"/>
        <item x="1256"/>
        <item x="701"/>
        <item x="762"/>
        <item x="606"/>
        <item x="589"/>
        <item x="1243"/>
        <item x="750"/>
        <item x="1713"/>
        <item x="66"/>
        <item x="1763"/>
        <item x="1603"/>
        <item x="1531"/>
        <item x="900"/>
        <item x="362"/>
        <item x="1026"/>
        <item x="612"/>
        <item x="393"/>
        <item x="4"/>
        <item x="1284"/>
        <item x="1691"/>
        <item x="307"/>
        <item x="443"/>
        <item x="727"/>
        <item x="1512"/>
        <item x="1522"/>
        <item x="595"/>
        <item x="231"/>
        <item x="826"/>
        <item x="187"/>
        <item x="162"/>
        <item x="775"/>
        <item x="893"/>
        <item x="1669"/>
        <item x="597"/>
        <item x="1434"/>
        <item x="889"/>
        <item x="1337"/>
        <item x="1619"/>
        <item x="1395"/>
        <item x="224"/>
        <item x="25"/>
        <item x="122"/>
        <item x="766"/>
        <item x="218"/>
        <item x="1525"/>
        <item x="1350"/>
        <item x="257"/>
        <item x="983"/>
        <item x="633"/>
        <item x="74"/>
        <item x="394"/>
        <item x="67"/>
        <item x="1020"/>
        <item x="1573"/>
        <item x="476"/>
        <item x="359"/>
        <item x="366"/>
        <item x="1565"/>
        <item x="1142"/>
        <item x="1275"/>
        <item x="1452"/>
        <item x="690"/>
        <item x="106"/>
        <item x="364"/>
        <item x="316"/>
        <item x="1596"/>
        <item x="1143"/>
        <item x="1180"/>
        <item x="1165"/>
        <item x="156"/>
        <item x="79"/>
        <item x="808"/>
        <item x="1173"/>
        <item x="412"/>
        <item x="827"/>
        <item x="1390"/>
        <item x="1458"/>
        <item x="885"/>
        <item x="620"/>
        <item x="975"/>
        <item x="455"/>
        <item x="1385"/>
        <item x="118"/>
        <item x="1001"/>
        <item x="1582"/>
        <item x="1131"/>
        <item x="1086"/>
        <item x="1372"/>
        <item x="1348"/>
        <item x="724"/>
        <item x="213"/>
        <item x="1451"/>
        <item x="796"/>
        <item x="1042"/>
        <item x="1343"/>
        <item x="529"/>
        <item x="345"/>
        <item x="261"/>
        <item x="1473"/>
        <item x="94"/>
        <item x="1174"/>
        <item x="280"/>
        <item x="1568"/>
        <item x="1327"/>
        <item x="243"/>
        <item x="338"/>
        <item x="756"/>
        <item x="1572"/>
        <item x="487"/>
        <item x="436"/>
        <item x="958"/>
        <item x="167"/>
        <item x="1192"/>
        <item x="1210"/>
        <item x="896"/>
        <item x="308"/>
        <item x="271"/>
        <item x="1519"/>
        <item x="420"/>
        <item x="861"/>
        <item x="763"/>
        <item x="152"/>
        <item x="228"/>
        <item x="577"/>
        <item x="977"/>
        <item x="294"/>
        <item x="214"/>
        <item x="403"/>
        <item x="877"/>
        <item x="1186"/>
        <item x="43"/>
        <item x="454"/>
        <item x="461"/>
        <item x="1428"/>
        <item x="904"/>
        <item x="140"/>
        <item x="1704"/>
        <item x="1416"/>
        <item x="922"/>
        <item x="549"/>
        <item x="1336"/>
        <item x="264"/>
        <item x="609"/>
        <item x="138"/>
        <item x="1130"/>
        <item x="1202"/>
        <item x="23"/>
        <item x="1168"/>
        <item x="667"/>
        <item x="1651"/>
        <item x="1066"/>
        <item x="230"/>
        <item x="801"/>
        <item x="267"/>
        <item x="1547"/>
        <item x="226"/>
        <item x="325"/>
        <item x="560"/>
        <item x="523"/>
        <item x="818"/>
        <item x="679"/>
        <item x="1431"/>
        <item x="1725"/>
        <item x="303"/>
        <item x="397"/>
        <item x="1094"/>
        <item x="206"/>
        <item x="1715"/>
        <item x="760"/>
        <item x="358"/>
        <item x="1722"/>
        <item x="991"/>
        <item x="1433"/>
        <item x="1479"/>
        <item x="1282"/>
        <item x="104"/>
        <item x="985"/>
        <item x="20"/>
        <item x="77"/>
        <item x="1199"/>
        <item x="1437"/>
        <item x="1055"/>
        <item x="765"/>
        <item x="1156"/>
        <item x="839"/>
        <item x="642"/>
        <item x="961"/>
        <item x="1169"/>
        <item x="692"/>
        <item x="1141"/>
        <item x="901"/>
        <item x="846"/>
        <item x="890"/>
        <item x="873"/>
        <item x="317"/>
        <item x="1009"/>
        <item x="776"/>
        <item x="1535"/>
        <item x="326"/>
        <item x="1675"/>
        <item x="65"/>
        <item x="662"/>
        <item x="129"/>
        <item x="416"/>
        <item x="1279"/>
        <item x="147"/>
        <item x="1686"/>
        <item x="27"/>
        <item x="1541"/>
        <item x="1167"/>
        <item x="822"/>
        <item x="1166"/>
        <item x="984"/>
        <item x="743"/>
        <item x="1404"/>
        <item x="1161"/>
        <item x="1359"/>
        <item x="217"/>
        <item x="615"/>
        <item x="757"/>
        <item x="123"/>
        <item x="976"/>
        <item x="1412"/>
        <item x="1706"/>
        <item x="1118"/>
        <item x="540"/>
        <item x="76"/>
        <item x="666"/>
        <item x="1069"/>
        <item x="1760"/>
        <item x="989"/>
        <item x="1551"/>
        <item x="78"/>
        <item x="237"/>
        <item x="1396"/>
        <item x="1365"/>
        <item x="1150"/>
        <item x="1248"/>
        <item x="987"/>
        <item x="342"/>
        <item x="1533"/>
        <item x="1723"/>
        <item x="1044"/>
        <item x="1234"/>
        <item x="805"/>
        <item x="1726"/>
        <item x="1231"/>
        <item x="1017"/>
        <item x="596"/>
        <item x="1316"/>
        <item x="262"/>
        <item x="719"/>
        <item x="441"/>
        <item x="672"/>
        <item x="1031"/>
        <item x="1204"/>
        <item x="598"/>
        <item x="1576"/>
        <item x="721"/>
        <item x="238"/>
        <item x="1310"/>
        <item x="1235"/>
        <item x="216"/>
        <item x="1624"/>
        <item x="543"/>
        <item x="1267"/>
        <item x="467"/>
        <item x="1679"/>
        <item x="1136"/>
        <item x="545"/>
        <item x="1206"/>
        <item x="816"/>
        <item x="1578"/>
        <item x="1586"/>
        <item x="103"/>
        <item x="1306"/>
        <item x="754"/>
        <item x="343"/>
        <item x="28"/>
        <item x="133"/>
        <item x="951"/>
        <item x="281"/>
        <item x="755"/>
        <item x="300"/>
        <item x="87"/>
        <item x="1371"/>
        <item x="1292"/>
        <item x="946"/>
        <item x="536"/>
        <item x="650"/>
        <item x="155"/>
        <item x="629"/>
        <item x="1468"/>
        <item x="1499"/>
        <item x="1486"/>
        <item x="195"/>
        <item x="600"/>
        <item x="1290"/>
        <item x="960"/>
        <item x="361"/>
        <item x="1104"/>
        <item x="175"/>
        <item x="1754"/>
        <item x="124"/>
        <item x="948"/>
        <item x="3"/>
        <item x="723"/>
        <item x="1685"/>
        <item x="1497"/>
        <item x="751"/>
        <item x="1370"/>
        <item x="1611"/>
        <item x="1317"/>
        <item x="1266"/>
        <item x="792"/>
        <item x="844"/>
        <item x="843"/>
        <item x="1439"/>
        <item x="357"/>
        <item x="1083"/>
        <item x="1546"/>
        <item x="1123"/>
        <item x="259"/>
        <item x="1430"/>
        <item x="88"/>
        <item x="1625"/>
        <item x="54"/>
        <item x="899"/>
        <item x="1291"/>
        <item x="1029"/>
        <item x="208"/>
        <item x="1633"/>
        <item x="907"/>
        <item x="819"/>
        <item x="1144"/>
        <item x="1340"/>
        <item x="313"/>
        <item x="1409"/>
        <item x="97"/>
        <item x="276"/>
        <item x="552"/>
        <item x="1614"/>
        <item x="917"/>
        <item x="788"/>
        <item x="585"/>
        <item x="584"/>
        <item x="1677"/>
        <item x="45"/>
        <item x="592"/>
        <item x="674"/>
        <item x="1073"/>
        <item x="1004"/>
        <item x="1420"/>
        <item x="423"/>
        <item x="770"/>
        <item x="990"/>
        <item x="29"/>
        <item x="1241"/>
        <item x="1125"/>
        <item x="346"/>
        <item x="537"/>
        <item x="1264"/>
        <item x="1375"/>
        <item x="1008"/>
        <item x="1122"/>
        <item x="232"/>
        <item x="452"/>
        <item x="1368"/>
        <item x="1140"/>
        <item x="1526"/>
        <item x="457"/>
        <item x="1121"/>
        <item x="1743"/>
        <item x="1381"/>
        <item x="1397"/>
        <item x="764"/>
        <item x="711"/>
        <item x="320"/>
        <item x="295"/>
        <item x="1221"/>
        <item x="909"/>
        <item x="1460"/>
        <item x="1341"/>
        <item x="1444"/>
        <item x="57"/>
        <item x="159"/>
        <item x="182"/>
        <item x="373"/>
        <item x="1542"/>
        <item x="982"/>
        <item x="1052"/>
        <item x="1591"/>
        <item x="994"/>
        <item x="728"/>
        <item x="80"/>
        <item x="729"/>
        <item x="1694"/>
        <item x="1508"/>
        <item x="395"/>
        <item x="1566"/>
        <item x="1188"/>
        <item x="1347"/>
        <item x="1226"/>
        <item x="567"/>
        <item x="289"/>
        <item x="161"/>
        <item x="279"/>
        <item x="1269"/>
        <item x="1671"/>
        <item x="15"/>
        <item x="1505"/>
        <item x="141"/>
        <item x="892"/>
        <item x="400"/>
        <item x="355"/>
        <item x="1418"/>
        <item x="851"/>
        <item x="1037"/>
        <item x="1075"/>
        <item x="502"/>
        <item x="752"/>
        <item x="1755"/>
        <item x="1480"/>
        <item x="1747"/>
        <item x="895"/>
        <item x="176"/>
        <item x="744"/>
        <item x="269"/>
        <item x="1011"/>
        <item x="46"/>
        <item x="997"/>
        <item x="99"/>
        <item x="1015"/>
        <item x="1198"/>
        <item x="1238"/>
        <item x="310"/>
        <item x="1604"/>
        <item x="1592"/>
        <item x="730"/>
        <item x="1244"/>
        <item x="347"/>
        <item x="1496"/>
        <item x="1041"/>
        <item x="1305"/>
        <item x="1308"/>
        <item x="356"/>
        <item x="582"/>
        <item x="191"/>
        <item x="1181"/>
        <item x="2"/>
        <item x="847"/>
        <item x="1334"/>
        <item x="1736"/>
        <item x="1630"/>
        <item x="1278"/>
        <item x="1358"/>
        <item x="477"/>
        <item x="335"/>
        <item x="849"/>
        <item x="189"/>
        <item x="850"/>
        <item x="1354"/>
        <item x="149"/>
        <item x="272"/>
        <item x="265"/>
        <item x="1617"/>
        <item x="1463"/>
        <item x="1382"/>
        <item x="449"/>
        <item x="720"/>
        <item x="734"/>
        <item x="370"/>
        <item x="1540"/>
        <item x="1153"/>
        <item x="992"/>
        <item x="953"/>
        <item x="894"/>
        <item x="869"/>
        <item x="1213"/>
        <item x="1108"/>
        <item x="1383"/>
        <item x="1491"/>
        <item x="1132"/>
        <item x="240"/>
        <item x="1584"/>
        <item x="1735"/>
        <item x="1185"/>
        <item x="931"/>
        <item x="26"/>
        <item x="1377"/>
        <item x="1602"/>
        <item x="1490"/>
        <item x="1036"/>
        <item x="146"/>
        <item x="880"/>
        <item x="1688"/>
        <item x="995"/>
        <item x="914"/>
        <item x="1607"/>
        <item x="1023"/>
        <item x="192"/>
        <item x="682"/>
        <item x="1357"/>
        <item x="658"/>
        <item x="1018"/>
        <item x="935"/>
        <item x="1528"/>
        <item x="644"/>
        <item x="1521"/>
        <item x="116"/>
        <item x="785"/>
        <item x="1556"/>
        <item x="1731"/>
        <item x="1560"/>
        <item x="177"/>
        <item x="386"/>
        <item x="450"/>
        <item x="1373"/>
        <item x="790"/>
        <item x="1516"/>
        <item x="867"/>
        <item x="912"/>
        <item x="1464"/>
        <item x="498"/>
        <item x="1322"/>
        <item x="93"/>
        <item x="1054"/>
        <item x="428"/>
        <item x="82"/>
        <item x="439"/>
        <item x="871"/>
        <item x="1378"/>
        <item x="1258"/>
        <item x="575"/>
        <item x="1653"/>
        <item x="715"/>
        <item x="1662"/>
        <item x="1613"/>
        <item x="1746"/>
        <item x="288"/>
        <item x="1590"/>
        <item x="1632"/>
        <item x="339"/>
        <item x="222"/>
        <item x="713"/>
        <item x="69"/>
        <item x="1105"/>
        <item x="235"/>
        <item x="590"/>
        <item x="942"/>
        <item x="8"/>
        <item x="424"/>
        <item x="459"/>
        <item x="1627"/>
        <item x="1091"/>
        <item x="501"/>
        <item x="1571"/>
        <item x="908"/>
        <item x="635"/>
        <item x="704"/>
        <item x="229"/>
        <item x="691"/>
        <item x="732"/>
        <item x="1711"/>
        <item x="668"/>
        <item x="1587"/>
        <item x="921"/>
        <item x="1515"/>
        <item x="130"/>
        <item x="1160"/>
        <item x="1051"/>
        <item x="375"/>
        <item x="856"/>
        <item x="18"/>
        <item x="1059"/>
        <item x="1259"/>
        <item x="489"/>
        <item x="1665"/>
        <item x="654"/>
        <item x="814"/>
        <item x="1211"/>
        <item x="1203"/>
        <item x="1366"/>
        <item x="1756"/>
        <item x="524"/>
        <item x="40"/>
        <item x="943"/>
        <item x="378"/>
        <item x="1159"/>
        <item x="1353"/>
        <item x="1424"/>
        <item x="1514"/>
        <item x="241"/>
        <item x="1406"/>
        <item x="1552"/>
        <item x="348"/>
        <item x="1227"/>
        <item x="245"/>
        <item x="1610"/>
        <item x="656"/>
        <item x="795"/>
        <item x="349"/>
        <item x="1335"/>
        <item x="1067"/>
        <item x="96"/>
        <item x="651"/>
        <item x="421"/>
        <item x="920"/>
        <item x="1392"/>
        <item x="173"/>
        <item x="916"/>
        <item x="978"/>
        <item x="709"/>
        <item x="603"/>
        <item x="148"/>
        <item x="327"/>
        <item x="887"/>
        <item x="1562"/>
        <item x="621"/>
        <item x="1214"/>
        <item x="512"/>
        <item x="1550"/>
        <item x="198"/>
        <item x="114"/>
        <item x="113"/>
        <item x="1742"/>
        <item x="1351"/>
        <item x="1236"/>
        <item x="1318"/>
        <item x="1115"/>
        <item x="797"/>
        <item x="1147"/>
        <item x="1301"/>
        <item x="1056"/>
        <item x="1000"/>
        <item x="1595"/>
        <item x="602"/>
        <item x="686"/>
        <item x="929"/>
        <item x="1674"/>
        <item x="1050"/>
        <item x="1502"/>
        <item x="941"/>
        <item x="840"/>
        <item x="784"/>
        <item x="1741"/>
        <item x="972"/>
        <item x="1749"/>
        <item x="1442"/>
        <item x="210"/>
        <item x="1700"/>
        <item x="865"/>
        <item x="1110"/>
        <item x="554"/>
        <item x="157"/>
        <item x="389"/>
        <item x="845"/>
        <item x="478"/>
        <item x="777"/>
        <item x="1339"/>
        <item x="1190"/>
        <item x="367"/>
        <item x="1701"/>
        <item x="911"/>
        <item x="1299"/>
        <item x="1504"/>
        <item x="559"/>
        <item x="37"/>
        <item x="322"/>
        <item x="1462"/>
        <item x="1380"/>
        <item x="71"/>
        <item x="878"/>
        <item x="605"/>
        <item x="1485"/>
        <item x="1304"/>
        <item x="971"/>
        <item x="200"/>
        <item x="1495"/>
        <item x="324"/>
        <item x="561"/>
        <item x="1469"/>
        <item x="1729"/>
        <item x="1028"/>
        <item x="263"/>
        <item x="1254"/>
        <item x="471"/>
        <item x="437"/>
        <item x="566"/>
        <item x="1470"/>
        <item x="1215"/>
        <item x="1414"/>
        <item x="746"/>
        <item x="1646"/>
        <item x="1149"/>
        <item x="44"/>
        <item x="1446"/>
        <item x="947"/>
        <item x="205"/>
        <item x="999"/>
        <item x="1507"/>
        <item x="678"/>
        <item x="207"/>
        <item x="121"/>
        <item x="1663"/>
        <item x="306"/>
        <item x="1717"/>
        <item x="430"/>
        <item x="21"/>
        <item x="251"/>
        <item x="286"/>
        <item x="273"/>
        <item x="1379"/>
        <item x="284"/>
        <item x="761"/>
        <item x="285"/>
        <item x="1697"/>
        <item x="1361"/>
        <item x="396"/>
        <item x="1014"/>
        <item x="1307"/>
        <item x="1544"/>
        <item x="866"/>
        <item x="1654"/>
        <item x="669"/>
        <item x="1046"/>
        <item x="105"/>
        <item x="930"/>
        <item x="1328"/>
        <item x="699"/>
        <item x="712"/>
        <item x="767"/>
        <item x="1146"/>
        <item x="1179"/>
        <item x="1319"/>
        <item x="637"/>
        <item x="970"/>
        <item x="696"/>
        <item x="1536"/>
        <item x="1315"/>
        <item x="321"/>
        <item x="1064"/>
        <item x="270"/>
        <item x="1138"/>
        <item x="924"/>
        <item x="1280"/>
        <item x="587"/>
        <item x="1092"/>
        <item x="484"/>
        <item x="782"/>
        <item x="747"/>
        <item x="876"/>
        <item x="1673"/>
        <item x="1666"/>
        <item x="1628"/>
        <item x="1374"/>
        <item x="541"/>
        <item x="1719"/>
        <item x="1472"/>
        <item x="1698"/>
        <item x="1255"/>
        <item x="1744"/>
        <item x="649"/>
        <item x="405"/>
        <item x="1716"/>
        <item x="1643"/>
        <item x="617"/>
        <item x="127"/>
        <item x="1081"/>
        <item x="735"/>
        <item x="581"/>
        <item x="1421"/>
        <item x="448"/>
        <item x="1503"/>
        <item x="810"/>
        <item x="1078"/>
        <item x="1362"/>
        <item x="680"/>
        <item x="24"/>
        <item x="708"/>
        <item x="1245"/>
        <item x="809"/>
        <item x="369"/>
        <item x="1689"/>
        <item x="1162"/>
        <item x="1346"/>
        <item x="1453"/>
        <item x="1072"/>
        <item x="1615"/>
        <item x="875"/>
        <item x="1513"/>
        <item x="1218"/>
        <item x="481"/>
        <item x="1019"/>
        <item x="401"/>
        <item x="1739"/>
        <item x="1593"/>
        <item x="874"/>
        <item x="1303"/>
        <item x="89"/>
        <item x="1376"/>
        <item x="1690"/>
        <item x="1748"/>
        <item x="1240"/>
        <item x="718"/>
        <item x="1369"/>
        <item x="91"/>
        <item x="1257"/>
        <item x="1252"/>
        <item x="906"/>
        <item x="1225"/>
        <item x="1163"/>
        <item x="1263"/>
        <item x="1636"/>
        <item x="56"/>
        <item x="1461"/>
        <item x="1659"/>
        <item x="1606"/>
        <item x="363"/>
        <item x="75"/>
        <item x="12"/>
        <item x="31"/>
        <item x="1594"/>
        <item x="136"/>
        <item x="532"/>
        <item x="738"/>
        <item x="1408"/>
        <item x="653"/>
        <item x="1471"/>
        <item x="1529"/>
        <item x="404"/>
        <item x="1752"/>
        <item x="1338"/>
        <item x="652"/>
        <item x="1088"/>
        <item x="153"/>
        <item x="1386"/>
        <item x="1079"/>
        <item x="344"/>
        <item x="185"/>
        <item x="913"/>
        <item x="371"/>
        <item x="820"/>
        <item x="710"/>
        <item x="1032"/>
        <item x="1070"/>
        <item x="417"/>
        <item x="5"/>
        <item x="671"/>
        <item x="910"/>
        <item x="368"/>
        <item x="526"/>
        <item x="183"/>
        <item x="1696"/>
        <item x="1727"/>
        <item x="1398"/>
        <item x="1577"/>
        <item x="1548"/>
        <item x="1532"/>
        <item x="695"/>
        <item x="551"/>
        <item x="492"/>
        <item x="410"/>
        <item x="1170"/>
        <item x="1649"/>
        <item x="1027"/>
        <item x="1682"/>
        <item x="829"/>
        <item x="665"/>
        <item x="115"/>
        <item x="399"/>
        <item x="774"/>
        <item x="993"/>
        <item x="1302"/>
        <item x="706"/>
        <item x="1599"/>
        <item x="1477"/>
        <item x="98"/>
        <item x="1585"/>
        <item x="677"/>
        <item x="858"/>
        <item x="1658"/>
        <item x="1025"/>
        <item x="664"/>
        <item x="1313"/>
        <item x="1333"/>
        <item x="62"/>
        <item x="1103"/>
        <item x="768"/>
        <item x="1232"/>
        <item x="859"/>
        <item x="1273"/>
        <item x="1010"/>
        <item x="1295"/>
        <item x="741"/>
        <item x="1450"/>
        <item x="703"/>
        <item x="919"/>
        <item x="1438"/>
        <item x="456"/>
        <item x="290"/>
        <item x="107"/>
        <item x="555"/>
        <item x="1194"/>
        <item x="563"/>
        <item x="398"/>
        <item x="1724"/>
        <item x="870"/>
        <item x="22"/>
        <item x="201"/>
        <item x="1082"/>
        <item x="128"/>
        <item x="1312"/>
        <item x="365"/>
        <item x="490"/>
        <item x="1510"/>
        <item x="740"/>
        <item x="505"/>
        <item x="588"/>
        <item x="1509"/>
        <item x="1106"/>
        <item x="419"/>
        <item x="429"/>
        <item x="604"/>
        <item x="663"/>
        <item x="1676"/>
        <item x="1440"/>
        <item x="778"/>
        <item x="934"/>
        <item x="506"/>
        <item x="1612"/>
        <item x="360"/>
        <item x="227"/>
        <item x="13"/>
        <item x="1558"/>
        <item x="1393"/>
        <item x="868"/>
        <item x="1112"/>
        <item x="314"/>
        <item x="36"/>
        <item x="1720"/>
        <item x="171"/>
        <item x="188"/>
        <item x="1425"/>
        <item x="1631"/>
        <item x="1237"/>
        <item t="default"/>
      </items>
    </pivotField>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8" baseItem="0" numFmtId="10"/>
  </dataFields>
  <formats count="2">
    <format dxfId="6">
      <pivotArea field="14" type="button" dataOnly="0" labelOnly="1" outline="0" axis="axisCol" fieldPosition="0"/>
    </format>
    <format dxfId="5">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6BA448E-3B0A-4DBC-A6E6-62D039046339}" name="country"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location ref="A3:D62" firstHeaderRow="0" firstDataRow="1" firstDataCol="2"/>
  <pivotFields count="18">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numFmtId="15"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extLst>
        <ext xmlns:x14="http://schemas.microsoft.com/office/spreadsheetml/2009/9/main" uri="{2946ED86-A175-432a-8AC1-64E0C546D7DE}">
          <x14:pivotField fillDownLabels="1"/>
        </ext>
      </extLst>
    </pivotField>
    <pivotField compact="0" numFmtId="15"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6">
        <item x="0"/>
        <item x="3"/>
        <item x="4"/>
        <item x="2"/>
        <item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2">
        <item x="0"/>
        <item t="default"/>
      </items>
      <extLst>
        <ext xmlns:x14="http://schemas.microsoft.com/office/spreadsheetml/2009/9/main" uri="{2946ED86-A175-432a-8AC1-64E0C546D7DE}">
          <x14:pivotField fillDownLabels="1"/>
        </ext>
      </extLst>
    </pivotField>
    <pivotField axis="axisRow" compact="0" outline="0" showAll="0">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5">
        <item x="2"/>
        <item x="1"/>
        <item x="3"/>
        <item x="0"/>
        <item t="default"/>
      </items>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 compact="0" outline="0"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s>
  <rowFields count="2">
    <field x="10"/>
    <field x="11"/>
  </rowFields>
  <rowItems count="59">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t="default">
      <x/>
    </i>
  </rowItems>
  <colFields count="1">
    <field x="-2"/>
  </colFields>
  <colItems count="2">
    <i>
      <x/>
    </i>
    <i i="1">
      <x v="1"/>
    </i>
  </colItems>
  <dataFields count="2">
    <dataField name="Sum of Amount" fld="4" baseField="0" baseItem="0"/>
    <dataField name="Sum of Quantity"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25672FCC-E331-4B92-BEC6-FF5BB7DD8919}" sourceName="Order Mode">
  <pivotTables>
    <pivotTable tabId="5" name="delivery days"/>
    <pivotTable tabId="5" name="amount sold"/>
    <pivotTable tabId="5" name="kpi summary"/>
    <pivotTable tabId="5" name="popular product"/>
    <pivotTable tabId="5" name="quantity"/>
    <pivotTable tabId="5" name="rating"/>
    <pivotTable tabId="9" name="country"/>
  </pivotTables>
  <data>
    <tabular pivotCacheId="932986927">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DFF230E4-4C01-49FF-9BF2-3C0B378DAC2A}" sourceName="Gender Value">
  <pivotTables>
    <pivotTable tabId="5" name="delivery days"/>
    <pivotTable tabId="5" name="amount sold"/>
    <pivotTable tabId="5" name="kpi summary"/>
    <pivotTable tabId="5" name="popular product"/>
    <pivotTable tabId="5" name="quantity"/>
    <pivotTable tabId="5" name="rating"/>
    <pivotTable tabId="9" name="country"/>
  </pivotTables>
  <data>
    <tabular pivotCacheId="932986927">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2CE74821-6088-4F76-94B4-304CF4FC4751}" cache="Slicer_Order_Mode" caption="Order Mode" columnCount="2" rowHeight="365760"/>
  <slicer name="Gender Value" xr10:uid="{9AF3571E-DCD8-4108-9778-07AE933FE0B3}" cache="Slicer_Gender_Value" caption="Gender Value" columnCount="2" rowHeight="4572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CD0FFDF-4643-434B-99F6-767C735E9495}" name="Table2" displayName="Table2" ref="A1:O151" totalsRowShown="0">
  <autoFilter ref="A1:O151" xr:uid="{9E9A0408-EE4A-45FB-9CEF-B5328BB214FA}"/>
  <tableColumns count="15">
    <tableColumn id="1" xr3:uid="{DE84E26D-AB14-45DC-AFB9-A227D6B2E092}" name="TX ID"/>
    <tableColumn id="2" xr3:uid="{279AD683-21CD-4099-B910-FA06CB01CF65}" name="Product"/>
    <tableColumn id="3" xr3:uid="{67AB166C-A408-4778-A8B2-D4F91686407D}" name="Quantity"/>
    <tableColumn id="4" xr3:uid="{4C9D52C4-59CA-4C1F-9593-E258F8CCEB7D}" name="Unit Price"/>
    <tableColumn id="5" xr3:uid="{4630A963-5CDB-498A-940E-F982629C3BE7}" name="Amount"/>
    <tableColumn id="6" xr3:uid="{1787E40D-2275-4E4B-BA5A-6B1FDB9B4EC2}" name="Order Date" dataDxfId="8"/>
    <tableColumn id="7" xr3:uid="{70A9D37D-2B83-479D-B3F7-448F5E88DCA0}" name="Ship Date" dataDxfId="7"/>
    <tableColumn id="8" xr3:uid="{E1142D34-3EE5-44B2-B890-8AD5A5DDDB3C}" name="Customer Gender"/>
    <tableColumn id="9" xr3:uid="{4DA2D161-A8BE-4255-BD98-C368083189C9}" name="Order Mode"/>
    <tableColumn id="10" xr3:uid="{9C14CCBF-407C-4592-8CC9-037E64CFEA92}" name="Rating C"/>
    <tableColumn id="11" xr3:uid="{81F0CA7B-B9EF-49BE-9489-DB9DA3F9D132}" name="State"/>
    <tableColumn id="12" xr3:uid="{FFABD3DB-8826-40CD-B4A5-245F121C33CB}" name="County"/>
    <tableColumn id="13" xr3:uid="{8796A7A1-C433-410D-A047-283722363DCE}" name="Days to Deliver"/>
    <tableColumn id="14" xr3:uid="{FD02D1F3-0A27-418A-90D0-E5310E692CB8}" name="Weeknum"/>
    <tableColumn id="15" xr3:uid="{A3D8C4DA-84F6-42CA-BA56-39293EA18111}" name="Gender Valu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Custom 1">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FDE2B-9A8A-449B-A71F-69DCF89BAD03}">
  <dimension ref="A1:O151"/>
  <sheetViews>
    <sheetView topLeftCell="C1" workbookViewId="0">
      <selection activeCell="D22" sqref="D22"/>
    </sheetView>
  </sheetViews>
  <sheetFormatPr defaultRowHeight="14"/>
  <cols>
    <col min="2" max="2" width="9.33203125" customWidth="1"/>
    <col min="3" max="3" width="9.6640625" customWidth="1"/>
    <col min="4" max="4" width="10.83203125" customWidth="1"/>
    <col min="5" max="5" width="9.25" customWidth="1"/>
    <col min="6" max="6" width="11.83203125" customWidth="1"/>
    <col min="7" max="7" width="10.83203125" customWidth="1"/>
    <col min="8" max="8" width="17.6640625" customWidth="1"/>
    <col min="9" max="9" width="12.5" customWidth="1"/>
    <col min="10" max="10" width="9.9140625" customWidth="1"/>
    <col min="13" max="13" width="15.4140625" customWidth="1"/>
    <col min="14" max="14" width="11.08203125" customWidth="1"/>
    <col min="15" max="15" width="14.08203125" customWidth="1"/>
  </cols>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805</v>
      </c>
      <c r="B2" t="s">
        <v>54</v>
      </c>
      <c r="C2">
        <v>2</v>
      </c>
      <c r="D2">
        <v>69.2</v>
      </c>
      <c r="E2">
        <v>138.4</v>
      </c>
      <c r="F2" s="13">
        <v>45688</v>
      </c>
      <c r="G2" s="13">
        <v>45690</v>
      </c>
      <c r="H2" t="s">
        <v>17</v>
      </c>
      <c r="I2" t="s">
        <v>40</v>
      </c>
      <c r="J2">
        <v>3</v>
      </c>
      <c r="K2" t="s">
        <v>19</v>
      </c>
      <c r="L2" t="s">
        <v>55</v>
      </c>
      <c r="M2">
        <v>2</v>
      </c>
      <c r="N2">
        <v>5</v>
      </c>
      <c r="O2" t="s">
        <v>2533</v>
      </c>
    </row>
    <row r="3" spans="1:15">
      <c r="A3" t="s">
        <v>798</v>
      </c>
      <c r="B3" t="s">
        <v>42</v>
      </c>
      <c r="C3">
        <v>2</v>
      </c>
      <c r="D3">
        <v>70.099999999999994</v>
      </c>
      <c r="E3">
        <v>140.19999999999999</v>
      </c>
      <c r="F3" s="13">
        <v>45687</v>
      </c>
      <c r="G3" s="13">
        <v>45688</v>
      </c>
      <c r="H3" t="s">
        <v>23</v>
      </c>
      <c r="I3" t="s">
        <v>51</v>
      </c>
      <c r="J3">
        <v>3</v>
      </c>
      <c r="K3" t="s">
        <v>19</v>
      </c>
      <c r="L3" t="s">
        <v>33</v>
      </c>
      <c r="M3">
        <v>1</v>
      </c>
      <c r="N3">
        <v>5</v>
      </c>
      <c r="O3" t="s">
        <v>2532</v>
      </c>
    </row>
    <row r="4" spans="1:15">
      <c r="A4" t="s">
        <v>25</v>
      </c>
      <c r="B4" t="s">
        <v>26</v>
      </c>
      <c r="C4">
        <v>3</v>
      </c>
      <c r="D4">
        <v>109.4</v>
      </c>
      <c r="E4">
        <v>328.20000000000005</v>
      </c>
      <c r="F4" s="13">
        <v>45658</v>
      </c>
      <c r="G4" s="13">
        <v>45661</v>
      </c>
      <c r="H4" t="s">
        <v>27</v>
      </c>
      <c r="I4" t="s">
        <v>18</v>
      </c>
      <c r="J4">
        <v>3</v>
      </c>
      <c r="K4" t="s">
        <v>19</v>
      </c>
      <c r="L4" t="s">
        <v>28</v>
      </c>
      <c r="M4">
        <v>3</v>
      </c>
      <c r="N4">
        <v>1</v>
      </c>
      <c r="O4" t="s">
        <v>2531</v>
      </c>
    </row>
    <row r="5" spans="1:15">
      <c r="A5" t="s">
        <v>792</v>
      </c>
      <c r="B5" t="s">
        <v>42</v>
      </c>
      <c r="C5">
        <v>4</v>
      </c>
      <c r="D5">
        <v>64.8</v>
      </c>
      <c r="E5">
        <v>259.2</v>
      </c>
      <c r="F5" s="13">
        <v>45687</v>
      </c>
      <c r="G5" s="13">
        <v>45689</v>
      </c>
      <c r="H5" t="s">
        <v>17</v>
      </c>
      <c r="I5" t="s">
        <v>70</v>
      </c>
      <c r="J5">
        <v>3</v>
      </c>
      <c r="K5" t="s">
        <v>19</v>
      </c>
      <c r="L5" t="s">
        <v>33</v>
      </c>
      <c r="M5">
        <v>2</v>
      </c>
      <c r="N5">
        <v>5</v>
      </c>
      <c r="O5" t="s">
        <v>2533</v>
      </c>
    </row>
    <row r="6" spans="1:15">
      <c r="A6" t="s">
        <v>788</v>
      </c>
      <c r="B6" t="s">
        <v>46</v>
      </c>
      <c r="C6">
        <v>2</v>
      </c>
      <c r="D6">
        <v>43.4</v>
      </c>
      <c r="E6">
        <v>86.8</v>
      </c>
      <c r="F6" s="13">
        <v>45687</v>
      </c>
      <c r="G6" s="13">
        <v>45688</v>
      </c>
      <c r="H6" t="s">
        <v>23</v>
      </c>
      <c r="I6" t="s">
        <v>35</v>
      </c>
      <c r="J6">
        <v>3</v>
      </c>
      <c r="K6" t="s">
        <v>19</v>
      </c>
      <c r="L6" t="s">
        <v>147</v>
      </c>
      <c r="M6">
        <v>1</v>
      </c>
      <c r="N6">
        <v>5</v>
      </c>
      <c r="O6" t="s">
        <v>2532</v>
      </c>
    </row>
    <row r="7" spans="1:15">
      <c r="A7" t="s">
        <v>787</v>
      </c>
      <c r="B7" t="s">
        <v>22</v>
      </c>
      <c r="C7">
        <v>3</v>
      </c>
      <c r="D7">
        <v>48.1</v>
      </c>
      <c r="E7">
        <v>144.30000000000001</v>
      </c>
      <c r="F7" s="13">
        <v>45687</v>
      </c>
      <c r="G7" s="13">
        <v>45689</v>
      </c>
      <c r="H7" t="s">
        <v>23</v>
      </c>
      <c r="I7" t="s">
        <v>40</v>
      </c>
      <c r="J7">
        <v>3</v>
      </c>
      <c r="K7" t="s">
        <v>19</v>
      </c>
      <c r="L7" t="s">
        <v>24</v>
      </c>
      <c r="M7">
        <v>2</v>
      </c>
      <c r="N7">
        <v>5</v>
      </c>
      <c r="O7" t="s">
        <v>2532</v>
      </c>
    </row>
    <row r="8" spans="1:15">
      <c r="A8" t="s">
        <v>783</v>
      </c>
      <c r="B8" t="s">
        <v>16</v>
      </c>
      <c r="C8">
        <v>1</v>
      </c>
      <c r="D8">
        <v>26.6</v>
      </c>
      <c r="E8">
        <v>26.6</v>
      </c>
      <c r="F8" s="13">
        <v>45687</v>
      </c>
      <c r="G8" s="13">
        <v>45688</v>
      </c>
      <c r="H8" t="s">
        <v>17</v>
      </c>
      <c r="I8" t="s">
        <v>35</v>
      </c>
      <c r="J8">
        <v>3</v>
      </c>
      <c r="K8" t="s">
        <v>19</v>
      </c>
      <c r="L8" t="s">
        <v>110</v>
      </c>
      <c r="M8">
        <v>1</v>
      </c>
      <c r="N8">
        <v>5</v>
      </c>
      <c r="O8" t="s">
        <v>2533</v>
      </c>
    </row>
    <row r="9" spans="1:15">
      <c r="A9" t="s">
        <v>772</v>
      </c>
      <c r="B9" t="s">
        <v>16</v>
      </c>
      <c r="C9">
        <v>1</v>
      </c>
      <c r="D9">
        <v>20</v>
      </c>
      <c r="E9">
        <v>20</v>
      </c>
      <c r="F9" s="13">
        <v>45687</v>
      </c>
      <c r="G9" s="13">
        <v>45690</v>
      </c>
      <c r="H9" t="s">
        <v>27</v>
      </c>
      <c r="I9" t="s">
        <v>40</v>
      </c>
      <c r="J9">
        <v>3</v>
      </c>
      <c r="K9" t="s">
        <v>19</v>
      </c>
      <c r="L9" t="s">
        <v>59</v>
      </c>
      <c r="M9">
        <v>3</v>
      </c>
      <c r="N9">
        <v>5</v>
      </c>
      <c r="O9" t="s">
        <v>2531</v>
      </c>
    </row>
    <row r="10" spans="1:15">
      <c r="A10" t="s">
        <v>771</v>
      </c>
      <c r="B10" t="s">
        <v>46</v>
      </c>
      <c r="C10">
        <v>2</v>
      </c>
      <c r="D10">
        <v>72.2</v>
      </c>
      <c r="E10">
        <v>144.4</v>
      </c>
      <c r="F10" s="13">
        <v>45686</v>
      </c>
      <c r="G10" s="13">
        <v>45688</v>
      </c>
      <c r="H10" t="s">
        <v>27</v>
      </c>
      <c r="I10" t="s">
        <v>70</v>
      </c>
      <c r="J10">
        <v>3</v>
      </c>
      <c r="K10" t="s">
        <v>19</v>
      </c>
      <c r="L10" t="s">
        <v>55</v>
      </c>
      <c r="M10">
        <v>2</v>
      </c>
      <c r="N10">
        <v>5</v>
      </c>
      <c r="O10" t="s">
        <v>2531</v>
      </c>
    </row>
    <row r="11" spans="1:15">
      <c r="A11" t="s">
        <v>43</v>
      </c>
      <c r="B11" t="s">
        <v>44</v>
      </c>
      <c r="C11">
        <v>7</v>
      </c>
      <c r="D11">
        <v>22.4</v>
      </c>
      <c r="E11">
        <v>156.79999999999998</v>
      </c>
      <c r="F11" s="13">
        <v>45658</v>
      </c>
      <c r="G11" s="13">
        <v>45661</v>
      </c>
      <c r="H11" t="s">
        <v>23</v>
      </c>
      <c r="I11" t="s">
        <v>18</v>
      </c>
      <c r="J11">
        <v>3</v>
      </c>
      <c r="K11" t="s">
        <v>19</v>
      </c>
      <c r="L11" t="s">
        <v>33</v>
      </c>
      <c r="M11">
        <v>3</v>
      </c>
      <c r="N11">
        <v>1</v>
      </c>
      <c r="O11" t="s">
        <v>2532</v>
      </c>
    </row>
    <row r="12" spans="1:15">
      <c r="A12" t="s">
        <v>769</v>
      </c>
      <c r="B12" t="s">
        <v>22</v>
      </c>
      <c r="C12">
        <v>1</v>
      </c>
      <c r="D12">
        <v>75</v>
      </c>
      <c r="E12">
        <v>75</v>
      </c>
      <c r="F12" s="13">
        <v>45686</v>
      </c>
      <c r="G12" s="13">
        <v>45688</v>
      </c>
      <c r="H12" t="s">
        <v>27</v>
      </c>
      <c r="I12" t="s">
        <v>70</v>
      </c>
      <c r="J12">
        <v>3</v>
      </c>
      <c r="K12" t="s">
        <v>19</v>
      </c>
      <c r="L12" t="s">
        <v>55</v>
      </c>
      <c r="M12">
        <v>2</v>
      </c>
      <c r="N12">
        <v>5</v>
      </c>
      <c r="O12" t="s">
        <v>2531</v>
      </c>
    </row>
    <row r="13" spans="1:15">
      <c r="A13" t="s">
        <v>47</v>
      </c>
      <c r="B13" t="s">
        <v>46</v>
      </c>
      <c r="C13">
        <v>2</v>
      </c>
      <c r="D13">
        <v>49</v>
      </c>
      <c r="E13">
        <v>98</v>
      </c>
      <c r="F13" s="13">
        <v>45658</v>
      </c>
      <c r="G13" s="13">
        <v>45660</v>
      </c>
      <c r="H13" t="s">
        <v>27</v>
      </c>
      <c r="I13" t="s">
        <v>40</v>
      </c>
      <c r="J13">
        <v>3</v>
      </c>
      <c r="K13" t="s">
        <v>19</v>
      </c>
      <c r="L13" t="s">
        <v>33</v>
      </c>
      <c r="M13">
        <v>2</v>
      </c>
      <c r="N13">
        <v>1</v>
      </c>
      <c r="O13" t="s">
        <v>2531</v>
      </c>
    </row>
    <row r="14" spans="1:15">
      <c r="A14" t="s">
        <v>767</v>
      </c>
      <c r="B14" t="s">
        <v>135</v>
      </c>
      <c r="C14">
        <v>3</v>
      </c>
      <c r="D14">
        <v>24.8</v>
      </c>
      <c r="E14">
        <v>74.400000000000006</v>
      </c>
      <c r="F14" s="13">
        <v>45686</v>
      </c>
      <c r="G14" s="13">
        <v>45686</v>
      </c>
      <c r="H14" t="s">
        <v>17</v>
      </c>
      <c r="I14" t="s">
        <v>18</v>
      </c>
      <c r="J14">
        <v>3</v>
      </c>
      <c r="K14" t="s">
        <v>19</v>
      </c>
      <c r="L14" t="s">
        <v>33</v>
      </c>
      <c r="M14">
        <v>0</v>
      </c>
      <c r="N14">
        <v>5</v>
      </c>
      <c r="O14" t="s">
        <v>2533</v>
      </c>
    </row>
    <row r="15" spans="1:15">
      <c r="A15" t="s">
        <v>762</v>
      </c>
      <c r="B15" t="s">
        <v>123</v>
      </c>
      <c r="C15">
        <v>7</v>
      </c>
      <c r="D15">
        <v>23.9</v>
      </c>
      <c r="E15">
        <v>167.29999999999998</v>
      </c>
      <c r="F15" s="13">
        <v>45686</v>
      </c>
      <c r="G15" s="13">
        <v>45687</v>
      </c>
      <c r="H15" t="s">
        <v>27</v>
      </c>
      <c r="I15" t="s">
        <v>70</v>
      </c>
      <c r="J15">
        <v>3</v>
      </c>
      <c r="K15" t="s">
        <v>19</v>
      </c>
      <c r="L15" t="s">
        <v>33</v>
      </c>
      <c r="M15">
        <v>1</v>
      </c>
      <c r="N15">
        <v>5</v>
      </c>
      <c r="O15" t="s">
        <v>2531</v>
      </c>
    </row>
    <row r="16" spans="1:15">
      <c r="A16" t="s">
        <v>759</v>
      </c>
      <c r="B16" t="s">
        <v>22</v>
      </c>
      <c r="C16">
        <v>36</v>
      </c>
      <c r="D16">
        <v>55.2</v>
      </c>
      <c r="E16">
        <v>1987.2</v>
      </c>
      <c r="F16" s="13">
        <v>45686</v>
      </c>
      <c r="G16" s="13">
        <v>45686</v>
      </c>
      <c r="H16" t="s">
        <v>27</v>
      </c>
      <c r="I16" t="s">
        <v>51</v>
      </c>
      <c r="J16">
        <v>3</v>
      </c>
      <c r="K16" t="s">
        <v>19</v>
      </c>
      <c r="L16" t="s">
        <v>33</v>
      </c>
      <c r="M16">
        <v>0</v>
      </c>
      <c r="N16">
        <v>5</v>
      </c>
      <c r="O16" t="s">
        <v>2531</v>
      </c>
    </row>
    <row r="17" spans="1:15">
      <c r="A17" t="s">
        <v>743</v>
      </c>
      <c r="B17" t="s">
        <v>69</v>
      </c>
      <c r="C17">
        <v>3</v>
      </c>
      <c r="D17">
        <v>94.6</v>
      </c>
      <c r="E17">
        <v>283.79999999999995</v>
      </c>
      <c r="F17" s="13">
        <v>45686</v>
      </c>
      <c r="G17" s="13">
        <v>45687</v>
      </c>
      <c r="H17" t="s">
        <v>23</v>
      </c>
      <c r="I17" t="s">
        <v>40</v>
      </c>
      <c r="J17">
        <v>3</v>
      </c>
      <c r="K17" t="s">
        <v>19</v>
      </c>
      <c r="L17" t="s">
        <v>62</v>
      </c>
      <c r="M17">
        <v>1</v>
      </c>
      <c r="N17">
        <v>5</v>
      </c>
      <c r="O17" t="s">
        <v>2532</v>
      </c>
    </row>
    <row r="18" spans="1:15">
      <c r="A18" t="s">
        <v>57</v>
      </c>
      <c r="B18" t="s">
        <v>32</v>
      </c>
      <c r="C18">
        <v>3</v>
      </c>
      <c r="D18">
        <v>31.1</v>
      </c>
      <c r="E18">
        <v>93.300000000000011</v>
      </c>
      <c r="F18" s="13">
        <v>45658</v>
      </c>
      <c r="G18" s="13">
        <v>45659</v>
      </c>
      <c r="H18" t="s">
        <v>27</v>
      </c>
      <c r="I18" t="s">
        <v>18</v>
      </c>
      <c r="J18">
        <v>3</v>
      </c>
      <c r="K18" t="s">
        <v>19</v>
      </c>
      <c r="L18" t="s">
        <v>55</v>
      </c>
      <c r="M18">
        <v>1</v>
      </c>
      <c r="N18">
        <v>1</v>
      </c>
      <c r="O18" t="s">
        <v>2531</v>
      </c>
    </row>
    <row r="19" spans="1:15">
      <c r="A19" t="s">
        <v>736</v>
      </c>
      <c r="B19" t="s">
        <v>39</v>
      </c>
      <c r="C19">
        <v>5</v>
      </c>
      <c r="D19">
        <v>56.6</v>
      </c>
      <c r="E19">
        <v>283</v>
      </c>
      <c r="F19" s="13">
        <v>45685</v>
      </c>
      <c r="G19" s="13">
        <v>45687</v>
      </c>
      <c r="H19" t="s">
        <v>23</v>
      </c>
      <c r="I19" t="s">
        <v>18</v>
      </c>
      <c r="J19">
        <v>3</v>
      </c>
      <c r="K19" t="s">
        <v>19</v>
      </c>
      <c r="L19" t="s">
        <v>49</v>
      </c>
      <c r="M19">
        <v>2</v>
      </c>
      <c r="N19">
        <v>5</v>
      </c>
      <c r="O19" t="s">
        <v>2532</v>
      </c>
    </row>
    <row r="20" spans="1:15">
      <c r="A20" t="s">
        <v>729</v>
      </c>
      <c r="B20" t="s">
        <v>76</v>
      </c>
      <c r="C20">
        <v>1</v>
      </c>
      <c r="D20">
        <v>50.6</v>
      </c>
      <c r="E20">
        <v>50.6</v>
      </c>
      <c r="F20" s="13">
        <v>45685</v>
      </c>
      <c r="G20" s="13">
        <v>45685</v>
      </c>
      <c r="H20" t="s">
        <v>23</v>
      </c>
      <c r="I20" t="s">
        <v>18</v>
      </c>
      <c r="J20">
        <v>3</v>
      </c>
      <c r="K20" t="s">
        <v>19</v>
      </c>
      <c r="L20" t="s">
        <v>33</v>
      </c>
      <c r="M20">
        <v>0</v>
      </c>
      <c r="N20">
        <v>5</v>
      </c>
      <c r="O20" t="s">
        <v>2532</v>
      </c>
    </row>
    <row r="21" spans="1:15">
      <c r="A21" t="s">
        <v>727</v>
      </c>
      <c r="B21" t="s">
        <v>135</v>
      </c>
      <c r="C21">
        <v>3</v>
      </c>
      <c r="D21">
        <v>67.900000000000006</v>
      </c>
      <c r="E21">
        <v>203.70000000000002</v>
      </c>
      <c r="F21" s="13">
        <v>45685</v>
      </c>
      <c r="G21" s="13">
        <v>45686</v>
      </c>
      <c r="H21" t="s">
        <v>27</v>
      </c>
      <c r="I21" t="s">
        <v>35</v>
      </c>
      <c r="J21">
        <v>3</v>
      </c>
      <c r="K21" t="s">
        <v>19</v>
      </c>
      <c r="L21" t="s">
        <v>33</v>
      </c>
      <c r="M21">
        <v>1</v>
      </c>
      <c r="N21">
        <v>5</v>
      </c>
      <c r="O21" t="s">
        <v>2531</v>
      </c>
    </row>
    <row r="22" spans="1:15">
      <c r="A22" t="s">
        <v>724</v>
      </c>
      <c r="B22" t="s">
        <v>26</v>
      </c>
      <c r="C22">
        <v>1</v>
      </c>
      <c r="D22">
        <v>114.9</v>
      </c>
      <c r="E22">
        <v>114.9</v>
      </c>
      <c r="F22" s="13">
        <v>45685</v>
      </c>
      <c r="G22" s="13">
        <v>45686</v>
      </c>
      <c r="H22" t="s">
        <v>27</v>
      </c>
      <c r="I22" t="s">
        <v>35</v>
      </c>
      <c r="J22">
        <v>3</v>
      </c>
      <c r="K22" t="s">
        <v>19</v>
      </c>
      <c r="L22" t="s">
        <v>147</v>
      </c>
      <c r="M22">
        <v>1</v>
      </c>
      <c r="N22">
        <v>5</v>
      </c>
      <c r="O22" t="s">
        <v>2531</v>
      </c>
    </row>
    <row r="23" spans="1:15">
      <c r="A23" t="s">
        <v>64</v>
      </c>
      <c r="B23" t="s">
        <v>44</v>
      </c>
      <c r="C23">
        <v>12</v>
      </c>
      <c r="D23">
        <v>46.7</v>
      </c>
      <c r="E23">
        <v>560.40000000000009</v>
      </c>
      <c r="F23" s="13">
        <v>45658</v>
      </c>
      <c r="G23" s="13">
        <v>45659</v>
      </c>
      <c r="H23" t="s">
        <v>27</v>
      </c>
      <c r="I23" t="s">
        <v>35</v>
      </c>
      <c r="J23">
        <v>3</v>
      </c>
      <c r="K23" t="s">
        <v>19</v>
      </c>
      <c r="L23" t="s">
        <v>62</v>
      </c>
      <c r="M23">
        <v>1</v>
      </c>
      <c r="N23">
        <v>1</v>
      </c>
      <c r="O23" t="s">
        <v>2531</v>
      </c>
    </row>
    <row r="24" spans="1:15">
      <c r="A24" t="s">
        <v>722</v>
      </c>
      <c r="B24" t="s">
        <v>32</v>
      </c>
      <c r="C24">
        <v>1</v>
      </c>
      <c r="D24">
        <v>58.8</v>
      </c>
      <c r="E24">
        <v>58.8</v>
      </c>
      <c r="F24" s="13">
        <v>45684</v>
      </c>
      <c r="G24" s="13">
        <v>45686</v>
      </c>
      <c r="H24" t="s">
        <v>27</v>
      </c>
      <c r="I24" t="s">
        <v>18</v>
      </c>
      <c r="J24">
        <v>3</v>
      </c>
      <c r="K24" t="s">
        <v>19</v>
      </c>
      <c r="L24" t="s">
        <v>115</v>
      </c>
      <c r="M24">
        <v>2</v>
      </c>
      <c r="N24">
        <v>5</v>
      </c>
      <c r="O24" t="s">
        <v>2531</v>
      </c>
    </row>
    <row r="25" spans="1:15">
      <c r="A25" t="s">
        <v>711</v>
      </c>
      <c r="B25" t="s">
        <v>42</v>
      </c>
      <c r="C25">
        <v>1</v>
      </c>
      <c r="D25">
        <v>30.2</v>
      </c>
      <c r="E25">
        <v>30.2</v>
      </c>
      <c r="F25" s="13">
        <v>45684</v>
      </c>
      <c r="G25" s="13">
        <v>45685</v>
      </c>
      <c r="H25" t="s">
        <v>27</v>
      </c>
      <c r="I25" t="s">
        <v>40</v>
      </c>
      <c r="J25">
        <v>3</v>
      </c>
      <c r="K25" t="s">
        <v>19</v>
      </c>
      <c r="L25" t="s">
        <v>33</v>
      </c>
      <c r="M25">
        <v>1</v>
      </c>
      <c r="N25">
        <v>5</v>
      </c>
      <c r="O25" t="s">
        <v>2531</v>
      </c>
    </row>
    <row r="26" spans="1:15">
      <c r="A26" t="s">
        <v>709</v>
      </c>
      <c r="B26" t="s">
        <v>16</v>
      </c>
      <c r="C26">
        <v>2</v>
      </c>
      <c r="D26">
        <v>34.6</v>
      </c>
      <c r="E26">
        <v>69.2</v>
      </c>
      <c r="F26" s="13">
        <v>45683</v>
      </c>
      <c r="G26" s="13">
        <v>45684</v>
      </c>
      <c r="H26" t="s">
        <v>23</v>
      </c>
      <c r="I26" t="s">
        <v>70</v>
      </c>
      <c r="J26">
        <v>3</v>
      </c>
      <c r="K26" t="s">
        <v>19</v>
      </c>
      <c r="L26" t="s">
        <v>33</v>
      </c>
      <c r="M26">
        <v>1</v>
      </c>
      <c r="N26">
        <v>5</v>
      </c>
      <c r="O26" t="s">
        <v>2532</v>
      </c>
    </row>
    <row r="27" spans="1:15">
      <c r="A27" t="s">
        <v>707</v>
      </c>
      <c r="B27" t="s">
        <v>54</v>
      </c>
      <c r="C27">
        <v>34</v>
      </c>
      <c r="D27">
        <v>43.6</v>
      </c>
      <c r="E27">
        <v>1482.4</v>
      </c>
      <c r="F27" s="13">
        <v>45683</v>
      </c>
      <c r="G27" s="13">
        <v>45685</v>
      </c>
      <c r="H27" t="s">
        <v>27</v>
      </c>
      <c r="I27" t="s">
        <v>70</v>
      </c>
      <c r="J27">
        <v>3</v>
      </c>
      <c r="K27" t="s">
        <v>19</v>
      </c>
      <c r="L27" t="s">
        <v>33</v>
      </c>
      <c r="M27">
        <v>2</v>
      </c>
      <c r="N27">
        <v>5</v>
      </c>
      <c r="O27" t="s">
        <v>2531</v>
      </c>
    </row>
    <row r="28" spans="1:15">
      <c r="A28" t="s">
        <v>703</v>
      </c>
      <c r="B28" t="s">
        <v>22</v>
      </c>
      <c r="C28">
        <v>6</v>
      </c>
      <c r="D28">
        <v>35.700000000000003</v>
      </c>
      <c r="E28">
        <v>214.20000000000002</v>
      </c>
      <c r="F28" s="13">
        <v>45683</v>
      </c>
      <c r="G28" s="13">
        <v>45687</v>
      </c>
      <c r="H28" t="s">
        <v>27</v>
      </c>
      <c r="I28" t="s">
        <v>70</v>
      </c>
      <c r="J28">
        <v>3</v>
      </c>
      <c r="K28" t="s">
        <v>19</v>
      </c>
      <c r="L28" t="s">
        <v>110</v>
      </c>
      <c r="M28">
        <v>4</v>
      </c>
      <c r="N28">
        <v>5</v>
      </c>
      <c r="O28" t="s">
        <v>2531</v>
      </c>
    </row>
    <row r="29" spans="1:15">
      <c r="A29" t="s">
        <v>694</v>
      </c>
      <c r="B29" t="s">
        <v>42</v>
      </c>
      <c r="C29">
        <v>6</v>
      </c>
      <c r="D29">
        <v>81.599999999999994</v>
      </c>
      <c r="E29">
        <v>489.59999999999997</v>
      </c>
      <c r="F29" s="13">
        <v>45683</v>
      </c>
      <c r="G29" s="13">
        <v>45684</v>
      </c>
      <c r="H29" t="s">
        <v>27</v>
      </c>
      <c r="I29" t="s">
        <v>35</v>
      </c>
      <c r="J29">
        <v>3</v>
      </c>
      <c r="K29" t="s">
        <v>19</v>
      </c>
      <c r="L29" t="s">
        <v>364</v>
      </c>
      <c r="M29">
        <v>1</v>
      </c>
      <c r="N29">
        <v>5</v>
      </c>
      <c r="O29" t="s">
        <v>2531</v>
      </c>
    </row>
    <row r="30" spans="1:15">
      <c r="A30" t="s">
        <v>692</v>
      </c>
      <c r="B30" t="s">
        <v>39</v>
      </c>
      <c r="C30">
        <v>4</v>
      </c>
      <c r="D30">
        <v>70.3</v>
      </c>
      <c r="E30">
        <v>281.2</v>
      </c>
      <c r="F30" s="13">
        <v>45683</v>
      </c>
      <c r="G30" s="13">
        <v>45684</v>
      </c>
      <c r="H30" t="s">
        <v>27</v>
      </c>
      <c r="I30" t="s">
        <v>18</v>
      </c>
      <c r="J30">
        <v>3</v>
      </c>
      <c r="K30" t="s">
        <v>19</v>
      </c>
      <c r="L30" t="s">
        <v>33</v>
      </c>
      <c r="M30">
        <v>1</v>
      </c>
      <c r="N30">
        <v>5</v>
      </c>
      <c r="O30" t="s">
        <v>2531</v>
      </c>
    </row>
    <row r="31" spans="1:15">
      <c r="A31" t="s">
        <v>682</v>
      </c>
      <c r="B31" t="s">
        <v>26</v>
      </c>
      <c r="C31">
        <v>3</v>
      </c>
      <c r="D31">
        <v>83.1</v>
      </c>
      <c r="E31">
        <v>249.29999999999998</v>
      </c>
      <c r="F31" s="13">
        <v>45683</v>
      </c>
      <c r="G31" s="13">
        <v>45684</v>
      </c>
      <c r="H31" t="s">
        <v>27</v>
      </c>
      <c r="I31" t="s">
        <v>40</v>
      </c>
      <c r="J31">
        <v>3</v>
      </c>
      <c r="K31" t="s">
        <v>19</v>
      </c>
      <c r="L31" t="s">
        <v>82</v>
      </c>
      <c r="M31">
        <v>1</v>
      </c>
      <c r="N31">
        <v>5</v>
      </c>
      <c r="O31" t="s">
        <v>2531</v>
      </c>
    </row>
    <row r="32" spans="1:15">
      <c r="A32" t="s">
        <v>681</v>
      </c>
      <c r="B32" t="s">
        <v>26</v>
      </c>
      <c r="C32">
        <v>1</v>
      </c>
      <c r="D32">
        <v>89.1</v>
      </c>
      <c r="E32">
        <v>89.1</v>
      </c>
      <c r="F32" s="13">
        <v>45683</v>
      </c>
      <c r="G32" s="13">
        <v>45684</v>
      </c>
      <c r="H32" t="s">
        <v>27</v>
      </c>
      <c r="I32" t="s">
        <v>18</v>
      </c>
      <c r="J32">
        <v>3</v>
      </c>
      <c r="K32" t="s">
        <v>19</v>
      </c>
      <c r="L32" t="s">
        <v>113</v>
      </c>
      <c r="M32">
        <v>1</v>
      </c>
      <c r="N32">
        <v>5</v>
      </c>
      <c r="O32" t="s">
        <v>2531</v>
      </c>
    </row>
    <row r="33" spans="1:15">
      <c r="A33" t="s">
        <v>678</v>
      </c>
      <c r="B33" t="s">
        <v>54</v>
      </c>
      <c r="C33">
        <v>3</v>
      </c>
      <c r="D33">
        <v>42.8</v>
      </c>
      <c r="E33">
        <v>128.39999999999998</v>
      </c>
      <c r="F33" s="13">
        <v>45683</v>
      </c>
      <c r="G33" s="13">
        <v>45686</v>
      </c>
      <c r="H33" t="s">
        <v>27</v>
      </c>
      <c r="I33" t="s">
        <v>70</v>
      </c>
      <c r="J33">
        <v>3</v>
      </c>
      <c r="K33" t="s">
        <v>19</v>
      </c>
      <c r="L33" t="s">
        <v>77</v>
      </c>
      <c r="M33">
        <v>3</v>
      </c>
      <c r="N33">
        <v>5</v>
      </c>
      <c r="O33" t="s">
        <v>2531</v>
      </c>
    </row>
    <row r="34" spans="1:15">
      <c r="A34" t="s">
        <v>677</v>
      </c>
      <c r="B34" t="s">
        <v>135</v>
      </c>
      <c r="C34">
        <v>1</v>
      </c>
      <c r="D34">
        <v>47.8</v>
      </c>
      <c r="E34">
        <v>47.8</v>
      </c>
      <c r="F34" s="13">
        <v>45683</v>
      </c>
      <c r="G34" s="13">
        <v>45685</v>
      </c>
      <c r="H34" t="s">
        <v>27</v>
      </c>
      <c r="I34" t="s">
        <v>18</v>
      </c>
      <c r="J34">
        <v>3</v>
      </c>
      <c r="K34" t="s">
        <v>19</v>
      </c>
      <c r="L34" t="s">
        <v>72</v>
      </c>
      <c r="M34">
        <v>2</v>
      </c>
      <c r="N34">
        <v>5</v>
      </c>
      <c r="O34" t="s">
        <v>2531</v>
      </c>
    </row>
    <row r="35" spans="1:15">
      <c r="A35" t="s">
        <v>676</v>
      </c>
      <c r="B35" t="s">
        <v>54</v>
      </c>
      <c r="C35">
        <v>1</v>
      </c>
      <c r="D35">
        <v>28.5</v>
      </c>
      <c r="E35">
        <v>28.5</v>
      </c>
      <c r="F35" s="13">
        <v>45683</v>
      </c>
      <c r="G35" s="13">
        <v>45683</v>
      </c>
      <c r="H35" t="s">
        <v>23</v>
      </c>
      <c r="I35" t="s">
        <v>18</v>
      </c>
      <c r="J35">
        <v>3</v>
      </c>
      <c r="K35" t="s">
        <v>19</v>
      </c>
      <c r="L35" t="s">
        <v>72</v>
      </c>
      <c r="M35">
        <v>0</v>
      </c>
      <c r="N35">
        <v>5</v>
      </c>
      <c r="O35" t="s">
        <v>2532</v>
      </c>
    </row>
    <row r="36" spans="1:15">
      <c r="A36" t="s">
        <v>675</v>
      </c>
      <c r="B36" t="s">
        <v>44</v>
      </c>
      <c r="C36">
        <v>11</v>
      </c>
      <c r="D36">
        <v>26.3</v>
      </c>
      <c r="E36">
        <v>289.3</v>
      </c>
      <c r="F36" s="13">
        <v>45683</v>
      </c>
      <c r="G36" s="13">
        <v>45683</v>
      </c>
      <c r="H36" t="s">
        <v>27</v>
      </c>
      <c r="I36" t="s">
        <v>70</v>
      </c>
      <c r="J36">
        <v>3</v>
      </c>
      <c r="K36" t="s">
        <v>19</v>
      </c>
      <c r="L36" t="s">
        <v>201</v>
      </c>
      <c r="M36">
        <v>0</v>
      </c>
      <c r="N36">
        <v>5</v>
      </c>
      <c r="O36" t="s">
        <v>2531</v>
      </c>
    </row>
    <row r="37" spans="1:15">
      <c r="A37" t="s">
        <v>666</v>
      </c>
      <c r="B37" t="s">
        <v>26</v>
      </c>
      <c r="C37">
        <v>4</v>
      </c>
      <c r="D37">
        <v>211</v>
      </c>
      <c r="E37">
        <v>844</v>
      </c>
      <c r="F37" s="13">
        <v>45682</v>
      </c>
      <c r="G37" s="13">
        <v>45682</v>
      </c>
      <c r="H37" t="s">
        <v>27</v>
      </c>
      <c r="I37" t="s">
        <v>35</v>
      </c>
      <c r="J37">
        <v>3</v>
      </c>
      <c r="K37" t="s">
        <v>19</v>
      </c>
      <c r="L37" t="s">
        <v>33</v>
      </c>
      <c r="M37">
        <v>0</v>
      </c>
      <c r="N37">
        <v>4</v>
      </c>
      <c r="O37" t="s">
        <v>2531</v>
      </c>
    </row>
    <row r="38" spans="1:15">
      <c r="A38" t="s">
        <v>92</v>
      </c>
      <c r="B38" t="s">
        <v>26</v>
      </c>
      <c r="C38">
        <v>17</v>
      </c>
      <c r="D38">
        <v>203.1</v>
      </c>
      <c r="E38">
        <v>3452.7</v>
      </c>
      <c r="F38" s="13">
        <v>45658</v>
      </c>
      <c r="G38" s="13">
        <v>45662</v>
      </c>
      <c r="H38" t="s">
        <v>23</v>
      </c>
      <c r="I38" t="s">
        <v>51</v>
      </c>
      <c r="J38">
        <v>3</v>
      </c>
      <c r="K38" t="s">
        <v>19</v>
      </c>
      <c r="L38" t="s">
        <v>33</v>
      </c>
      <c r="M38">
        <v>4</v>
      </c>
      <c r="N38">
        <v>1</v>
      </c>
      <c r="O38" t="s">
        <v>2532</v>
      </c>
    </row>
    <row r="39" spans="1:15">
      <c r="A39" t="s">
        <v>665</v>
      </c>
      <c r="B39" t="s">
        <v>32</v>
      </c>
      <c r="C39">
        <v>5</v>
      </c>
      <c r="D39">
        <v>26.9</v>
      </c>
      <c r="E39">
        <v>134.5</v>
      </c>
      <c r="F39" s="13">
        <v>45682</v>
      </c>
      <c r="G39" s="13">
        <v>45687</v>
      </c>
      <c r="H39" t="s">
        <v>27</v>
      </c>
      <c r="I39" t="s">
        <v>35</v>
      </c>
      <c r="J39">
        <v>3</v>
      </c>
      <c r="K39" t="s">
        <v>19</v>
      </c>
      <c r="L39" t="s">
        <v>147</v>
      </c>
      <c r="M39">
        <v>5</v>
      </c>
      <c r="N39">
        <v>4</v>
      </c>
      <c r="O39" t="s">
        <v>2531</v>
      </c>
    </row>
    <row r="40" spans="1:15">
      <c r="A40" t="s">
        <v>663</v>
      </c>
      <c r="B40" t="s">
        <v>39</v>
      </c>
      <c r="C40">
        <v>2</v>
      </c>
      <c r="D40">
        <v>52.8</v>
      </c>
      <c r="E40">
        <v>105.6</v>
      </c>
      <c r="F40" s="13">
        <v>45682</v>
      </c>
      <c r="G40" s="13">
        <v>45683</v>
      </c>
      <c r="H40" t="s">
        <v>27</v>
      </c>
      <c r="I40" t="s">
        <v>35</v>
      </c>
      <c r="J40">
        <v>3</v>
      </c>
      <c r="K40" t="s">
        <v>19</v>
      </c>
      <c r="L40" t="s">
        <v>115</v>
      </c>
      <c r="M40">
        <v>1</v>
      </c>
      <c r="N40">
        <v>4</v>
      </c>
      <c r="O40" t="s">
        <v>2531</v>
      </c>
    </row>
    <row r="41" spans="1:15">
      <c r="A41" t="s">
        <v>95</v>
      </c>
      <c r="B41" t="s">
        <v>37</v>
      </c>
      <c r="C41">
        <v>1</v>
      </c>
      <c r="D41">
        <v>43.1</v>
      </c>
      <c r="E41">
        <v>43.1</v>
      </c>
      <c r="F41" s="13">
        <v>45659</v>
      </c>
      <c r="G41" s="13">
        <v>45660</v>
      </c>
      <c r="H41" t="s">
        <v>27</v>
      </c>
      <c r="I41" t="s">
        <v>40</v>
      </c>
      <c r="J41">
        <v>3</v>
      </c>
      <c r="K41" t="s">
        <v>19</v>
      </c>
      <c r="L41" t="s">
        <v>33</v>
      </c>
      <c r="M41">
        <v>1</v>
      </c>
      <c r="N41">
        <v>1</v>
      </c>
      <c r="O41" t="s">
        <v>2531</v>
      </c>
    </row>
    <row r="42" spans="1:15">
      <c r="A42" t="s">
        <v>660</v>
      </c>
      <c r="B42" t="s">
        <v>22</v>
      </c>
      <c r="C42">
        <v>1</v>
      </c>
      <c r="D42">
        <v>70.599999999999994</v>
      </c>
      <c r="E42">
        <v>70.599999999999994</v>
      </c>
      <c r="F42" s="13">
        <v>45682</v>
      </c>
      <c r="G42" s="13">
        <v>45685</v>
      </c>
      <c r="H42" t="s">
        <v>27</v>
      </c>
      <c r="I42" t="s">
        <v>18</v>
      </c>
      <c r="J42">
        <v>3</v>
      </c>
      <c r="K42" t="s">
        <v>19</v>
      </c>
      <c r="L42" t="s">
        <v>77</v>
      </c>
      <c r="M42">
        <v>3</v>
      </c>
      <c r="N42">
        <v>4</v>
      </c>
      <c r="O42" t="s">
        <v>2531</v>
      </c>
    </row>
    <row r="43" spans="1:15">
      <c r="A43" t="s">
        <v>659</v>
      </c>
      <c r="B43" t="s">
        <v>26</v>
      </c>
      <c r="C43">
        <v>13</v>
      </c>
      <c r="D43">
        <v>79.900000000000006</v>
      </c>
      <c r="E43">
        <v>1038.7</v>
      </c>
      <c r="F43" s="13">
        <v>45682</v>
      </c>
      <c r="G43" s="13">
        <v>45695</v>
      </c>
      <c r="H43" t="s">
        <v>27</v>
      </c>
      <c r="I43" t="s">
        <v>51</v>
      </c>
      <c r="J43">
        <v>3</v>
      </c>
      <c r="K43" t="s">
        <v>19</v>
      </c>
      <c r="L43" t="s">
        <v>77</v>
      </c>
      <c r="M43">
        <v>13</v>
      </c>
      <c r="N43">
        <v>4</v>
      </c>
      <c r="O43" t="s">
        <v>2531</v>
      </c>
    </row>
    <row r="44" spans="1:15">
      <c r="A44" t="s">
        <v>99</v>
      </c>
      <c r="B44" t="s">
        <v>32</v>
      </c>
      <c r="C44">
        <v>2</v>
      </c>
      <c r="D44">
        <v>54.5</v>
      </c>
      <c r="E44">
        <v>109</v>
      </c>
      <c r="F44" s="13">
        <v>45659</v>
      </c>
      <c r="G44" s="13">
        <v>45661</v>
      </c>
      <c r="H44" t="s">
        <v>23</v>
      </c>
      <c r="I44" t="s">
        <v>35</v>
      </c>
      <c r="J44">
        <v>3</v>
      </c>
      <c r="K44" t="s">
        <v>19</v>
      </c>
      <c r="L44" t="s">
        <v>55</v>
      </c>
      <c r="M44">
        <v>2</v>
      </c>
      <c r="N44">
        <v>1</v>
      </c>
      <c r="O44" t="s">
        <v>2532</v>
      </c>
    </row>
    <row r="45" spans="1:15">
      <c r="A45" t="s">
        <v>100</v>
      </c>
      <c r="B45" t="s">
        <v>39</v>
      </c>
      <c r="C45">
        <v>3</v>
      </c>
      <c r="D45">
        <v>68.599999999999994</v>
      </c>
      <c r="E45">
        <v>205.79999999999998</v>
      </c>
      <c r="F45" s="13">
        <v>45659</v>
      </c>
      <c r="G45" s="13">
        <v>45659</v>
      </c>
      <c r="H45" t="s">
        <v>27</v>
      </c>
      <c r="I45" t="s">
        <v>18</v>
      </c>
      <c r="J45">
        <v>3</v>
      </c>
      <c r="K45" t="s">
        <v>19</v>
      </c>
      <c r="L45" t="s">
        <v>62</v>
      </c>
      <c r="M45">
        <v>0</v>
      </c>
      <c r="N45">
        <v>1</v>
      </c>
      <c r="O45" t="s">
        <v>2531</v>
      </c>
    </row>
    <row r="46" spans="1:15">
      <c r="A46" t="s">
        <v>658</v>
      </c>
      <c r="B46" t="s">
        <v>16</v>
      </c>
      <c r="C46">
        <v>1</v>
      </c>
      <c r="D46">
        <v>22.4</v>
      </c>
      <c r="E46">
        <v>22.4</v>
      </c>
      <c r="F46" s="13">
        <v>45682</v>
      </c>
      <c r="G46" s="13">
        <v>45683</v>
      </c>
      <c r="H46" t="s">
        <v>27</v>
      </c>
      <c r="I46" t="s">
        <v>18</v>
      </c>
      <c r="J46">
        <v>3</v>
      </c>
      <c r="K46" t="s">
        <v>19</v>
      </c>
      <c r="L46" t="s">
        <v>103</v>
      </c>
      <c r="M46">
        <v>1</v>
      </c>
      <c r="N46">
        <v>4</v>
      </c>
      <c r="O46" t="s">
        <v>2531</v>
      </c>
    </row>
    <row r="47" spans="1:15">
      <c r="A47" t="s">
        <v>655</v>
      </c>
      <c r="B47" t="s">
        <v>22</v>
      </c>
      <c r="C47">
        <v>2</v>
      </c>
      <c r="D47">
        <v>82.1</v>
      </c>
      <c r="E47">
        <v>164.2</v>
      </c>
      <c r="F47" s="13">
        <v>45682</v>
      </c>
      <c r="G47" s="13">
        <v>45685</v>
      </c>
      <c r="H47" t="s">
        <v>23</v>
      </c>
      <c r="I47" t="s">
        <v>35</v>
      </c>
      <c r="J47">
        <v>3</v>
      </c>
      <c r="K47" t="s">
        <v>19</v>
      </c>
      <c r="L47" t="s">
        <v>59</v>
      </c>
      <c r="M47">
        <v>3</v>
      </c>
      <c r="N47">
        <v>4</v>
      </c>
      <c r="O47" t="s">
        <v>2532</v>
      </c>
    </row>
    <row r="48" spans="1:15">
      <c r="A48" t="s">
        <v>104</v>
      </c>
      <c r="B48" t="s">
        <v>22</v>
      </c>
      <c r="C48">
        <v>5</v>
      </c>
      <c r="D48">
        <v>63.7</v>
      </c>
      <c r="E48">
        <v>318.5</v>
      </c>
      <c r="F48" s="13">
        <v>45659</v>
      </c>
      <c r="G48" s="13">
        <v>45660</v>
      </c>
      <c r="H48" t="s">
        <v>23</v>
      </c>
      <c r="I48" t="s">
        <v>35</v>
      </c>
      <c r="J48">
        <v>3</v>
      </c>
      <c r="K48" t="s">
        <v>19</v>
      </c>
      <c r="L48" t="s">
        <v>72</v>
      </c>
      <c r="M48">
        <v>1</v>
      </c>
      <c r="N48">
        <v>1</v>
      </c>
      <c r="O48" t="s">
        <v>2532</v>
      </c>
    </row>
    <row r="49" spans="1:15">
      <c r="A49" t="s">
        <v>652</v>
      </c>
      <c r="B49" t="s">
        <v>16</v>
      </c>
      <c r="C49">
        <v>3</v>
      </c>
      <c r="D49">
        <v>11.9</v>
      </c>
      <c r="E49">
        <v>35.700000000000003</v>
      </c>
      <c r="F49" s="13">
        <v>45681</v>
      </c>
      <c r="G49" s="13">
        <v>45682</v>
      </c>
      <c r="H49" t="s">
        <v>27</v>
      </c>
      <c r="I49" t="s">
        <v>18</v>
      </c>
      <c r="J49">
        <v>3</v>
      </c>
      <c r="K49" t="s">
        <v>19</v>
      </c>
      <c r="L49" t="s">
        <v>55</v>
      </c>
      <c r="M49">
        <v>1</v>
      </c>
      <c r="N49">
        <v>4</v>
      </c>
      <c r="O49" t="s">
        <v>2531</v>
      </c>
    </row>
    <row r="50" spans="1:15">
      <c r="A50" t="s">
        <v>650</v>
      </c>
      <c r="B50" t="s">
        <v>22</v>
      </c>
      <c r="C50">
        <v>1</v>
      </c>
      <c r="D50">
        <v>40.299999999999997</v>
      </c>
      <c r="E50">
        <v>40.299999999999997</v>
      </c>
      <c r="F50" s="13">
        <v>45681</v>
      </c>
      <c r="G50" s="13">
        <v>45682</v>
      </c>
      <c r="H50" t="s">
        <v>23</v>
      </c>
      <c r="I50" t="s">
        <v>18</v>
      </c>
      <c r="J50">
        <v>3</v>
      </c>
      <c r="K50" t="s">
        <v>19</v>
      </c>
      <c r="L50" t="s">
        <v>33</v>
      </c>
      <c r="M50">
        <v>1</v>
      </c>
      <c r="N50">
        <v>4</v>
      </c>
      <c r="O50" t="s">
        <v>2532</v>
      </c>
    </row>
    <row r="51" spans="1:15">
      <c r="A51" t="s">
        <v>645</v>
      </c>
      <c r="B51" t="s">
        <v>69</v>
      </c>
      <c r="C51">
        <v>1</v>
      </c>
      <c r="D51">
        <v>52.9</v>
      </c>
      <c r="E51">
        <v>52.9</v>
      </c>
      <c r="F51" s="13">
        <v>45681</v>
      </c>
      <c r="G51" s="13">
        <v>45681</v>
      </c>
      <c r="H51" t="s">
        <v>27</v>
      </c>
      <c r="I51" t="s">
        <v>35</v>
      </c>
      <c r="J51">
        <v>3</v>
      </c>
      <c r="K51" t="s">
        <v>19</v>
      </c>
      <c r="L51" t="s">
        <v>33</v>
      </c>
      <c r="M51">
        <v>0</v>
      </c>
      <c r="N51">
        <v>4</v>
      </c>
      <c r="O51" t="s">
        <v>2531</v>
      </c>
    </row>
    <row r="52" spans="1:15">
      <c r="A52" t="s">
        <v>642</v>
      </c>
      <c r="B52" t="s">
        <v>39</v>
      </c>
      <c r="C52">
        <v>1</v>
      </c>
      <c r="D52">
        <v>94</v>
      </c>
      <c r="E52">
        <v>94</v>
      </c>
      <c r="F52" s="13">
        <v>45681</v>
      </c>
      <c r="G52" s="13">
        <v>45682</v>
      </c>
      <c r="H52" t="s">
        <v>23</v>
      </c>
      <c r="I52" t="s">
        <v>51</v>
      </c>
      <c r="J52">
        <v>3</v>
      </c>
      <c r="K52" t="s">
        <v>19</v>
      </c>
      <c r="L52" t="s">
        <v>24</v>
      </c>
      <c r="M52">
        <v>1</v>
      </c>
      <c r="N52">
        <v>4</v>
      </c>
      <c r="O52" t="s">
        <v>2532</v>
      </c>
    </row>
    <row r="53" spans="1:15">
      <c r="A53" t="s">
        <v>640</v>
      </c>
      <c r="B53" t="s">
        <v>22</v>
      </c>
      <c r="C53">
        <v>1</v>
      </c>
      <c r="D53">
        <v>48</v>
      </c>
      <c r="E53">
        <v>48</v>
      </c>
      <c r="F53" s="13">
        <v>45681</v>
      </c>
      <c r="G53" s="13">
        <v>45682</v>
      </c>
      <c r="H53" t="s">
        <v>89</v>
      </c>
      <c r="I53" t="s">
        <v>70</v>
      </c>
      <c r="J53">
        <v>3</v>
      </c>
      <c r="K53" t="s">
        <v>19</v>
      </c>
      <c r="L53" t="s">
        <v>641</v>
      </c>
      <c r="M53">
        <v>1</v>
      </c>
      <c r="N53">
        <v>4</v>
      </c>
      <c r="O53" t="s">
        <v>2534</v>
      </c>
    </row>
    <row r="54" spans="1:15">
      <c r="A54" t="s">
        <v>633</v>
      </c>
      <c r="B54" t="s">
        <v>46</v>
      </c>
      <c r="C54">
        <v>3</v>
      </c>
      <c r="D54">
        <v>45.9</v>
      </c>
      <c r="E54">
        <v>137.69999999999999</v>
      </c>
      <c r="F54" s="13">
        <v>45680</v>
      </c>
      <c r="G54" s="13">
        <v>45682</v>
      </c>
      <c r="H54" t="s">
        <v>27</v>
      </c>
      <c r="I54" t="s">
        <v>35</v>
      </c>
      <c r="J54">
        <v>3</v>
      </c>
      <c r="K54" t="s">
        <v>19</v>
      </c>
      <c r="L54" t="s">
        <v>74</v>
      </c>
      <c r="M54">
        <v>2</v>
      </c>
      <c r="N54">
        <v>4</v>
      </c>
      <c r="O54" t="s">
        <v>2531</v>
      </c>
    </row>
    <row r="55" spans="1:15">
      <c r="A55" t="s">
        <v>629</v>
      </c>
      <c r="B55" t="s">
        <v>123</v>
      </c>
      <c r="C55">
        <v>1</v>
      </c>
      <c r="D55">
        <v>49.9</v>
      </c>
      <c r="E55">
        <v>49.9</v>
      </c>
      <c r="F55" s="13">
        <v>45680</v>
      </c>
      <c r="G55" s="13">
        <v>45681</v>
      </c>
      <c r="H55" t="s">
        <v>23</v>
      </c>
      <c r="I55" t="s">
        <v>51</v>
      </c>
      <c r="J55">
        <v>3</v>
      </c>
      <c r="K55" t="s">
        <v>19</v>
      </c>
      <c r="L55" t="s">
        <v>62</v>
      </c>
      <c r="M55">
        <v>1</v>
      </c>
      <c r="N55">
        <v>4</v>
      </c>
      <c r="O55" t="s">
        <v>2532</v>
      </c>
    </row>
    <row r="56" spans="1:15">
      <c r="A56" t="s">
        <v>627</v>
      </c>
      <c r="B56" t="s">
        <v>128</v>
      </c>
      <c r="C56">
        <v>11</v>
      </c>
      <c r="D56">
        <v>33.9</v>
      </c>
      <c r="E56">
        <v>372.9</v>
      </c>
      <c r="F56" s="13">
        <v>45680</v>
      </c>
      <c r="G56" s="13">
        <v>45681</v>
      </c>
      <c r="H56" t="s">
        <v>23</v>
      </c>
      <c r="I56" t="s">
        <v>40</v>
      </c>
      <c r="J56">
        <v>3</v>
      </c>
      <c r="K56" t="s">
        <v>19</v>
      </c>
      <c r="L56" t="s">
        <v>59</v>
      </c>
      <c r="M56">
        <v>1</v>
      </c>
      <c r="N56">
        <v>4</v>
      </c>
      <c r="O56" t="s">
        <v>2532</v>
      </c>
    </row>
    <row r="57" spans="1:15">
      <c r="A57" t="s">
        <v>621</v>
      </c>
      <c r="B57" t="s">
        <v>16</v>
      </c>
      <c r="C57">
        <v>4</v>
      </c>
      <c r="D57">
        <v>11.2</v>
      </c>
      <c r="E57">
        <v>44.8</v>
      </c>
      <c r="F57" s="13">
        <v>45680</v>
      </c>
      <c r="G57" s="13">
        <v>45681</v>
      </c>
      <c r="H57" t="s">
        <v>27</v>
      </c>
      <c r="I57" t="s">
        <v>51</v>
      </c>
      <c r="J57">
        <v>3</v>
      </c>
      <c r="K57" t="s">
        <v>19</v>
      </c>
      <c r="L57" t="s">
        <v>33</v>
      </c>
      <c r="M57">
        <v>1</v>
      </c>
      <c r="N57">
        <v>4</v>
      </c>
      <c r="O57" t="s">
        <v>2531</v>
      </c>
    </row>
    <row r="58" spans="1:15">
      <c r="A58" t="s">
        <v>619</v>
      </c>
      <c r="B58" t="s">
        <v>32</v>
      </c>
      <c r="C58">
        <v>17</v>
      </c>
      <c r="D58">
        <v>62.7</v>
      </c>
      <c r="E58">
        <v>1065.9000000000001</v>
      </c>
      <c r="F58" s="13">
        <v>45680</v>
      </c>
      <c r="G58" s="13">
        <v>45681</v>
      </c>
      <c r="H58" t="s">
        <v>27</v>
      </c>
      <c r="I58" t="s">
        <v>40</v>
      </c>
      <c r="J58">
        <v>3</v>
      </c>
      <c r="K58" t="s">
        <v>19</v>
      </c>
      <c r="L58" t="s">
        <v>33</v>
      </c>
      <c r="M58">
        <v>1</v>
      </c>
      <c r="N58">
        <v>4</v>
      </c>
      <c r="O58" t="s">
        <v>2531</v>
      </c>
    </row>
    <row r="59" spans="1:15">
      <c r="A59" t="s">
        <v>612</v>
      </c>
      <c r="B59" t="s">
        <v>42</v>
      </c>
      <c r="C59">
        <v>3</v>
      </c>
      <c r="D59">
        <v>65.599999999999994</v>
      </c>
      <c r="E59">
        <v>196.79999999999998</v>
      </c>
      <c r="F59" s="13">
        <v>45680</v>
      </c>
      <c r="G59" s="13">
        <v>45680</v>
      </c>
      <c r="H59" t="s">
        <v>27</v>
      </c>
      <c r="I59" t="s">
        <v>40</v>
      </c>
      <c r="J59">
        <v>3</v>
      </c>
      <c r="K59" t="s">
        <v>19</v>
      </c>
      <c r="L59" t="s">
        <v>33</v>
      </c>
      <c r="M59">
        <v>0</v>
      </c>
      <c r="N59">
        <v>4</v>
      </c>
      <c r="O59" t="s">
        <v>2531</v>
      </c>
    </row>
    <row r="60" spans="1:15">
      <c r="A60" t="s">
        <v>611</v>
      </c>
      <c r="B60" t="s">
        <v>32</v>
      </c>
      <c r="C60">
        <v>2</v>
      </c>
      <c r="D60">
        <v>25.1</v>
      </c>
      <c r="E60">
        <v>50.2</v>
      </c>
      <c r="F60" s="13">
        <v>45680</v>
      </c>
      <c r="G60" s="13">
        <v>45681</v>
      </c>
      <c r="H60" t="s">
        <v>23</v>
      </c>
      <c r="I60" t="s">
        <v>18</v>
      </c>
      <c r="J60">
        <v>3</v>
      </c>
      <c r="K60" t="s">
        <v>19</v>
      </c>
      <c r="L60" t="s">
        <v>28</v>
      </c>
      <c r="M60">
        <v>1</v>
      </c>
      <c r="N60">
        <v>4</v>
      </c>
      <c r="O60" t="s">
        <v>2532</v>
      </c>
    </row>
    <row r="61" spans="1:15">
      <c r="A61" t="s">
        <v>610</v>
      </c>
      <c r="B61" t="s">
        <v>32</v>
      </c>
      <c r="C61">
        <v>3</v>
      </c>
      <c r="D61">
        <v>29.2</v>
      </c>
      <c r="E61">
        <v>87.6</v>
      </c>
      <c r="F61" s="13">
        <v>45680</v>
      </c>
      <c r="G61" s="13">
        <v>45683</v>
      </c>
      <c r="H61" t="s">
        <v>27</v>
      </c>
      <c r="I61" t="s">
        <v>35</v>
      </c>
      <c r="J61">
        <v>3</v>
      </c>
      <c r="K61" t="s">
        <v>19</v>
      </c>
      <c r="L61" t="s">
        <v>28</v>
      </c>
      <c r="M61">
        <v>3</v>
      </c>
      <c r="N61">
        <v>4</v>
      </c>
      <c r="O61" t="s">
        <v>2531</v>
      </c>
    </row>
    <row r="62" spans="1:15">
      <c r="A62" t="s">
        <v>122</v>
      </c>
      <c r="B62" t="s">
        <v>123</v>
      </c>
      <c r="C62">
        <v>2</v>
      </c>
      <c r="D62">
        <v>71.099999999999994</v>
      </c>
      <c r="E62">
        <v>142.19999999999999</v>
      </c>
      <c r="F62" s="13">
        <v>45660</v>
      </c>
      <c r="G62" s="13">
        <v>45662</v>
      </c>
      <c r="H62" t="s">
        <v>27</v>
      </c>
      <c r="I62" t="s">
        <v>51</v>
      </c>
      <c r="J62">
        <v>3</v>
      </c>
      <c r="K62" t="s">
        <v>19</v>
      </c>
      <c r="L62" t="s">
        <v>33</v>
      </c>
      <c r="M62">
        <v>2</v>
      </c>
      <c r="N62">
        <v>1</v>
      </c>
      <c r="O62" t="s">
        <v>2531</v>
      </c>
    </row>
    <row r="63" spans="1:15">
      <c r="A63" t="s">
        <v>603</v>
      </c>
      <c r="B63" t="s">
        <v>44</v>
      </c>
      <c r="C63">
        <v>5</v>
      </c>
      <c r="D63">
        <v>16</v>
      </c>
      <c r="E63">
        <v>80</v>
      </c>
      <c r="F63" s="13">
        <v>45679</v>
      </c>
      <c r="G63" s="13">
        <v>45681</v>
      </c>
      <c r="H63" t="s">
        <v>23</v>
      </c>
      <c r="I63" t="s">
        <v>70</v>
      </c>
      <c r="J63">
        <v>3</v>
      </c>
      <c r="K63" t="s">
        <v>19</v>
      </c>
      <c r="L63" t="s">
        <v>72</v>
      </c>
      <c r="M63">
        <v>2</v>
      </c>
      <c r="N63">
        <v>4</v>
      </c>
      <c r="O63" t="s">
        <v>2532</v>
      </c>
    </row>
    <row r="64" spans="1:15">
      <c r="A64" t="s">
        <v>600</v>
      </c>
      <c r="B64" t="s">
        <v>76</v>
      </c>
      <c r="C64">
        <v>3</v>
      </c>
      <c r="D64">
        <v>59.8</v>
      </c>
      <c r="E64">
        <v>179.39999999999998</v>
      </c>
      <c r="F64" s="13">
        <v>45679</v>
      </c>
      <c r="G64" s="13">
        <v>45681</v>
      </c>
      <c r="H64" t="s">
        <v>27</v>
      </c>
      <c r="I64" t="s">
        <v>70</v>
      </c>
      <c r="J64">
        <v>3</v>
      </c>
      <c r="K64" t="s">
        <v>19</v>
      </c>
      <c r="L64" t="s">
        <v>62</v>
      </c>
      <c r="M64">
        <v>2</v>
      </c>
      <c r="N64">
        <v>4</v>
      </c>
      <c r="O64" t="s">
        <v>2531</v>
      </c>
    </row>
    <row r="65" spans="1:15">
      <c r="A65" t="s">
        <v>599</v>
      </c>
      <c r="B65" t="s">
        <v>22</v>
      </c>
      <c r="C65">
        <v>1</v>
      </c>
      <c r="D65">
        <v>52.1</v>
      </c>
      <c r="E65">
        <v>52.1</v>
      </c>
      <c r="F65" s="13">
        <v>45679</v>
      </c>
      <c r="G65" s="13">
        <v>45681</v>
      </c>
      <c r="H65" t="s">
        <v>27</v>
      </c>
      <c r="I65" t="s">
        <v>70</v>
      </c>
      <c r="J65">
        <v>3</v>
      </c>
      <c r="K65" t="s">
        <v>19</v>
      </c>
      <c r="L65" t="s">
        <v>62</v>
      </c>
      <c r="M65">
        <v>2</v>
      </c>
      <c r="N65">
        <v>4</v>
      </c>
      <c r="O65" t="s">
        <v>2531</v>
      </c>
    </row>
    <row r="66" spans="1:15">
      <c r="A66" t="s">
        <v>593</v>
      </c>
      <c r="B66" t="s">
        <v>135</v>
      </c>
      <c r="C66">
        <v>1</v>
      </c>
      <c r="D66">
        <v>32.200000000000003</v>
      </c>
      <c r="E66">
        <v>32.200000000000003</v>
      </c>
      <c r="F66" s="13">
        <v>45679</v>
      </c>
      <c r="G66" s="13">
        <v>45682</v>
      </c>
      <c r="H66" t="s">
        <v>27</v>
      </c>
      <c r="I66" t="s">
        <v>40</v>
      </c>
      <c r="J66">
        <v>3</v>
      </c>
      <c r="K66" t="s">
        <v>19</v>
      </c>
      <c r="L66" t="s">
        <v>33</v>
      </c>
      <c r="M66">
        <v>3</v>
      </c>
      <c r="N66">
        <v>4</v>
      </c>
      <c r="O66" t="s">
        <v>2531</v>
      </c>
    </row>
    <row r="67" spans="1:15">
      <c r="A67" t="s">
        <v>591</v>
      </c>
      <c r="B67" t="s">
        <v>46</v>
      </c>
      <c r="C67">
        <v>2</v>
      </c>
      <c r="D67">
        <v>69.599999999999994</v>
      </c>
      <c r="E67">
        <v>139.19999999999999</v>
      </c>
      <c r="F67" s="13">
        <v>45679</v>
      </c>
      <c r="G67" s="13">
        <v>45680</v>
      </c>
      <c r="H67" t="s">
        <v>23</v>
      </c>
      <c r="I67" t="s">
        <v>18</v>
      </c>
      <c r="J67">
        <v>3</v>
      </c>
      <c r="K67" t="s">
        <v>19</v>
      </c>
      <c r="L67" t="s">
        <v>33</v>
      </c>
      <c r="M67">
        <v>1</v>
      </c>
      <c r="N67">
        <v>4</v>
      </c>
      <c r="O67" t="s">
        <v>2532</v>
      </c>
    </row>
    <row r="68" spans="1:15">
      <c r="A68" t="s">
        <v>590</v>
      </c>
      <c r="B68" t="s">
        <v>54</v>
      </c>
      <c r="C68">
        <v>2</v>
      </c>
      <c r="D68">
        <v>30.5</v>
      </c>
      <c r="E68">
        <v>61</v>
      </c>
      <c r="F68" s="13">
        <v>45679</v>
      </c>
      <c r="G68" s="13">
        <v>45679</v>
      </c>
      <c r="H68" t="s">
        <v>17</v>
      </c>
      <c r="I68" t="s">
        <v>35</v>
      </c>
      <c r="J68">
        <v>3</v>
      </c>
      <c r="K68" t="s">
        <v>19</v>
      </c>
      <c r="L68" t="s">
        <v>33</v>
      </c>
      <c r="M68">
        <v>0</v>
      </c>
      <c r="N68">
        <v>4</v>
      </c>
      <c r="O68" t="s">
        <v>2533</v>
      </c>
    </row>
    <row r="69" spans="1:15">
      <c r="A69" t="s">
        <v>584</v>
      </c>
      <c r="B69" t="s">
        <v>171</v>
      </c>
      <c r="C69">
        <v>2</v>
      </c>
      <c r="D69">
        <v>27.7</v>
      </c>
      <c r="E69">
        <v>55.4</v>
      </c>
      <c r="F69" s="13">
        <v>45679</v>
      </c>
      <c r="G69" s="13">
        <v>45680</v>
      </c>
      <c r="H69" t="s">
        <v>27</v>
      </c>
      <c r="I69" t="s">
        <v>18</v>
      </c>
      <c r="J69">
        <v>3</v>
      </c>
      <c r="K69" t="s">
        <v>19</v>
      </c>
      <c r="L69" t="s">
        <v>82</v>
      </c>
      <c r="M69">
        <v>1</v>
      </c>
      <c r="N69">
        <v>4</v>
      </c>
      <c r="O69" t="s">
        <v>2531</v>
      </c>
    </row>
    <row r="70" spans="1:15">
      <c r="A70" t="s">
        <v>132</v>
      </c>
      <c r="B70" t="s">
        <v>22</v>
      </c>
      <c r="C70">
        <v>1</v>
      </c>
      <c r="D70">
        <v>97.7</v>
      </c>
      <c r="E70">
        <v>97.7</v>
      </c>
      <c r="F70" s="13">
        <v>45660</v>
      </c>
      <c r="G70" s="13">
        <v>45662</v>
      </c>
      <c r="H70" t="s">
        <v>27</v>
      </c>
      <c r="I70" t="s">
        <v>18</v>
      </c>
      <c r="J70">
        <v>3</v>
      </c>
      <c r="K70" t="s">
        <v>19</v>
      </c>
      <c r="L70" t="s">
        <v>55</v>
      </c>
      <c r="M70">
        <v>2</v>
      </c>
      <c r="N70">
        <v>1</v>
      </c>
      <c r="O70" t="s">
        <v>2531</v>
      </c>
    </row>
    <row r="71" spans="1:15">
      <c r="A71" t="s">
        <v>583</v>
      </c>
      <c r="B71" t="s">
        <v>42</v>
      </c>
      <c r="C71">
        <v>4</v>
      </c>
      <c r="D71">
        <v>83.4</v>
      </c>
      <c r="E71">
        <v>333.6</v>
      </c>
      <c r="F71" s="13">
        <v>45679</v>
      </c>
      <c r="G71" s="13">
        <v>45680</v>
      </c>
      <c r="H71" t="s">
        <v>27</v>
      </c>
      <c r="I71" t="s">
        <v>40</v>
      </c>
      <c r="J71">
        <v>3</v>
      </c>
      <c r="K71" t="s">
        <v>19</v>
      </c>
      <c r="L71" t="s">
        <v>108</v>
      </c>
      <c r="M71">
        <v>1</v>
      </c>
      <c r="N71">
        <v>4</v>
      </c>
      <c r="O71" t="s">
        <v>2531</v>
      </c>
    </row>
    <row r="72" spans="1:15">
      <c r="A72" t="s">
        <v>576</v>
      </c>
      <c r="B72" t="s">
        <v>146</v>
      </c>
      <c r="C72">
        <v>1</v>
      </c>
      <c r="D72">
        <v>64.900000000000006</v>
      </c>
      <c r="E72">
        <v>64.900000000000006</v>
      </c>
      <c r="F72" s="13">
        <v>45679</v>
      </c>
      <c r="G72" s="13">
        <v>45680</v>
      </c>
      <c r="H72" t="s">
        <v>23</v>
      </c>
      <c r="I72" t="s">
        <v>18</v>
      </c>
      <c r="J72">
        <v>3</v>
      </c>
      <c r="K72" t="s">
        <v>19</v>
      </c>
      <c r="L72" t="s">
        <v>103</v>
      </c>
      <c r="M72">
        <v>1</v>
      </c>
      <c r="N72">
        <v>4</v>
      </c>
      <c r="O72" t="s">
        <v>2532</v>
      </c>
    </row>
    <row r="73" spans="1:15">
      <c r="A73" t="s">
        <v>571</v>
      </c>
      <c r="B73" t="s">
        <v>39</v>
      </c>
      <c r="C73">
        <v>2</v>
      </c>
      <c r="D73">
        <v>94.8</v>
      </c>
      <c r="E73">
        <v>189.6</v>
      </c>
      <c r="F73" s="13">
        <v>45679</v>
      </c>
      <c r="G73" s="13">
        <v>45682</v>
      </c>
      <c r="H73" t="s">
        <v>27</v>
      </c>
      <c r="I73" t="s">
        <v>35</v>
      </c>
      <c r="J73">
        <v>3</v>
      </c>
      <c r="K73" t="s">
        <v>19</v>
      </c>
      <c r="L73" t="s">
        <v>188</v>
      </c>
      <c r="M73">
        <v>3</v>
      </c>
      <c r="N73">
        <v>4</v>
      </c>
      <c r="O73" t="s">
        <v>2531</v>
      </c>
    </row>
    <row r="74" spans="1:15">
      <c r="A74" t="s">
        <v>565</v>
      </c>
      <c r="B74" t="s">
        <v>54</v>
      </c>
      <c r="C74">
        <v>7</v>
      </c>
      <c r="D74">
        <v>48.4</v>
      </c>
      <c r="E74">
        <v>338.8</v>
      </c>
      <c r="F74" s="13">
        <v>45678</v>
      </c>
      <c r="G74" s="13">
        <v>45681</v>
      </c>
      <c r="H74" t="s">
        <v>27</v>
      </c>
      <c r="I74" t="s">
        <v>51</v>
      </c>
      <c r="J74">
        <v>3</v>
      </c>
      <c r="K74" t="s">
        <v>19</v>
      </c>
      <c r="L74" t="s">
        <v>33</v>
      </c>
      <c r="M74">
        <v>3</v>
      </c>
      <c r="N74">
        <v>4</v>
      </c>
      <c r="O74" t="s">
        <v>2531</v>
      </c>
    </row>
    <row r="75" spans="1:15">
      <c r="A75" t="s">
        <v>564</v>
      </c>
      <c r="B75" t="s">
        <v>39</v>
      </c>
      <c r="C75">
        <v>6</v>
      </c>
      <c r="D75">
        <v>114.8</v>
      </c>
      <c r="E75">
        <v>688.8</v>
      </c>
      <c r="F75" s="13">
        <v>45678</v>
      </c>
      <c r="G75" s="13">
        <v>45681</v>
      </c>
      <c r="H75" t="s">
        <v>23</v>
      </c>
      <c r="I75" t="s">
        <v>35</v>
      </c>
      <c r="J75">
        <v>3</v>
      </c>
      <c r="K75" t="s">
        <v>19</v>
      </c>
      <c r="L75" t="s">
        <v>33</v>
      </c>
      <c r="M75">
        <v>3</v>
      </c>
      <c r="N75">
        <v>4</v>
      </c>
      <c r="O75" t="s">
        <v>2532</v>
      </c>
    </row>
    <row r="76" spans="1:15">
      <c r="A76" t="s">
        <v>558</v>
      </c>
      <c r="B76" t="s">
        <v>44</v>
      </c>
      <c r="C76">
        <v>3</v>
      </c>
      <c r="D76">
        <v>31.3</v>
      </c>
      <c r="E76">
        <v>93.9</v>
      </c>
      <c r="F76" s="13">
        <v>45678</v>
      </c>
      <c r="G76" s="13">
        <v>45679</v>
      </c>
      <c r="H76" t="s">
        <v>23</v>
      </c>
      <c r="I76" t="s">
        <v>40</v>
      </c>
      <c r="J76">
        <v>3</v>
      </c>
      <c r="K76" t="s">
        <v>19</v>
      </c>
      <c r="L76" t="s">
        <v>33</v>
      </c>
      <c r="M76">
        <v>1</v>
      </c>
      <c r="N76">
        <v>4</v>
      </c>
      <c r="O76" t="s">
        <v>2532</v>
      </c>
    </row>
    <row r="77" spans="1:15">
      <c r="A77" t="s">
        <v>140</v>
      </c>
      <c r="B77" t="s">
        <v>69</v>
      </c>
      <c r="C77">
        <v>4</v>
      </c>
      <c r="D77">
        <v>44.4</v>
      </c>
      <c r="E77">
        <v>177.6</v>
      </c>
      <c r="F77" s="13">
        <v>45660</v>
      </c>
      <c r="G77" s="13">
        <v>45661</v>
      </c>
      <c r="H77" t="s">
        <v>89</v>
      </c>
      <c r="I77" t="s">
        <v>35</v>
      </c>
      <c r="J77">
        <v>3</v>
      </c>
      <c r="K77" t="s">
        <v>19</v>
      </c>
      <c r="L77" t="s">
        <v>77</v>
      </c>
      <c r="M77">
        <v>1</v>
      </c>
      <c r="N77">
        <v>1</v>
      </c>
      <c r="O77" t="s">
        <v>2534</v>
      </c>
    </row>
    <row r="78" spans="1:15">
      <c r="A78" t="s">
        <v>141</v>
      </c>
      <c r="B78" t="s">
        <v>26</v>
      </c>
      <c r="C78">
        <v>8</v>
      </c>
      <c r="D78">
        <v>103.7</v>
      </c>
      <c r="E78">
        <v>829.6</v>
      </c>
      <c r="F78" s="13">
        <v>45660</v>
      </c>
      <c r="G78" s="13">
        <v>45661</v>
      </c>
      <c r="H78" t="s">
        <v>27</v>
      </c>
      <c r="I78" t="s">
        <v>18</v>
      </c>
      <c r="J78">
        <v>3</v>
      </c>
      <c r="K78" t="s">
        <v>19</v>
      </c>
      <c r="L78" t="s">
        <v>110</v>
      </c>
      <c r="M78">
        <v>1</v>
      </c>
      <c r="N78">
        <v>1</v>
      </c>
      <c r="O78" t="s">
        <v>2531</v>
      </c>
    </row>
    <row r="79" spans="1:15">
      <c r="A79" t="s">
        <v>555</v>
      </c>
      <c r="B79" t="s">
        <v>39</v>
      </c>
      <c r="C79">
        <v>1</v>
      </c>
      <c r="D79">
        <v>48.5</v>
      </c>
      <c r="E79">
        <v>48.5</v>
      </c>
      <c r="F79" s="13">
        <v>45678</v>
      </c>
      <c r="G79" s="13">
        <v>45679</v>
      </c>
      <c r="H79" t="s">
        <v>27</v>
      </c>
      <c r="I79" t="s">
        <v>18</v>
      </c>
      <c r="J79">
        <v>3</v>
      </c>
      <c r="K79" t="s">
        <v>19</v>
      </c>
      <c r="L79" t="s">
        <v>115</v>
      </c>
      <c r="M79">
        <v>1</v>
      </c>
      <c r="N79">
        <v>4</v>
      </c>
      <c r="O79" t="s">
        <v>2531</v>
      </c>
    </row>
    <row r="80" spans="1:15">
      <c r="A80" t="s">
        <v>143</v>
      </c>
      <c r="B80" t="s">
        <v>46</v>
      </c>
      <c r="C80">
        <v>4</v>
      </c>
      <c r="D80">
        <v>54.8</v>
      </c>
      <c r="E80">
        <v>219.2</v>
      </c>
      <c r="F80" s="13">
        <v>45660</v>
      </c>
      <c r="G80" s="13">
        <v>45664</v>
      </c>
      <c r="H80" t="s">
        <v>27</v>
      </c>
      <c r="I80" t="s">
        <v>40</v>
      </c>
      <c r="J80">
        <v>3</v>
      </c>
      <c r="K80" t="s">
        <v>19</v>
      </c>
      <c r="L80" t="s">
        <v>82</v>
      </c>
      <c r="M80">
        <v>4</v>
      </c>
      <c r="N80">
        <v>1</v>
      </c>
      <c r="O80" t="s">
        <v>2531</v>
      </c>
    </row>
    <row r="81" spans="1:15">
      <c r="A81" t="s">
        <v>144</v>
      </c>
      <c r="B81" t="s">
        <v>69</v>
      </c>
      <c r="C81">
        <v>3</v>
      </c>
      <c r="D81">
        <v>78.8</v>
      </c>
      <c r="E81">
        <v>236.39999999999998</v>
      </c>
      <c r="F81" s="13">
        <v>45660</v>
      </c>
      <c r="G81" s="13">
        <v>45666</v>
      </c>
      <c r="H81" t="s">
        <v>27</v>
      </c>
      <c r="I81" t="s">
        <v>70</v>
      </c>
      <c r="J81">
        <v>3</v>
      </c>
      <c r="K81" t="s">
        <v>19</v>
      </c>
      <c r="L81" t="s">
        <v>115</v>
      </c>
      <c r="M81">
        <v>6</v>
      </c>
      <c r="N81">
        <v>1</v>
      </c>
      <c r="O81" t="s">
        <v>2531</v>
      </c>
    </row>
    <row r="82" spans="1:15">
      <c r="A82" t="s">
        <v>145</v>
      </c>
      <c r="B82" t="s">
        <v>146</v>
      </c>
      <c r="C82">
        <v>5</v>
      </c>
      <c r="D82">
        <v>36.799999999999997</v>
      </c>
      <c r="E82">
        <v>184</v>
      </c>
      <c r="F82" s="13">
        <v>45660</v>
      </c>
      <c r="G82" s="13">
        <v>45663</v>
      </c>
      <c r="H82" t="s">
        <v>23</v>
      </c>
      <c r="I82" t="s">
        <v>70</v>
      </c>
      <c r="J82">
        <v>3</v>
      </c>
      <c r="K82" t="s">
        <v>19</v>
      </c>
      <c r="L82" t="s">
        <v>147</v>
      </c>
      <c r="M82">
        <v>3</v>
      </c>
      <c r="N82">
        <v>1</v>
      </c>
      <c r="O82" t="s">
        <v>2532</v>
      </c>
    </row>
    <row r="83" spans="1:15">
      <c r="A83" t="s">
        <v>544</v>
      </c>
      <c r="B83" t="s">
        <v>69</v>
      </c>
      <c r="C83">
        <v>3</v>
      </c>
      <c r="D83">
        <v>44.1</v>
      </c>
      <c r="E83">
        <v>132.30000000000001</v>
      </c>
      <c r="F83" s="13">
        <v>45677</v>
      </c>
      <c r="G83" s="13">
        <v>45677</v>
      </c>
      <c r="H83" t="s">
        <v>27</v>
      </c>
      <c r="I83" t="s">
        <v>35</v>
      </c>
      <c r="J83">
        <v>3</v>
      </c>
      <c r="K83" t="s">
        <v>19</v>
      </c>
      <c r="L83" t="s">
        <v>545</v>
      </c>
      <c r="M83">
        <v>0</v>
      </c>
      <c r="N83">
        <v>4</v>
      </c>
      <c r="O83" t="s">
        <v>2531</v>
      </c>
    </row>
    <row r="84" spans="1:15">
      <c r="A84" t="s">
        <v>149</v>
      </c>
      <c r="B84" t="s">
        <v>123</v>
      </c>
      <c r="C84">
        <v>3</v>
      </c>
      <c r="D84">
        <v>36.799999999999997</v>
      </c>
      <c r="E84">
        <v>110.39999999999999</v>
      </c>
      <c r="F84" s="13">
        <v>45660</v>
      </c>
      <c r="G84" s="13">
        <v>45660</v>
      </c>
      <c r="H84" t="s">
        <v>23</v>
      </c>
      <c r="I84" t="s">
        <v>40</v>
      </c>
      <c r="J84">
        <v>3</v>
      </c>
      <c r="K84" t="s">
        <v>19</v>
      </c>
      <c r="L84" t="s">
        <v>33</v>
      </c>
      <c r="M84">
        <v>0</v>
      </c>
      <c r="N84">
        <v>1</v>
      </c>
      <c r="O84" t="s">
        <v>2532</v>
      </c>
    </row>
    <row r="85" spans="1:15">
      <c r="A85" t="s">
        <v>540</v>
      </c>
      <c r="B85" t="s">
        <v>42</v>
      </c>
      <c r="C85">
        <v>3</v>
      </c>
      <c r="D85">
        <v>33.5</v>
      </c>
      <c r="E85">
        <v>100.5</v>
      </c>
      <c r="F85" s="13">
        <v>45677</v>
      </c>
      <c r="G85" s="13">
        <v>45678</v>
      </c>
      <c r="H85" t="s">
        <v>27</v>
      </c>
      <c r="I85" t="s">
        <v>18</v>
      </c>
      <c r="J85">
        <v>3</v>
      </c>
      <c r="K85" t="s">
        <v>19</v>
      </c>
      <c r="L85" t="s">
        <v>33</v>
      </c>
      <c r="M85">
        <v>1</v>
      </c>
      <c r="N85">
        <v>4</v>
      </c>
      <c r="O85" t="s">
        <v>2531</v>
      </c>
    </row>
    <row r="86" spans="1:15">
      <c r="A86" t="s">
        <v>538</v>
      </c>
      <c r="B86" t="s">
        <v>44</v>
      </c>
      <c r="C86">
        <v>1</v>
      </c>
      <c r="D86">
        <v>28.5</v>
      </c>
      <c r="E86">
        <v>28.5</v>
      </c>
      <c r="F86" s="13">
        <v>45677</v>
      </c>
      <c r="G86" s="13">
        <v>45679</v>
      </c>
      <c r="H86" t="s">
        <v>17</v>
      </c>
      <c r="I86" t="s">
        <v>40</v>
      </c>
      <c r="J86">
        <v>3</v>
      </c>
      <c r="K86" t="s">
        <v>19</v>
      </c>
      <c r="L86" t="s">
        <v>33</v>
      </c>
      <c r="M86">
        <v>2</v>
      </c>
      <c r="N86">
        <v>4</v>
      </c>
      <c r="O86" t="s">
        <v>2533</v>
      </c>
    </row>
    <row r="87" spans="1:15">
      <c r="A87" t="s">
        <v>533</v>
      </c>
      <c r="B87" t="s">
        <v>26</v>
      </c>
      <c r="C87">
        <v>2</v>
      </c>
      <c r="D87">
        <v>100.3</v>
      </c>
      <c r="E87">
        <v>200.6</v>
      </c>
      <c r="F87" s="13">
        <v>45677</v>
      </c>
      <c r="G87" s="13">
        <v>45678</v>
      </c>
      <c r="H87" t="s">
        <v>27</v>
      </c>
      <c r="I87" t="s">
        <v>18</v>
      </c>
      <c r="J87">
        <v>3</v>
      </c>
      <c r="K87" t="s">
        <v>19</v>
      </c>
      <c r="L87" t="s">
        <v>77</v>
      </c>
      <c r="M87">
        <v>1</v>
      </c>
      <c r="N87">
        <v>4</v>
      </c>
      <c r="O87" t="s">
        <v>2531</v>
      </c>
    </row>
    <row r="88" spans="1:15">
      <c r="A88" t="s">
        <v>530</v>
      </c>
      <c r="B88" t="s">
        <v>44</v>
      </c>
      <c r="C88">
        <v>15</v>
      </c>
      <c r="D88">
        <v>19.2</v>
      </c>
      <c r="E88">
        <v>288</v>
      </c>
      <c r="F88" s="13">
        <v>45677</v>
      </c>
      <c r="G88" s="13">
        <v>45679</v>
      </c>
      <c r="H88" t="s">
        <v>89</v>
      </c>
      <c r="I88" t="s">
        <v>70</v>
      </c>
      <c r="J88">
        <v>3</v>
      </c>
      <c r="K88" t="s">
        <v>19</v>
      </c>
      <c r="L88" t="s">
        <v>201</v>
      </c>
      <c r="M88">
        <v>2</v>
      </c>
      <c r="N88">
        <v>4</v>
      </c>
      <c r="O88" t="s">
        <v>2534</v>
      </c>
    </row>
    <row r="89" spans="1:15">
      <c r="A89" t="s">
        <v>529</v>
      </c>
      <c r="B89" t="s">
        <v>26</v>
      </c>
      <c r="C89">
        <v>10</v>
      </c>
      <c r="D89">
        <v>99.8</v>
      </c>
      <c r="E89">
        <v>998</v>
      </c>
      <c r="F89" s="13">
        <v>45677</v>
      </c>
      <c r="G89" s="13">
        <v>45680</v>
      </c>
      <c r="H89" t="s">
        <v>27</v>
      </c>
      <c r="I89" t="s">
        <v>40</v>
      </c>
      <c r="J89">
        <v>3</v>
      </c>
      <c r="K89" t="s">
        <v>19</v>
      </c>
      <c r="L89" t="s">
        <v>103</v>
      </c>
      <c r="M89">
        <v>3</v>
      </c>
      <c r="N89">
        <v>4</v>
      </c>
      <c r="O89" t="s">
        <v>2531</v>
      </c>
    </row>
    <row r="90" spans="1:15">
      <c r="A90" t="s">
        <v>528</v>
      </c>
      <c r="B90" t="s">
        <v>46</v>
      </c>
      <c r="C90">
        <v>2</v>
      </c>
      <c r="D90">
        <v>50.5</v>
      </c>
      <c r="E90">
        <v>101</v>
      </c>
      <c r="F90" s="13">
        <v>45677</v>
      </c>
      <c r="G90" s="13">
        <v>45679</v>
      </c>
      <c r="H90" t="s">
        <v>23</v>
      </c>
      <c r="I90" t="s">
        <v>18</v>
      </c>
      <c r="J90">
        <v>3</v>
      </c>
      <c r="K90" t="s">
        <v>19</v>
      </c>
      <c r="L90" t="s">
        <v>103</v>
      </c>
      <c r="M90">
        <v>2</v>
      </c>
      <c r="N90">
        <v>4</v>
      </c>
      <c r="O90" t="s">
        <v>2532</v>
      </c>
    </row>
    <row r="91" spans="1:15">
      <c r="A91" t="s">
        <v>518</v>
      </c>
      <c r="B91" t="s">
        <v>44</v>
      </c>
      <c r="C91">
        <v>3</v>
      </c>
      <c r="D91">
        <v>30.3</v>
      </c>
      <c r="E91">
        <v>90.9</v>
      </c>
      <c r="F91" s="13">
        <v>45676</v>
      </c>
      <c r="G91" s="13">
        <v>45680</v>
      </c>
      <c r="H91" t="s">
        <v>27</v>
      </c>
      <c r="I91" t="s">
        <v>18</v>
      </c>
      <c r="J91">
        <v>3</v>
      </c>
      <c r="K91" t="s">
        <v>19</v>
      </c>
      <c r="L91" t="s">
        <v>33</v>
      </c>
      <c r="M91">
        <v>4</v>
      </c>
      <c r="N91">
        <v>4</v>
      </c>
      <c r="O91" t="s">
        <v>2531</v>
      </c>
    </row>
    <row r="92" spans="1:15">
      <c r="A92" t="s">
        <v>516</v>
      </c>
      <c r="B92" t="s">
        <v>16</v>
      </c>
      <c r="C92">
        <v>8</v>
      </c>
      <c r="D92">
        <v>25.6</v>
      </c>
      <c r="E92">
        <v>204.8</v>
      </c>
      <c r="F92" s="13">
        <v>45676</v>
      </c>
      <c r="G92" s="13">
        <v>45677</v>
      </c>
      <c r="H92" t="s">
        <v>27</v>
      </c>
      <c r="I92" t="s">
        <v>35</v>
      </c>
      <c r="J92">
        <v>3</v>
      </c>
      <c r="K92" t="s">
        <v>19</v>
      </c>
      <c r="L92" t="s">
        <v>33</v>
      </c>
      <c r="M92">
        <v>1</v>
      </c>
      <c r="N92">
        <v>4</v>
      </c>
      <c r="O92" t="s">
        <v>2531</v>
      </c>
    </row>
    <row r="93" spans="1:15">
      <c r="A93" t="s">
        <v>159</v>
      </c>
      <c r="B93" t="s">
        <v>26</v>
      </c>
      <c r="C93">
        <v>6</v>
      </c>
      <c r="D93">
        <v>130.5</v>
      </c>
      <c r="E93">
        <v>783</v>
      </c>
      <c r="F93" s="13">
        <v>45661</v>
      </c>
      <c r="G93" s="13">
        <v>45663</v>
      </c>
      <c r="H93" t="s">
        <v>27</v>
      </c>
      <c r="I93" t="s">
        <v>18</v>
      </c>
      <c r="J93">
        <v>3</v>
      </c>
      <c r="K93" t="s">
        <v>19</v>
      </c>
      <c r="L93" t="s">
        <v>158</v>
      </c>
      <c r="M93">
        <v>2</v>
      </c>
      <c r="N93">
        <v>1</v>
      </c>
      <c r="O93" t="s">
        <v>2531</v>
      </c>
    </row>
    <row r="94" spans="1:15">
      <c r="A94" t="s">
        <v>512</v>
      </c>
      <c r="B94" t="s">
        <v>54</v>
      </c>
      <c r="C94">
        <v>7</v>
      </c>
      <c r="D94">
        <v>22.6</v>
      </c>
      <c r="E94">
        <v>158.20000000000002</v>
      </c>
      <c r="F94" s="13">
        <v>45676</v>
      </c>
      <c r="G94" s="13">
        <v>45679</v>
      </c>
      <c r="H94" t="s">
        <v>27</v>
      </c>
      <c r="I94" t="s">
        <v>51</v>
      </c>
      <c r="J94">
        <v>3</v>
      </c>
      <c r="K94" t="s">
        <v>19</v>
      </c>
      <c r="L94" t="s">
        <v>33</v>
      </c>
      <c r="M94">
        <v>3</v>
      </c>
      <c r="N94">
        <v>4</v>
      </c>
      <c r="O94" t="s">
        <v>2531</v>
      </c>
    </row>
    <row r="95" spans="1:15">
      <c r="A95" t="s">
        <v>161</v>
      </c>
      <c r="B95" t="s">
        <v>39</v>
      </c>
      <c r="C95">
        <v>13</v>
      </c>
      <c r="D95">
        <v>61.5</v>
      </c>
      <c r="E95">
        <v>799.5</v>
      </c>
      <c r="F95" s="13">
        <v>45661</v>
      </c>
      <c r="G95" s="13">
        <v>45662</v>
      </c>
      <c r="H95" t="s">
        <v>17</v>
      </c>
      <c r="I95" t="s">
        <v>51</v>
      </c>
      <c r="J95">
        <v>3</v>
      </c>
      <c r="K95" t="s">
        <v>19</v>
      </c>
      <c r="L95" t="s">
        <v>77</v>
      </c>
      <c r="M95">
        <v>1</v>
      </c>
      <c r="N95">
        <v>1</v>
      </c>
      <c r="O95" t="s">
        <v>2533</v>
      </c>
    </row>
    <row r="96" spans="1:15">
      <c r="A96" t="s">
        <v>498</v>
      </c>
      <c r="B96" t="s">
        <v>46</v>
      </c>
      <c r="C96">
        <v>14</v>
      </c>
      <c r="D96">
        <v>35.299999999999997</v>
      </c>
      <c r="E96">
        <v>494.19999999999993</v>
      </c>
      <c r="F96" s="13">
        <v>45676</v>
      </c>
      <c r="G96" s="13">
        <v>45679</v>
      </c>
      <c r="H96" t="s">
        <v>27</v>
      </c>
      <c r="I96" t="s">
        <v>70</v>
      </c>
      <c r="J96">
        <v>3</v>
      </c>
      <c r="K96" t="s">
        <v>19</v>
      </c>
      <c r="L96" t="s">
        <v>77</v>
      </c>
      <c r="M96">
        <v>3</v>
      </c>
      <c r="N96">
        <v>4</v>
      </c>
      <c r="O96" t="s">
        <v>2531</v>
      </c>
    </row>
    <row r="97" spans="1:15">
      <c r="A97" t="s">
        <v>496</v>
      </c>
      <c r="B97" t="s">
        <v>30</v>
      </c>
      <c r="C97">
        <v>2</v>
      </c>
      <c r="D97">
        <v>105.6</v>
      </c>
      <c r="E97">
        <v>211.2</v>
      </c>
      <c r="F97" s="13">
        <v>45676</v>
      </c>
      <c r="G97" s="13">
        <v>45677</v>
      </c>
      <c r="H97" t="s">
        <v>23</v>
      </c>
      <c r="I97" t="s">
        <v>40</v>
      </c>
      <c r="J97">
        <v>3</v>
      </c>
      <c r="K97" t="s">
        <v>19</v>
      </c>
      <c r="L97" t="s">
        <v>62</v>
      </c>
      <c r="M97">
        <v>1</v>
      </c>
      <c r="N97">
        <v>4</v>
      </c>
      <c r="O97" t="s">
        <v>2532</v>
      </c>
    </row>
    <row r="98" spans="1:15">
      <c r="A98" t="s">
        <v>489</v>
      </c>
      <c r="B98" t="s">
        <v>54</v>
      </c>
      <c r="C98">
        <v>4</v>
      </c>
      <c r="D98">
        <v>35.1</v>
      </c>
      <c r="E98">
        <v>140.4</v>
      </c>
      <c r="F98" s="13">
        <v>45675</v>
      </c>
      <c r="G98" s="13">
        <v>45675</v>
      </c>
      <c r="H98" t="s">
        <v>27</v>
      </c>
      <c r="I98" t="s">
        <v>35</v>
      </c>
      <c r="J98">
        <v>3</v>
      </c>
      <c r="K98" t="s">
        <v>19</v>
      </c>
      <c r="L98" t="s">
        <v>33</v>
      </c>
      <c r="M98">
        <v>0</v>
      </c>
      <c r="N98">
        <v>3</v>
      </c>
      <c r="O98" t="s">
        <v>2531</v>
      </c>
    </row>
    <row r="99" spans="1:15">
      <c r="A99" t="s">
        <v>481</v>
      </c>
      <c r="B99" t="s">
        <v>69</v>
      </c>
      <c r="C99">
        <v>2</v>
      </c>
      <c r="D99">
        <v>69.3</v>
      </c>
      <c r="E99">
        <v>138.6</v>
      </c>
      <c r="F99" s="13">
        <v>45675</v>
      </c>
      <c r="G99" s="13">
        <v>45678</v>
      </c>
      <c r="H99" t="s">
        <v>23</v>
      </c>
      <c r="I99" t="s">
        <v>35</v>
      </c>
      <c r="J99">
        <v>3</v>
      </c>
      <c r="K99" t="s">
        <v>19</v>
      </c>
      <c r="L99" t="s">
        <v>82</v>
      </c>
      <c r="M99">
        <v>3</v>
      </c>
      <c r="N99">
        <v>3</v>
      </c>
      <c r="O99" t="s">
        <v>2532</v>
      </c>
    </row>
    <row r="100" spans="1:15">
      <c r="A100" t="s">
        <v>478</v>
      </c>
      <c r="B100" t="s">
        <v>37</v>
      </c>
      <c r="C100">
        <v>20</v>
      </c>
      <c r="D100">
        <v>47.4</v>
      </c>
      <c r="E100">
        <v>948</v>
      </c>
      <c r="F100" s="13">
        <v>45674</v>
      </c>
      <c r="G100" s="13">
        <v>45674</v>
      </c>
      <c r="H100" t="s">
        <v>27</v>
      </c>
      <c r="I100" t="s">
        <v>40</v>
      </c>
      <c r="J100">
        <v>3</v>
      </c>
      <c r="K100" t="s">
        <v>19</v>
      </c>
      <c r="L100" t="s">
        <v>103</v>
      </c>
      <c r="M100">
        <v>0</v>
      </c>
      <c r="N100">
        <v>3</v>
      </c>
      <c r="O100" t="s">
        <v>2531</v>
      </c>
    </row>
    <row r="101" spans="1:15">
      <c r="A101" t="s">
        <v>474</v>
      </c>
      <c r="B101" t="s">
        <v>26</v>
      </c>
      <c r="C101">
        <v>17</v>
      </c>
      <c r="D101">
        <v>60.3</v>
      </c>
      <c r="E101">
        <v>1025.0999999999999</v>
      </c>
      <c r="F101" s="13">
        <v>45674</v>
      </c>
      <c r="G101" s="13">
        <v>45675</v>
      </c>
      <c r="H101" t="s">
        <v>23</v>
      </c>
      <c r="I101" t="s">
        <v>40</v>
      </c>
      <c r="J101">
        <v>3</v>
      </c>
      <c r="K101" t="s">
        <v>19</v>
      </c>
      <c r="L101" t="s">
        <v>59</v>
      </c>
      <c r="M101">
        <v>1</v>
      </c>
      <c r="N101">
        <v>3</v>
      </c>
      <c r="O101" t="s">
        <v>2532</v>
      </c>
    </row>
    <row r="102" spans="1:15">
      <c r="A102" t="s">
        <v>469</v>
      </c>
      <c r="B102" t="s">
        <v>81</v>
      </c>
      <c r="C102">
        <v>8</v>
      </c>
      <c r="D102">
        <v>103.6</v>
      </c>
      <c r="E102">
        <v>828.8</v>
      </c>
      <c r="F102" s="13">
        <v>45674</v>
      </c>
      <c r="G102" s="13">
        <v>45675</v>
      </c>
      <c r="H102" t="s">
        <v>89</v>
      </c>
      <c r="I102" t="s">
        <v>18</v>
      </c>
      <c r="J102">
        <v>3</v>
      </c>
      <c r="K102" t="s">
        <v>19</v>
      </c>
      <c r="L102" t="s">
        <v>33</v>
      </c>
      <c r="M102">
        <v>1</v>
      </c>
      <c r="N102">
        <v>3</v>
      </c>
      <c r="O102" t="s">
        <v>2534</v>
      </c>
    </row>
    <row r="103" spans="1:15">
      <c r="A103" t="s">
        <v>453</v>
      </c>
      <c r="B103" t="s">
        <v>44</v>
      </c>
      <c r="C103">
        <v>12</v>
      </c>
      <c r="D103">
        <v>27</v>
      </c>
      <c r="E103">
        <v>324</v>
      </c>
      <c r="F103" s="13">
        <v>45673</v>
      </c>
      <c r="G103" s="13">
        <v>45675</v>
      </c>
      <c r="H103" t="s">
        <v>27</v>
      </c>
      <c r="I103" t="s">
        <v>40</v>
      </c>
      <c r="J103">
        <v>3</v>
      </c>
      <c r="K103" t="s">
        <v>19</v>
      </c>
      <c r="L103" t="s">
        <v>62</v>
      </c>
      <c r="M103">
        <v>2</v>
      </c>
      <c r="N103">
        <v>3</v>
      </c>
      <c r="O103" t="s">
        <v>2531</v>
      </c>
    </row>
    <row r="104" spans="1:15">
      <c r="A104" t="s">
        <v>442</v>
      </c>
      <c r="B104" t="s">
        <v>46</v>
      </c>
      <c r="C104">
        <v>3</v>
      </c>
      <c r="D104">
        <v>45.3</v>
      </c>
      <c r="E104">
        <v>135.89999999999998</v>
      </c>
      <c r="F104" s="13">
        <v>45673</v>
      </c>
      <c r="G104" s="13">
        <v>45679</v>
      </c>
      <c r="H104" t="s">
        <v>23</v>
      </c>
      <c r="I104" t="s">
        <v>40</v>
      </c>
      <c r="J104">
        <v>3</v>
      </c>
      <c r="K104" t="s">
        <v>19</v>
      </c>
      <c r="L104" t="s">
        <v>33</v>
      </c>
      <c r="M104">
        <v>6</v>
      </c>
      <c r="N104">
        <v>3</v>
      </c>
      <c r="O104" t="s">
        <v>2532</v>
      </c>
    </row>
    <row r="105" spans="1:15">
      <c r="A105" t="s">
        <v>434</v>
      </c>
      <c r="B105" t="s">
        <v>22</v>
      </c>
      <c r="C105">
        <v>1</v>
      </c>
      <c r="D105">
        <v>36.700000000000003</v>
      </c>
      <c r="E105">
        <v>36.700000000000003</v>
      </c>
      <c r="F105" s="13">
        <v>45672</v>
      </c>
      <c r="G105" s="13">
        <v>45673</v>
      </c>
      <c r="H105" t="s">
        <v>23</v>
      </c>
      <c r="I105" t="s">
        <v>18</v>
      </c>
      <c r="J105">
        <v>3</v>
      </c>
      <c r="K105" t="s">
        <v>19</v>
      </c>
      <c r="L105" t="s">
        <v>24</v>
      </c>
      <c r="M105">
        <v>1</v>
      </c>
      <c r="N105">
        <v>3</v>
      </c>
      <c r="O105" t="s">
        <v>2532</v>
      </c>
    </row>
    <row r="106" spans="1:15">
      <c r="A106" t="s">
        <v>433</v>
      </c>
      <c r="B106" t="s">
        <v>123</v>
      </c>
      <c r="C106">
        <v>1</v>
      </c>
      <c r="D106">
        <v>20.399999999999999</v>
      </c>
      <c r="E106">
        <v>20.399999999999999</v>
      </c>
      <c r="F106" s="13">
        <v>45672</v>
      </c>
      <c r="G106" s="13">
        <v>45674</v>
      </c>
      <c r="H106" t="s">
        <v>23</v>
      </c>
      <c r="I106" t="s">
        <v>70</v>
      </c>
      <c r="J106">
        <v>3</v>
      </c>
      <c r="K106" t="s">
        <v>19</v>
      </c>
      <c r="L106" t="s">
        <v>115</v>
      </c>
      <c r="M106">
        <v>2</v>
      </c>
      <c r="N106">
        <v>3</v>
      </c>
      <c r="O106" t="s">
        <v>2532</v>
      </c>
    </row>
    <row r="107" spans="1:15">
      <c r="A107" t="s">
        <v>174</v>
      </c>
      <c r="B107" t="s">
        <v>128</v>
      </c>
      <c r="C107">
        <v>3</v>
      </c>
      <c r="D107">
        <v>84.5</v>
      </c>
      <c r="E107">
        <v>253.5</v>
      </c>
      <c r="F107" s="13">
        <v>45662</v>
      </c>
      <c r="G107" s="13">
        <v>45664</v>
      </c>
      <c r="H107" t="s">
        <v>27</v>
      </c>
      <c r="I107" t="s">
        <v>70</v>
      </c>
      <c r="J107">
        <v>3</v>
      </c>
      <c r="K107" t="s">
        <v>19</v>
      </c>
      <c r="L107" t="s">
        <v>82</v>
      </c>
      <c r="M107">
        <v>2</v>
      </c>
      <c r="N107">
        <v>2</v>
      </c>
      <c r="O107" t="s">
        <v>2531</v>
      </c>
    </row>
    <row r="108" spans="1:15">
      <c r="A108" t="s">
        <v>431</v>
      </c>
      <c r="B108" t="s">
        <v>44</v>
      </c>
      <c r="C108">
        <v>13</v>
      </c>
      <c r="D108">
        <v>34.6</v>
      </c>
      <c r="E108">
        <v>449.8</v>
      </c>
      <c r="F108" s="13">
        <v>45672</v>
      </c>
      <c r="G108" s="13">
        <v>45672</v>
      </c>
      <c r="H108" t="s">
        <v>27</v>
      </c>
      <c r="I108" t="s">
        <v>35</v>
      </c>
      <c r="J108">
        <v>3</v>
      </c>
      <c r="K108" t="s">
        <v>19</v>
      </c>
      <c r="L108" t="s">
        <v>115</v>
      </c>
      <c r="M108">
        <v>0</v>
      </c>
      <c r="N108">
        <v>3</v>
      </c>
      <c r="O108" t="s">
        <v>2531</v>
      </c>
    </row>
    <row r="109" spans="1:15">
      <c r="A109" t="s">
        <v>176</v>
      </c>
      <c r="B109" t="s">
        <v>44</v>
      </c>
      <c r="C109">
        <v>18</v>
      </c>
      <c r="D109">
        <v>32.6</v>
      </c>
      <c r="E109">
        <v>586.80000000000007</v>
      </c>
      <c r="F109" s="13">
        <v>45662</v>
      </c>
      <c r="G109" s="13">
        <v>45663</v>
      </c>
      <c r="H109" t="s">
        <v>23</v>
      </c>
      <c r="I109" t="s">
        <v>35</v>
      </c>
      <c r="J109">
        <v>3</v>
      </c>
      <c r="K109" t="s">
        <v>19</v>
      </c>
      <c r="L109" t="s">
        <v>33</v>
      </c>
      <c r="M109">
        <v>1</v>
      </c>
      <c r="N109">
        <v>2</v>
      </c>
      <c r="O109" t="s">
        <v>2532</v>
      </c>
    </row>
    <row r="110" spans="1:15">
      <c r="A110" t="s">
        <v>423</v>
      </c>
      <c r="B110" t="s">
        <v>39</v>
      </c>
      <c r="C110">
        <v>3</v>
      </c>
      <c r="D110">
        <v>98.9</v>
      </c>
      <c r="E110">
        <v>296.70000000000005</v>
      </c>
      <c r="F110" s="13">
        <v>45672</v>
      </c>
      <c r="G110" s="13">
        <v>45674</v>
      </c>
      <c r="H110" t="s">
        <v>27</v>
      </c>
      <c r="I110" t="s">
        <v>70</v>
      </c>
      <c r="J110">
        <v>3</v>
      </c>
      <c r="K110" t="s">
        <v>19</v>
      </c>
      <c r="L110" t="s">
        <v>62</v>
      </c>
      <c r="M110">
        <v>2</v>
      </c>
      <c r="N110">
        <v>3</v>
      </c>
      <c r="O110" t="s">
        <v>2531</v>
      </c>
    </row>
    <row r="111" spans="1:15">
      <c r="A111" t="s">
        <v>420</v>
      </c>
      <c r="B111" t="s">
        <v>46</v>
      </c>
      <c r="C111">
        <v>6</v>
      </c>
      <c r="D111">
        <v>37.5</v>
      </c>
      <c r="E111">
        <v>225</v>
      </c>
      <c r="F111" s="13">
        <v>45672</v>
      </c>
      <c r="G111" s="13">
        <v>45673</v>
      </c>
      <c r="H111" t="s">
        <v>27</v>
      </c>
      <c r="I111" t="s">
        <v>18</v>
      </c>
      <c r="J111">
        <v>3</v>
      </c>
      <c r="K111" t="s">
        <v>19</v>
      </c>
      <c r="L111" t="s">
        <v>62</v>
      </c>
      <c r="M111">
        <v>1</v>
      </c>
      <c r="N111">
        <v>3</v>
      </c>
      <c r="O111" t="s">
        <v>2531</v>
      </c>
    </row>
    <row r="112" spans="1:15">
      <c r="A112" t="s">
        <v>412</v>
      </c>
      <c r="B112" t="s">
        <v>146</v>
      </c>
      <c r="C112">
        <v>2</v>
      </c>
      <c r="D112">
        <v>57.4</v>
      </c>
      <c r="E112">
        <v>114.8</v>
      </c>
      <c r="F112" s="13">
        <v>45672</v>
      </c>
      <c r="G112" s="13">
        <v>45673</v>
      </c>
      <c r="H112" t="s">
        <v>23</v>
      </c>
      <c r="I112" t="s">
        <v>40</v>
      </c>
      <c r="J112">
        <v>3</v>
      </c>
      <c r="K112" t="s">
        <v>19</v>
      </c>
      <c r="L112" t="s">
        <v>33</v>
      </c>
      <c r="M112">
        <v>1</v>
      </c>
      <c r="N112">
        <v>3</v>
      </c>
      <c r="O112" t="s">
        <v>2532</v>
      </c>
    </row>
    <row r="113" spans="1:15">
      <c r="A113" t="s">
        <v>411</v>
      </c>
      <c r="B113" t="s">
        <v>22</v>
      </c>
      <c r="C113">
        <v>5</v>
      </c>
      <c r="D113">
        <v>64.400000000000006</v>
      </c>
      <c r="E113">
        <v>322</v>
      </c>
      <c r="F113" s="13">
        <v>45672</v>
      </c>
      <c r="G113" s="13">
        <v>45674</v>
      </c>
      <c r="H113" t="s">
        <v>23</v>
      </c>
      <c r="I113" t="s">
        <v>40</v>
      </c>
      <c r="J113">
        <v>3</v>
      </c>
      <c r="K113" t="s">
        <v>19</v>
      </c>
      <c r="L113" t="s">
        <v>33</v>
      </c>
      <c r="M113">
        <v>2</v>
      </c>
      <c r="N113">
        <v>3</v>
      </c>
      <c r="O113" t="s">
        <v>2532</v>
      </c>
    </row>
    <row r="114" spans="1:15">
      <c r="A114" t="s">
        <v>410</v>
      </c>
      <c r="B114" t="s">
        <v>54</v>
      </c>
      <c r="C114">
        <v>3</v>
      </c>
      <c r="D114">
        <v>43</v>
      </c>
      <c r="E114">
        <v>129</v>
      </c>
      <c r="F114" s="13">
        <v>45672</v>
      </c>
      <c r="G114" s="13">
        <v>45672</v>
      </c>
      <c r="H114" t="s">
        <v>27</v>
      </c>
      <c r="I114" t="s">
        <v>40</v>
      </c>
      <c r="J114">
        <v>3</v>
      </c>
      <c r="K114" t="s">
        <v>19</v>
      </c>
      <c r="L114" t="s">
        <v>33</v>
      </c>
      <c r="M114">
        <v>0</v>
      </c>
      <c r="N114">
        <v>3</v>
      </c>
      <c r="O114" t="s">
        <v>2531</v>
      </c>
    </row>
    <row r="115" spans="1:15">
      <c r="A115" t="s">
        <v>182</v>
      </c>
      <c r="B115" t="s">
        <v>146</v>
      </c>
      <c r="C115">
        <v>1</v>
      </c>
      <c r="D115">
        <v>119.8</v>
      </c>
      <c r="E115">
        <v>119.8</v>
      </c>
      <c r="F115" s="13">
        <v>45662</v>
      </c>
      <c r="G115" s="13">
        <v>45663</v>
      </c>
      <c r="H115" t="s">
        <v>23</v>
      </c>
      <c r="I115" t="s">
        <v>35</v>
      </c>
      <c r="J115">
        <v>3</v>
      </c>
      <c r="K115" t="s">
        <v>19</v>
      </c>
      <c r="L115" t="s">
        <v>33</v>
      </c>
      <c r="M115">
        <v>1</v>
      </c>
      <c r="N115">
        <v>2</v>
      </c>
      <c r="O115" t="s">
        <v>2532</v>
      </c>
    </row>
    <row r="116" spans="1:15">
      <c r="A116" t="s">
        <v>408</v>
      </c>
      <c r="B116" t="s">
        <v>81</v>
      </c>
      <c r="C116">
        <v>2</v>
      </c>
      <c r="D116">
        <v>50.4</v>
      </c>
      <c r="E116">
        <v>100.8</v>
      </c>
      <c r="F116" s="13">
        <v>45671</v>
      </c>
      <c r="G116" s="13">
        <v>45677</v>
      </c>
      <c r="H116" t="s">
        <v>23</v>
      </c>
      <c r="I116" t="s">
        <v>18</v>
      </c>
      <c r="J116">
        <v>3</v>
      </c>
      <c r="K116" t="s">
        <v>19</v>
      </c>
      <c r="L116" t="s">
        <v>33</v>
      </c>
      <c r="M116">
        <v>6</v>
      </c>
      <c r="N116">
        <v>3</v>
      </c>
      <c r="O116" t="s">
        <v>2532</v>
      </c>
    </row>
    <row r="117" spans="1:15">
      <c r="A117" t="s">
        <v>184</v>
      </c>
      <c r="B117" t="s">
        <v>39</v>
      </c>
      <c r="C117">
        <v>6</v>
      </c>
      <c r="D117">
        <v>76.5</v>
      </c>
      <c r="E117">
        <v>459</v>
      </c>
      <c r="F117" s="13">
        <v>45662</v>
      </c>
      <c r="G117" s="13">
        <v>45663</v>
      </c>
      <c r="H117" t="s">
        <v>27</v>
      </c>
      <c r="I117" t="s">
        <v>35</v>
      </c>
      <c r="J117">
        <v>3</v>
      </c>
      <c r="K117" t="s">
        <v>19</v>
      </c>
      <c r="L117" t="s">
        <v>33</v>
      </c>
      <c r="M117">
        <v>1</v>
      </c>
      <c r="N117">
        <v>2</v>
      </c>
      <c r="O117" t="s">
        <v>2531</v>
      </c>
    </row>
    <row r="118" spans="1:15">
      <c r="A118" t="s">
        <v>402</v>
      </c>
      <c r="B118" t="s">
        <v>44</v>
      </c>
      <c r="C118">
        <v>6</v>
      </c>
      <c r="D118">
        <v>35.9</v>
      </c>
      <c r="E118">
        <v>215.39999999999998</v>
      </c>
      <c r="F118" s="13">
        <v>45671</v>
      </c>
      <c r="G118" s="13">
        <v>45672</v>
      </c>
      <c r="H118" t="s">
        <v>27</v>
      </c>
      <c r="I118" t="s">
        <v>18</v>
      </c>
      <c r="J118">
        <v>3</v>
      </c>
      <c r="K118" t="s">
        <v>19</v>
      </c>
      <c r="L118" t="s">
        <v>24</v>
      </c>
      <c r="M118">
        <v>1</v>
      </c>
      <c r="N118">
        <v>3</v>
      </c>
      <c r="O118" t="s">
        <v>2531</v>
      </c>
    </row>
    <row r="119" spans="1:15">
      <c r="A119" t="s">
        <v>401</v>
      </c>
      <c r="B119" t="s">
        <v>39</v>
      </c>
      <c r="C119">
        <v>1</v>
      </c>
      <c r="D119">
        <v>124.3</v>
      </c>
      <c r="E119">
        <v>124.3</v>
      </c>
      <c r="F119" s="13">
        <v>45671</v>
      </c>
      <c r="G119" s="13">
        <v>45672</v>
      </c>
      <c r="H119" t="s">
        <v>17</v>
      </c>
      <c r="I119" t="s">
        <v>40</v>
      </c>
      <c r="J119">
        <v>3</v>
      </c>
      <c r="K119" t="s">
        <v>19</v>
      </c>
      <c r="L119" t="s">
        <v>115</v>
      </c>
      <c r="M119">
        <v>1</v>
      </c>
      <c r="N119">
        <v>3</v>
      </c>
      <c r="O119" t="s">
        <v>2533</v>
      </c>
    </row>
    <row r="120" spans="1:15">
      <c r="A120" t="s">
        <v>399</v>
      </c>
      <c r="B120" t="s">
        <v>42</v>
      </c>
      <c r="C120">
        <v>6</v>
      </c>
      <c r="D120">
        <v>42.7</v>
      </c>
      <c r="E120">
        <v>256.20000000000005</v>
      </c>
      <c r="F120" s="13">
        <v>45671</v>
      </c>
      <c r="G120" s="13">
        <v>45674</v>
      </c>
      <c r="H120" t="s">
        <v>23</v>
      </c>
      <c r="I120" t="s">
        <v>40</v>
      </c>
      <c r="J120">
        <v>3</v>
      </c>
      <c r="K120" t="s">
        <v>19</v>
      </c>
      <c r="L120" t="s">
        <v>77</v>
      </c>
      <c r="M120">
        <v>3</v>
      </c>
      <c r="N120">
        <v>3</v>
      </c>
      <c r="O120" t="s">
        <v>2532</v>
      </c>
    </row>
    <row r="121" spans="1:15">
      <c r="A121" t="s">
        <v>190</v>
      </c>
      <c r="B121" t="s">
        <v>22</v>
      </c>
      <c r="C121">
        <v>3</v>
      </c>
      <c r="D121">
        <v>73</v>
      </c>
      <c r="E121">
        <v>219</v>
      </c>
      <c r="F121" s="13">
        <v>45662</v>
      </c>
      <c r="G121" s="13">
        <v>45663</v>
      </c>
      <c r="H121" t="s">
        <v>27</v>
      </c>
      <c r="I121" t="s">
        <v>51</v>
      </c>
      <c r="J121">
        <v>3</v>
      </c>
      <c r="K121" t="s">
        <v>19</v>
      </c>
      <c r="L121" t="s">
        <v>55</v>
      </c>
      <c r="M121">
        <v>1</v>
      </c>
      <c r="N121">
        <v>2</v>
      </c>
      <c r="O121" t="s">
        <v>2531</v>
      </c>
    </row>
    <row r="122" spans="1:15">
      <c r="A122" t="s">
        <v>389</v>
      </c>
      <c r="B122" t="s">
        <v>22</v>
      </c>
      <c r="C122">
        <v>1</v>
      </c>
      <c r="D122">
        <v>55.2</v>
      </c>
      <c r="E122">
        <v>55.2</v>
      </c>
      <c r="F122" s="13">
        <v>45670</v>
      </c>
      <c r="G122" s="13">
        <v>45671</v>
      </c>
      <c r="H122" t="s">
        <v>27</v>
      </c>
      <c r="I122" t="s">
        <v>18</v>
      </c>
      <c r="J122">
        <v>3</v>
      </c>
      <c r="K122" t="s">
        <v>19</v>
      </c>
      <c r="L122" t="s">
        <v>33</v>
      </c>
      <c r="M122">
        <v>1</v>
      </c>
      <c r="N122">
        <v>3</v>
      </c>
      <c r="O122" t="s">
        <v>2531</v>
      </c>
    </row>
    <row r="123" spans="1:15">
      <c r="A123" t="s">
        <v>388</v>
      </c>
      <c r="B123" t="s">
        <v>16</v>
      </c>
      <c r="C123">
        <v>49</v>
      </c>
      <c r="D123">
        <v>29.3</v>
      </c>
      <c r="E123">
        <v>1435.7</v>
      </c>
      <c r="F123" s="13">
        <v>45670</v>
      </c>
      <c r="G123" s="13">
        <v>45670</v>
      </c>
      <c r="H123" t="s">
        <v>23</v>
      </c>
      <c r="I123" t="s">
        <v>18</v>
      </c>
      <c r="J123">
        <v>3</v>
      </c>
      <c r="K123" t="s">
        <v>19</v>
      </c>
      <c r="L123" t="s">
        <v>33</v>
      </c>
      <c r="M123">
        <v>0</v>
      </c>
      <c r="N123">
        <v>3</v>
      </c>
      <c r="O123" t="s">
        <v>2532</v>
      </c>
    </row>
    <row r="124" spans="1:15">
      <c r="A124" t="s">
        <v>387</v>
      </c>
      <c r="B124" t="s">
        <v>54</v>
      </c>
      <c r="C124">
        <v>9</v>
      </c>
      <c r="D124">
        <v>34.1</v>
      </c>
      <c r="E124">
        <v>306.90000000000003</v>
      </c>
      <c r="F124" s="13">
        <v>45670</v>
      </c>
      <c r="G124" s="13">
        <v>45671</v>
      </c>
      <c r="H124" t="s">
        <v>27</v>
      </c>
      <c r="I124" t="s">
        <v>70</v>
      </c>
      <c r="J124">
        <v>3</v>
      </c>
      <c r="K124" t="s">
        <v>19</v>
      </c>
      <c r="L124" t="s">
        <v>33</v>
      </c>
      <c r="M124">
        <v>1</v>
      </c>
      <c r="N124">
        <v>3</v>
      </c>
      <c r="O124" t="s">
        <v>2531</v>
      </c>
    </row>
    <row r="125" spans="1:15">
      <c r="A125" t="s">
        <v>383</v>
      </c>
      <c r="B125" t="s">
        <v>37</v>
      </c>
      <c r="C125">
        <v>8</v>
      </c>
      <c r="D125">
        <v>70.400000000000006</v>
      </c>
      <c r="E125">
        <v>563.20000000000005</v>
      </c>
      <c r="F125" s="13">
        <v>45670</v>
      </c>
      <c r="G125" s="13">
        <v>45671</v>
      </c>
      <c r="H125" t="s">
        <v>23</v>
      </c>
      <c r="I125" t="s">
        <v>35</v>
      </c>
      <c r="J125">
        <v>3</v>
      </c>
      <c r="K125" t="s">
        <v>19</v>
      </c>
      <c r="L125" t="s">
        <v>33</v>
      </c>
      <c r="M125">
        <v>1</v>
      </c>
      <c r="N125">
        <v>3</v>
      </c>
      <c r="O125" t="s">
        <v>2532</v>
      </c>
    </row>
    <row r="126" spans="1:15">
      <c r="A126" t="s">
        <v>360</v>
      </c>
      <c r="B126" t="s">
        <v>46</v>
      </c>
      <c r="C126">
        <v>1</v>
      </c>
      <c r="D126">
        <v>60.4</v>
      </c>
      <c r="E126">
        <v>60.4</v>
      </c>
      <c r="F126" s="13">
        <v>45670</v>
      </c>
      <c r="G126" s="13">
        <v>45672</v>
      </c>
      <c r="H126" t="s">
        <v>27</v>
      </c>
      <c r="I126" t="s">
        <v>35</v>
      </c>
      <c r="J126">
        <v>3</v>
      </c>
      <c r="K126" t="s">
        <v>19</v>
      </c>
      <c r="L126" t="s">
        <v>33</v>
      </c>
      <c r="M126">
        <v>2</v>
      </c>
      <c r="N126">
        <v>3</v>
      </c>
      <c r="O126" t="s">
        <v>2531</v>
      </c>
    </row>
    <row r="127" spans="1:15">
      <c r="A127" t="s">
        <v>196</v>
      </c>
      <c r="B127" t="s">
        <v>42</v>
      </c>
      <c r="C127">
        <v>2</v>
      </c>
      <c r="D127">
        <v>87.6</v>
      </c>
      <c r="E127">
        <v>175.2</v>
      </c>
      <c r="F127" s="13">
        <v>45662</v>
      </c>
      <c r="G127" s="13">
        <v>45664</v>
      </c>
      <c r="H127" t="s">
        <v>23</v>
      </c>
      <c r="I127" t="s">
        <v>35</v>
      </c>
      <c r="J127">
        <v>3</v>
      </c>
      <c r="K127" t="s">
        <v>19</v>
      </c>
      <c r="L127" t="s">
        <v>62</v>
      </c>
      <c r="M127">
        <v>2</v>
      </c>
      <c r="N127">
        <v>2</v>
      </c>
      <c r="O127" t="s">
        <v>2532</v>
      </c>
    </row>
    <row r="128" spans="1:15">
      <c r="A128" t="s">
        <v>197</v>
      </c>
      <c r="B128" t="s">
        <v>39</v>
      </c>
      <c r="C128">
        <v>3</v>
      </c>
      <c r="D128">
        <v>84.5</v>
      </c>
      <c r="E128">
        <v>253.5</v>
      </c>
      <c r="F128" s="13">
        <v>45662</v>
      </c>
      <c r="G128" s="13">
        <v>45663</v>
      </c>
      <c r="H128" t="s">
        <v>27</v>
      </c>
      <c r="I128" t="s">
        <v>35</v>
      </c>
      <c r="J128">
        <v>3</v>
      </c>
      <c r="K128" t="s">
        <v>19</v>
      </c>
      <c r="L128" t="s">
        <v>62</v>
      </c>
      <c r="M128">
        <v>1</v>
      </c>
      <c r="N128">
        <v>2</v>
      </c>
      <c r="O128" t="s">
        <v>2531</v>
      </c>
    </row>
    <row r="129" spans="1:15">
      <c r="A129" t="s">
        <v>354</v>
      </c>
      <c r="B129" t="s">
        <v>135</v>
      </c>
      <c r="C129">
        <v>3</v>
      </c>
      <c r="D129">
        <v>87.5</v>
      </c>
      <c r="E129">
        <v>262.5</v>
      </c>
      <c r="F129" s="13">
        <v>45669</v>
      </c>
      <c r="G129" s="13">
        <v>45670</v>
      </c>
      <c r="H129" t="s">
        <v>27</v>
      </c>
      <c r="I129" t="s">
        <v>35</v>
      </c>
      <c r="J129">
        <v>3</v>
      </c>
      <c r="K129" t="s">
        <v>19</v>
      </c>
      <c r="L129" t="s">
        <v>33</v>
      </c>
      <c r="M129">
        <v>1</v>
      </c>
      <c r="N129">
        <v>3</v>
      </c>
      <c r="O129" t="s">
        <v>2531</v>
      </c>
    </row>
    <row r="130" spans="1:15">
      <c r="A130" t="s">
        <v>350</v>
      </c>
      <c r="B130" t="s">
        <v>44</v>
      </c>
      <c r="C130">
        <v>1</v>
      </c>
      <c r="D130">
        <v>22.1</v>
      </c>
      <c r="E130">
        <v>22.1</v>
      </c>
      <c r="F130" s="13">
        <v>45669</v>
      </c>
      <c r="G130" s="13">
        <v>45673</v>
      </c>
      <c r="H130" t="s">
        <v>27</v>
      </c>
      <c r="I130" t="s">
        <v>35</v>
      </c>
      <c r="J130">
        <v>3</v>
      </c>
      <c r="K130" t="s">
        <v>19</v>
      </c>
      <c r="L130" t="s">
        <v>331</v>
      </c>
      <c r="M130">
        <v>4</v>
      </c>
      <c r="N130">
        <v>3</v>
      </c>
      <c r="O130" t="s">
        <v>2531</v>
      </c>
    </row>
    <row r="131" spans="1:15">
      <c r="A131" t="s">
        <v>344</v>
      </c>
      <c r="B131" t="s">
        <v>44</v>
      </c>
      <c r="C131">
        <v>2</v>
      </c>
      <c r="D131">
        <v>27.5</v>
      </c>
      <c r="E131">
        <v>55</v>
      </c>
      <c r="F131" s="13">
        <v>45669</v>
      </c>
      <c r="G131" s="13">
        <v>45670</v>
      </c>
      <c r="H131" t="s">
        <v>23</v>
      </c>
      <c r="I131" t="s">
        <v>70</v>
      </c>
      <c r="J131">
        <v>3</v>
      </c>
      <c r="K131" t="s">
        <v>19</v>
      </c>
      <c r="L131" t="s">
        <v>62</v>
      </c>
      <c r="M131">
        <v>1</v>
      </c>
      <c r="N131">
        <v>3</v>
      </c>
      <c r="O131" t="s">
        <v>2532</v>
      </c>
    </row>
    <row r="132" spans="1:15">
      <c r="A132" t="s">
        <v>336</v>
      </c>
      <c r="B132" t="s">
        <v>46</v>
      </c>
      <c r="C132">
        <v>3</v>
      </c>
      <c r="D132">
        <v>45.1</v>
      </c>
      <c r="E132">
        <v>135.30000000000001</v>
      </c>
      <c r="F132" s="13">
        <v>45669</v>
      </c>
      <c r="G132" s="13">
        <v>45670</v>
      </c>
      <c r="H132" t="s">
        <v>23</v>
      </c>
      <c r="I132" t="s">
        <v>70</v>
      </c>
      <c r="J132">
        <v>3</v>
      </c>
      <c r="K132" t="s">
        <v>19</v>
      </c>
      <c r="L132" t="s">
        <v>33</v>
      </c>
      <c r="M132">
        <v>1</v>
      </c>
      <c r="N132">
        <v>3</v>
      </c>
      <c r="O132" t="s">
        <v>2532</v>
      </c>
    </row>
    <row r="133" spans="1:15">
      <c r="A133" t="s">
        <v>203</v>
      </c>
      <c r="B133" t="s">
        <v>16</v>
      </c>
      <c r="C133">
        <v>26</v>
      </c>
      <c r="D133">
        <v>25.9</v>
      </c>
      <c r="E133">
        <v>673.4</v>
      </c>
      <c r="F133" s="13">
        <v>45663</v>
      </c>
      <c r="G133" s="13">
        <v>45666</v>
      </c>
      <c r="H133" t="s">
        <v>27</v>
      </c>
      <c r="I133" t="s">
        <v>70</v>
      </c>
      <c r="J133">
        <v>3</v>
      </c>
      <c r="K133" t="s">
        <v>19</v>
      </c>
      <c r="L133" t="s">
        <v>72</v>
      </c>
      <c r="M133">
        <v>3</v>
      </c>
      <c r="N133">
        <v>2</v>
      </c>
      <c r="O133" t="s">
        <v>2531</v>
      </c>
    </row>
    <row r="134" spans="1:15">
      <c r="A134" t="s">
        <v>332</v>
      </c>
      <c r="B134" t="s">
        <v>16</v>
      </c>
      <c r="C134">
        <v>2</v>
      </c>
      <c r="D134">
        <v>33.4</v>
      </c>
      <c r="E134">
        <v>66.8</v>
      </c>
      <c r="F134" s="13">
        <v>45668</v>
      </c>
      <c r="G134" s="13">
        <v>45669</v>
      </c>
      <c r="H134" t="s">
        <v>23</v>
      </c>
      <c r="I134" t="s">
        <v>35</v>
      </c>
      <c r="J134">
        <v>3</v>
      </c>
      <c r="K134" t="s">
        <v>19</v>
      </c>
      <c r="L134" t="s">
        <v>147</v>
      </c>
      <c r="M134">
        <v>1</v>
      </c>
      <c r="N134">
        <v>2</v>
      </c>
      <c r="O134" t="s">
        <v>2532</v>
      </c>
    </row>
    <row r="135" spans="1:15">
      <c r="A135" t="s">
        <v>328</v>
      </c>
      <c r="B135" t="s">
        <v>26</v>
      </c>
      <c r="C135">
        <v>3</v>
      </c>
      <c r="D135">
        <v>142.4</v>
      </c>
      <c r="E135">
        <v>427.20000000000005</v>
      </c>
      <c r="F135" s="13">
        <v>45668</v>
      </c>
      <c r="G135" s="13">
        <v>45670</v>
      </c>
      <c r="H135" t="s">
        <v>23</v>
      </c>
      <c r="I135" t="s">
        <v>70</v>
      </c>
      <c r="J135">
        <v>3</v>
      </c>
      <c r="K135" t="s">
        <v>19</v>
      </c>
      <c r="L135" t="s">
        <v>115</v>
      </c>
      <c r="M135">
        <v>2</v>
      </c>
      <c r="N135">
        <v>2</v>
      </c>
      <c r="O135" t="s">
        <v>2532</v>
      </c>
    </row>
    <row r="136" spans="1:15">
      <c r="A136" t="s">
        <v>323</v>
      </c>
      <c r="B136" t="s">
        <v>44</v>
      </c>
      <c r="C136">
        <v>2</v>
      </c>
      <c r="D136">
        <v>36.4</v>
      </c>
      <c r="E136">
        <v>72.8</v>
      </c>
      <c r="F136" s="13">
        <v>45668</v>
      </c>
      <c r="G136" s="13">
        <v>45669</v>
      </c>
      <c r="H136" t="s">
        <v>23</v>
      </c>
      <c r="I136" t="s">
        <v>35</v>
      </c>
      <c r="J136">
        <v>3</v>
      </c>
      <c r="K136" t="s">
        <v>19</v>
      </c>
      <c r="L136" t="s">
        <v>72</v>
      </c>
      <c r="M136">
        <v>1</v>
      </c>
      <c r="N136">
        <v>2</v>
      </c>
      <c r="O136" t="s">
        <v>2532</v>
      </c>
    </row>
    <row r="137" spans="1:15">
      <c r="A137" t="s">
        <v>321</v>
      </c>
      <c r="B137" t="s">
        <v>32</v>
      </c>
      <c r="C137">
        <v>3</v>
      </c>
      <c r="D137">
        <v>31.5</v>
      </c>
      <c r="E137">
        <v>94.5</v>
      </c>
      <c r="F137" s="13">
        <v>45668</v>
      </c>
      <c r="G137" s="13">
        <v>45671</v>
      </c>
      <c r="H137" t="s">
        <v>23</v>
      </c>
      <c r="I137" t="s">
        <v>18</v>
      </c>
      <c r="J137">
        <v>3</v>
      </c>
      <c r="K137" t="s">
        <v>19</v>
      </c>
      <c r="L137" t="s">
        <v>62</v>
      </c>
      <c r="M137">
        <v>3</v>
      </c>
      <c r="N137">
        <v>2</v>
      </c>
      <c r="O137" t="s">
        <v>2532</v>
      </c>
    </row>
    <row r="138" spans="1:15">
      <c r="A138" t="s">
        <v>316</v>
      </c>
      <c r="B138" t="s">
        <v>39</v>
      </c>
      <c r="C138">
        <v>6</v>
      </c>
      <c r="D138">
        <v>66.7</v>
      </c>
      <c r="E138">
        <v>400.20000000000005</v>
      </c>
      <c r="F138" s="13">
        <v>45667</v>
      </c>
      <c r="G138" s="13">
        <v>45671</v>
      </c>
      <c r="H138" t="s">
        <v>23</v>
      </c>
      <c r="I138" t="s">
        <v>70</v>
      </c>
      <c r="J138">
        <v>3</v>
      </c>
      <c r="K138" t="s">
        <v>19</v>
      </c>
      <c r="L138" t="s">
        <v>33</v>
      </c>
      <c r="M138">
        <v>4</v>
      </c>
      <c r="N138">
        <v>2</v>
      </c>
      <c r="O138" t="s">
        <v>2532</v>
      </c>
    </row>
    <row r="139" spans="1:15">
      <c r="A139" t="s">
        <v>210</v>
      </c>
      <c r="B139" t="s">
        <v>37</v>
      </c>
      <c r="C139">
        <v>7</v>
      </c>
      <c r="D139">
        <v>36.4</v>
      </c>
      <c r="E139">
        <v>254.79999999999998</v>
      </c>
      <c r="F139" s="13">
        <v>45663</v>
      </c>
      <c r="G139" s="13">
        <v>45666</v>
      </c>
      <c r="H139" t="s">
        <v>27</v>
      </c>
      <c r="I139" t="s">
        <v>18</v>
      </c>
      <c r="J139">
        <v>3</v>
      </c>
      <c r="K139" t="s">
        <v>19</v>
      </c>
      <c r="L139" t="s">
        <v>33</v>
      </c>
      <c r="M139">
        <v>3</v>
      </c>
      <c r="N139">
        <v>2</v>
      </c>
      <c r="O139" t="s">
        <v>2531</v>
      </c>
    </row>
    <row r="140" spans="1:15">
      <c r="A140" t="s">
        <v>310</v>
      </c>
      <c r="B140" t="s">
        <v>146</v>
      </c>
      <c r="C140">
        <v>3</v>
      </c>
      <c r="D140">
        <v>58.3</v>
      </c>
      <c r="E140">
        <v>174.89999999999998</v>
      </c>
      <c r="F140" s="13">
        <v>45667</v>
      </c>
      <c r="G140" s="13">
        <v>45667</v>
      </c>
      <c r="H140" t="s">
        <v>23</v>
      </c>
      <c r="I140" t="s">
        <v>35</v>
      </c>
      <c r="J140">
        <v>3</v>
      </c>
      <c r="K140" t="s">
        <v>19</v>
      </c>
      <c r="L140" t="s">
        <v>108</v>
      </c>
      <c r="M140">
        <v>0</v>
      </c>
      <c r="N140">
        <v>2</v>
      </c>
      <c r="O140" t="s">
        <v>2532</v>
      </c>
    </row>
    <row r="141" spans="1:15">
      <c r="A141" t="s">
        <v>305</v>
      </c>
      <c r="B141" t="s">
        <v>44</v>
      </c>
      <c r="C141">
        <v>1</v>
      </c>
      <c r="D141">
        <v>65.2</v>
      </c>
      <c r="E141">
        <v>65.2</v>
      </c>
      <c r="F141" s="13">
        <v>45667</v>
      </c>
      <c r="G141" s="13">
        <v>45672</v>
      </c>
      <c r="H141" t="s">
        <v>27</v>
      </c>
      <c r="I141" t="s">
        <v>51</v>
      </c>
      <c r="J141">
        <v>3</v>
      </c>
      <c r="K141" t="s">
        <v>19</v>
      </c>
      <c r="L141" t="s">
        <v>62</v>
      </c>
      <c r="M141">
        <v>5</v>
      </c>
      <c r="N141">
        <v>2</v>
      </c>
      <c r="O141" t="s">
        <v>2531</v>
      </c>
    </row>
    <row r="142" spans="1:15">
      <c r="A142" t="s">
        <v>294</v>
      </c>
      <c r="B142" t="s">
        <v>44</v>
      </c>
      <c r="C142">
        <v>5</v>
      </c>
      <c r="D142">
        <v>21</v>
      </c>
      <c r="E142">
        <v>105</v>
      </c>
      <c r="F142" s="13">
        <v>45666</v>
      </c>
      <c r="G142" s="13">
        <v>45667</v>
      </c>
      <c r="H142" t="s">
        <v>23</v>
      </c>
      <c r="I142" t="s">
        <v>18</v>
      </c>
      <c r="J142">
        <v>3</v>
      </c>
      <c r="K142" t="s">
        <v>19</v>
      </c>
      <c r="L142" t="s">
        <v>115</v>
      </c>
      <c r="M142">
        <v>1</v>
      </c>
      <c r="N142">
        <v>2</v>
      </c>
      <c r="O142" t="s">
        <v>2532</v>
      </c>
    </row>
    <row r="143" spans="1:15">
      <c r="A143" t="s">
        <v>290</v>
      </c>
      <c r="B143" t="s">
        <v>128</v>
      </c>
      <c r="C143">
        <v>4</v>
      </c>
      <c r="D143">
        <v>69</v>
      </c>
      <c r="E143">
        <v>276</v>
      </c>
      <c r="F143" s="13">
        <v>45666</v>
      </c>
      <c r="G143" s="13">
        <v>45668</v>
      </c>
      <c r="H143" t="s">
        <v>27</v>
      </c>
      <c r="I143" t="s">
        <v>35</v>
      </c>
      <c r="J143">
        <v>3</v>
      </c>
      <c r="K143" t="s">
        <v>19</v>
      </c>
      <c r="L143" t="s">
        <v>108</v>
      </c>
      <c r="M143">
        <v>2</v>
      </c>
      <c r="N143">
        <v>2</v>
      </c>
      <c r="O143" t="s">
        <v>2531</v>
      </c>
    </row>
    <row r="144" spans="1:15">
      <c r="A144" t="s">
        <v>288</v>
      </c>
      <c r="B144" t="s">
        <v>26</v>
      </c>
      <c r="C144">
        <v>4</v>
      </c>
      <c r="D144">
        <v>53.9</v>
      </c>
      <c r="E144">
        <v>215.6</v>
      </c>
      <c r="F144" s="13">
        <v>45666</v>
      </c>
      <c r="G144" s="13">
        <v>45667</v>
      </c>
      <c r="H144" t="s">
        <v>23</v>
      </c>
      <c r="I144" t="s">
        <v>18</v>
      </c>
      <c r="J144">
        <v>3</v>
      </c>
      <c r="K144" t="s">
        <v>19</v>
      </c>
      <c r="L144" t="s">
        <v>62</v>
      </c>
      <c r="M144">
        <v>1</v>
      </c>
      <c r="N144">
        <v>2</v>
      </c>
      <c r="O144" t="s">
        <v>2532</v>
      </c>
    </row>
    <row r="145" spans="1:15">
      <c r="A145" t="s">
        <v>282</v>
      </c>
      <c r="B145" t="s">
        <v>22</v>
      </c>
      <c r="C145">
        <v>19</v>
      </c>
      <c r="D145">
        <v>81.8</v>
      </c>
      <c r="E145">
        <v>1554.2</v>
      </c>
      <c r="F145" s="13">
        <v>45666</v>
      </c>
      <c r="G145" s="13">
        <v>45666</v>
      </c>
      <c r="H145" t="s">
        <v>27</v>
      </c>
      <c r="I145" t="s">
        <v>35</v>
      </c>
      <c r="J145">
        <v>3</v>
      </c>
      <c r="K145" t="s">
        <v>19</v>
      </c>
      <c r="L145" t="s">
        <v>33</v>
      </c>
      <c r="M145">
        <v>0</v>
      </c>
      <c r="N145">
        <v>2</v>
      </c>
      <c r="O145" t="s">
        <v>2531</v>
      </c>
    </row>
    <row r="146" spans="1:15">
      <c r="A146" t="s">
        <v>256</v>
      </c>
      <c r="B146" t="s">
        <v>16</v>
      </c>
      <c r="C146">
        <v>1</v>
      </c>
      <c r="D146">
        <v>13.3</v>
      </c>
      <c r="E146">
        <v>13.3</v>
      </c>
      <c r="F146" s="13">
        <v>45665</v>
      </c>
      <c r="G146" s="13">
        <v>45669</v>
      </c>
      <c r="H146" t="s">
        <v>27</v>
      </c>
      <c r="I146" t="s">
        <v>40</v>
      </c>
      <c r="J146">
        <v>3</v>
      </c>
      <c r="K146" t="s">
        <v>19</v>
      </c>
      <c r="L146" t="s">
        <v>33</v>
      </c>
      <c r="M146">
        <v>4</v>
      </c>
      <c r="N146">
        <v>2</v>
      </c>
      <c r="O146" t="s">
        <v>2531</v>
      </c>
    </row>
    <row r="147" spans="1:15">
      <c r="A147" t="s">
        <v>250</v>
      </c>
      <c r="B147" t="s">
        <v>30</v>
      </c>
      <c r="C147">
        <v>1</v>
      </c>
      <c r="D147">
        <v>76.099999999999994</v>
      </c>
      <c r="E147">
        <v>76.099999999999994</v>
      </c>
      <c r="F147" s="13">
        <v>45664</v>
      </c>
      <c r="G147" s="13">
        <v>45664</v>
      </c>
      <c r="H147" t="s">
        <v>27</v>
      </c>
      <c r="I147" t="s">
        <v>40</v>
      </c>
      <c r="J147">
        <v>3</v>
      </c>
      <c r="K147" t="s">
        <v>19</v>
      </c>
      <c r="L147" t="s">
        <v>33</v>
      </c>
      <c r="M147">
        <v>0</v>
      </c>
      <c r="N147">
        <v>2</v>
      </c>
      <c r="O147" t="s">
        <v>2531</v>
      </c>
    </row>
    <row r="148" spans="1:15">
      <c r="A148" t="s">
        <v>241</v>
      </c>
      <c r="B148" t="s">
        <v>54</v>
      </c>
      <c r="C148">
        <v>2</v>
      </c>
      <c r="D148">
        <v>61</v>
      </c>
      <c r="E148">
        <v>122</v>
      </c>
      <c r="F148" s="13">
        <v>45664</v>
      </c>
      <c r="G148" s="13">
        <v>45675</v>
      </c>
      <c r="H148" t="s">
        <v>27</v>
      </c>
      <c r="I148" t="s">
        <v>70</v>
      </c>
      <c r="J148">
        <v>3</v>
      </c>
      <c r="K148" t="s">
        <v>19</v>
      </c>
      <c r="L148" t="s">
        <v>108</v>
      </c>
      <c r="M148">
        <v>11</v>
      </c>
      <c r="N148">
        <v>2</v>
      </c>
      <c r="O148" t="s">
        <v>2531</v>
      </c>
    </row>
    <row r="149" spans="1:15">
      <c r="A149" t="s">
        <v>238</v>
      </c>
      <c r="B149" t="s">
        <v>135</v>
      </c>
      <c r="C149">
        <v>8</v>
      </c>
      <c r="D149">
        <v>38.5</v>
      </c>
      <c r="E149">
        <v>308</v>
      </c>
      <c r="F149" s="13">
        <v>45664</v>
      </c>
      <c r="G149" s="13">
        <v>45669</v>
      </c>
      <c r="H149" t="s">
        <v>27</v>
      </c>
      <c r="I149" t="s">
        <v>40</v>
      </c>
      <c r="J149">
        <v>3</v>
      </c>
      <c r="K149" t="s">
        <v>19</v>
      </c>
      <c r="L149" t="s">
        <v>77</v>
      </c>
      <c r="M149">
        <v>5</v>
      </c>
      <c r="N149">
        <v>2</v>
      </c>
      <c r="O149" t="s">
        <v>2531</v>
      </c>
    </row>
    <row r="150" spans="1:15">
      <c r="A150" t="s">
        <v>227</v>
      </c>
      <c r="B150" t="s">
        <v>44</v>
      </c>
      <c r="C150">
        <v>2</v>
      </c>
      <c r="D150">
        <v>29.3</v>
      </c>
      <c r="E150">
        <v>58.6</v>
      </c>
      <c r="F150" s="13">
        <v>45664</v>
      </c>
      <c r="G150" s="13">
        <v>45664</v>
      </c>
      <c r="H150" t="s">
        <v>27</v>
      </c>
      <c r="I150" t="s">
        <v>35</v>
      </c>
      <c r="J150">
        <v>3</v>
      </c>
      <c r="K150" t="s">
        <v>19</v>
      </c>
      <c r="L150" t="s">
        <v>55</v>
      </c>
      <c r="M150">
        <v>0</v>
      </c>
      <c r="N150">
        <v>2</v>
      </c>
      <c r="O150" t="s">
        <v>2531</v>
      </c>
    </row>
    <row r="151" spans="1:15">
      <c r="A151" t="s">
        <v>222</v>
      </c>
      <c r="B151" t="s">
        <v>54</v>
      </c>
      <c r="C151">
        <v>4</v>
      </c>
      <c r="D151">
        <v>31.1</v>
      </c>
      <c r="E151">
        <v>124.4</v>
      </c>
      <c r="F151" s="13">
        <v>45663</v>
      </c>
      <c r="G151" s="13">
        <v>45665</v>
      </c>
      <c r="H151" t="s">
        <v>27</v>
      </c>
      <c r="I151" t="s">
        <v>40</v>
      </c>
      <c r="J151">
        <v>3</v>
      </c>
      <c r="K151" t="s">
        <v>19</v>
      </c>
      <c r="L151" t="s">
        <v>33</v>
      </c>
      <c r="M151">
        <v>2</v>
      </c>
      <c r="N151">
        <v>2</v>
      </c>
      <c r="O151" t="s">
        <v>2531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A8429-6465-4CC7-B89E-C84447C94340}">
  <dimension ref="A2:T45"/>
  <sheetViews>
    <sheetView topLeftCell="A9" workbookViewId="0">
      <selection activeCell="A13" sqref="A13"/>
    </sheetView>
  </sheetViews>
  <sheetFormatPr defaultRowHeight="14"/>
  <cols>
    <col min="1" max="1" width="13.4140625" bestFit="1" customWidth="1"/>
    <col min="2" max="2" width="18" bestFit="1" customWidth="1"/>
    <col min="3" max="3" width="23.58203125" bestFit="1" customWidth="1"/>
    <col min="4" max="4" width="14.08203125" bestFit="1" customWidth="1"/>
    <col min="5" max="5" width="13.4140625" bestFit="1" customWidth="1"/>
    <col min="6" max="6" width="15.58203125" bestFit="1" customWidth="1"/>
    <col min="7" max="8" width="3.75" bestFit="1" customWidth="1"/>
    <col min="9" max="9" width="4.75" bestFit="1" customWidth="1"/>
    <col min="10" max="10" width="3.75" bestFit="1" customWidth="1"/>
    <col min="11" max="11" width="10.83203125" bestFit="1" customWidth="1"/>
    <col min="12" max="12" width="3.75" bestFit="1" customWidth="1"/>
    <col min="13" max="13" width="10.83203125" bestFit="1" customWidth="1"/>
    <col min="14" max="14" width="5.4140625" bestFit="1" customWidth="1"/>
    <col min="15" max="15" width="12.9140625" bestFit="1" customWidth="1"/>
    <col min="16" max="16" width="14.5" bestFit="1" customWidth="1"/>
    <col min="17" max="36" width="6.4140625" bestFit="1" customWidth="1"/>
    <col min="37" max="37" width="8.6640625" bestFit="1" customWidth="1"/>
    <col min="38" max="38" width="5.58203125" bestFit="1" customWidth="1"/>
    <col min="39" max="46" width="5.5" bestFit="1" customWidth="1"/>
    <col min="47" max="65" width="6.5" bestFit="1" customWidth="1"/>
    <col min="66" max="66" width="8.75" bestFit="1" customWidth="1"/>
    <col min="67" max="67" width="5.5" bestFit="1" customWidth="1"/>
    <col min="68" max="75" width="5.4140625" bestFit="1" customWidth="1"/>
    <col min="76" max="95" width="6.4140625" bestFit="1" customWidth="1"/>
    <col min="97" max="97" width="10.83203125" bestFit="1" customWidth="1"/>
  </cols>
  <sheetData>
    <row r="2" spans="1:16">
      <c r="G2" s="14" t="s">
        <v>2523</v>
      </c>
      <c r="H2" s="14"/>
      <c r="I2" s="14"/>
      <c r="J2" s="14"/>
      <c r="K2" s="14"/>
    </row>
    <row r="3" spans="1:16">
      <c r="A3" t="s">
        <v>2518</v>
      </c>
      <c r="B3" t="s">
        <v>2521</v>
      </c>
      <c r="C3" t="s">
        <v>2522</v>
      </c>
      <c r="D3" t="s">
        <v>2520</v>
      </c>
      <c r="E3" t="s">
        <v>2519</v>
      </c>
      <c r="G3" s="14" t="s">
        <v>2524</v>
      </c>
      <c r="H3" s="14" t="s">
        <v>2526</v>
      </c>
      <c r="I3" s="14" t="s">
        <v>2527</v>
      </c>
      <c r="J3" s="14" t="s">
        <v>2528</v>
      </c>
      <c r="K3" s="14" t="s">
        <v>2525</v>
      </c>
    </row>
    <row r="4" spans="1:16">
      <c r="A4" s="5">
        <v>2400</v>
      </c>
      <c r="B4" s="5">
        <v>3.9620833333333332</v>
      </c>
      <c r="C4" s="5">
        <v>2.3424999999999998</v>
      </c>
      <c r="D4" s="5">
        <v>649019.80000000144</v>
      </c>
      <c r="E4" s="5">
        <v>11997</v>
      </c>
      <c r="G4" s="14" t="str">
        <f>TEXT(A4,"#,###")</f>
        <v>2,400</v>
      </c>
      <c r="H4" s="14" t="str">
        <f>TEXT(B4,"0.0")</f>
        <v>4.0</v>
      </c>
      <c r="I4" s="14" t="str">
        <f>TEXT(C4,"#,###")</f>
        <v>2</v>
      </c>
      <c r="J4" s="14" t="str">
        <f>TEXT(D4,"$#,###")</f>
        <v>$649,020</v>
      </c>
      <c r="K4" s="14" t="str">
        <f>TEXT(E4,"#,###")</f>
        <v>11,997</v>
      </c>
    </row>
    <row r="10" spans="1:16">
      <c r="A10" s="6" t="s">
        <v>2529</v>
      </c>
      <c r="B10" t="s">
        <v>2519</v>
      </c>
      <c r="C10" t="s">
        <v>2520</v>
      </c>
      <c r="E10" s="6" t="s">
        <v>2529</v>
      </c>
      <c r="F10" t="s">
        <v>2518</v>
      </c>
      <c r="H10" s="6" t="s">
        <v>2519</v>
      </c>
      <c r="I10" s="6" t="s">
        <v>2535</v>
      </c>
      <c r="O10" s="6" t="s">
        <v>2529</v>
      </c>
      <c r="P10" t="s">
        <v>2519</v>
      </c>
    </row>
    <row r="11" spans="1:16">
      <c r="A11" s="7">
        <v>1</v>
      </c>
      <c r="B11" s="5">
        <v>546</v>
      </c>
      <c r="C11" s="8">
        <v>32413.300000000003</v>
      </c>
      <c r="E11" s="7">
        <v>1</v>
      </c>
      <c r="F11" s="5">
        <v>397</v>
      </c>
      <c r="H11" s="6" t="s">
        <v>2529</v>
      </c>
      <c r="J11" t="s">
        <v>27</v>
      </c>
      <c r="K11" t="s">
        <v>23</v>
      </c>
      <c r="L11" t="s">
        <v>89</v>
      </c>
      <c r="M11" t="s">
        <v>2530</v>
      </c>
      <c r="O11" s="7"/>
      <c r="P11" s="5">
        <v>736</v>
      </c>
    </row>
    <row r="12" spans="1:16">
      <c r="A12" s="7">
        <v>2</v>
      </c>
      <c r="B12" s="5">
        <v>905</v>
      </c>
      <c r="C12" s="8">
        <v>49562.999999999993</v>
      </c>
      <c r="E12" s="7">
        <v>2</v>
      </c>
      <c r="F12" s="5">
        <v>540</v>
      </c>
      <c r="H12" s="7" t="s">
        <v>44</v>
      </c>
      <c r="I12" s="5">
        <v>98</v>
      </c>
      <c r="J12" s="5">
        <v>744</v>
      </c>
      <c r="K12" s="5">
        <v>713</v>
      </c>
      <c r="L12" s="5">
        <v>90</v>
      </c>
      <c r="M12" s="5">
        <v>1645</v>
      </c>
      <c r="O12" s="7" t="s">
        <v>27</v>
      </c>
      <c r="P12" s="5">
        <v>6272</v>
      </c>
    </row>
    <row r="13" spans="1:16">
      <c r="A13" s="7">
        <v>3</v>
      </c>
      <c r="B13" s="5">
        <v>796</v>
      </c>
      <c r="C13" s="8">
        <v>41700.400000000016</v>
      </c>
      <c r="E13" s="7">
        <v>3</v>
      </c>
      <c r="F13" s="5">
        <v>375</v>
      </c>
      <c r="H13" s="7" t="s">
        <v>39</v>
      </c>
      <c r="I13" s="5">
        <v>214</v>
      </c>
      <c r="J13" s="5">
        <v>716</v>
      </c>
      <c r="K13" s="5">
        <v>598</v>
      </c>
      <c r="L13" s="5">
        <v>18</v>
      </c>
      <c r="M13" s="5">
        <v>1546</v>
      </c>
      <c r="O13" s="7" t="s">
        <v>23</v>
      </c>
      <c r="P13" s="5">
        <v>4672</v>
      </c>
    </row>
    <row r="14" spans="1:16">
      <c r="A14" s="7">
        <v>4</v>
      </c>
      <c r="B14" s="5">
        <v>913</v>
      </c>
      <c r="C14" s="8">
        <v>46782.599999999984</v>
      </c>
      <c r="E14" s="7">
        <v>4</v>
      </c>
      <c r="F14" s="5">
        <v>246</v>
      </c>
      <c r="H14" s="7" t="s">
        <v>26</v>
      </c>
      <c r="I14" s="5">
        <v>137</v>
      </c>
      <c r="J14" s="5">
        <v>627</v>
      </c>
      <c r="K14" s="5">
        <v>393</v>
      </c>
      <c r="L14" s="5">
        <v>29</v>
      </c>
      <c r="M14" s="5">
        <v>1186</v>
      </c>
      <c r="O14" s="7" t="s">
        <v>89</v>
      </c>
      <c r="P14" s="5">
        <v>317</v>
      </c>
    </row>
    <row r="15" spans="1:16">
      <c r="A15" s="7">
        <v>5</v>
      </c>
      <c r="B15" s="5">
        <v>844</v>
      </c>
      <c r="C15" s="8">
        <v>42676.100000000006</v>
      </c>
      <c r="E15" s="7">
        <v>5</v>
      </c>
      <c r="F15" s="5">
        <v>195</v>
      </c>
      <c r="H15" s="7" t="s">
        <v>22</v>
      </c>
      <c r="I15" s="5">
        <v>16</v>
      </c>
      <c r="J15" s="5">
        <v>568</v>
      </c>
      <c r="K15" s="5">
        <v>306</v>
      </c>
      <c r="L15" s="5">
        <v>22</v>
      </c>
      <c r="M15" s="5">
        <v>912</v>
      </c>
      <c r="O15" s="7" t="s">
        <v>2530</v>
      </c>
      <c r="P15" s="5">
        <v>11997</v>
      </c>
    </row>
    <row r="16" spans="1:16">
      <c r="A16" s="7">
        <v>6</v>
      </c>
      <c r="B16" s="5">
        <v>1202</v>
      </c>
      <c r="C16" s="8">
        <v>62910.7</v>
      </c>
      <c r="E16" s="7" t="s">
        <v>2537</v>
      </c>
      <c r="F16" s="5">
        <v>414</v>
      </c>
      <c r="H16" s="7" t="s">
        <v>54</v>
      </c>
      <c r="I16" s="5">
        <v>22</v>
      </c>
      <c r="J16" s="5">
        <v>482</v>
      </c>
      <c r="K16" s="5">
        <v>295</v>
      </c>
      <c r="L16" s="5">
        <v>8</v>
      </c>
      <c r="M16" s="5">
        <v>807</v>
      </c>
    </row>
    <row r="17" spans="1:20">
      <c r="A17" s="7">
        <v>7</v>
      </c>
      <c r="B17" s="5">
        <v>935</v>
      </c>
      <c r="C17" s="8">
        <v>50332.200000000004</v>
      </c>
      <c r="E17" s="7" t="s">
        <v>2538</v>
      </c>
      <c r="F17" s="5">
        <v>233</v>
      </c>
      <c r="H17" s="7" t="s">
        <v>16</v>
      </c>
      <c r="I17" s="5">
        <v>24</v>
      </c>
      <c r="J17" s="5">
        <v>428</v>
      </c>
      <c r="K17" s="5">
        <v>293</v>
      </c>
      <c r="L17" s="5"/>
      <c r="M17" s="5">
        <v>745</v>
      </c>
      <c r="R17" s="6"/>
      <c r="S17" s="6"/>
      <c r="T17" s="6"/>
    </row>
    <row r="18" spans="1:20">
      <c r="A18" s="7">
        <v>8</v>
      </c>
      <c r="B18" s="5">
        <v>1128</v>
      </c>
      <c r="C18" s="8">
        <v>58760.599999999977</v>
      </c>
      <c r="E18" s="7" t="s">
        <v>2530</v>
      </c>
      <c r="F18" s="5">
        <v>2400</v>
      </c>
      <c r="H18" s="7" t="s">
        <v>46</v>
      </c>
      <c r="I18" s="5">
        <v>39</v>
      </c>
      <c r="J18" s="5">
        <v>445</v>
      </c>
      <c r="K18" s="5">
        <v>202</v>
      </c>
      <c r="L18" s="5">
        <v>14</v>
      </c>
      <c r="M18" s="5">
        <v>700</v>
      </c>
    </row>
    <row r="19" spans="1:20">
      <c r="A19" s="7">
        <v>9</v>
      </c>
      <c r="B19" s="5">
        <v>1007</v>
      </c>
      <c r="C19" s="8">
        <v>52017.299999999996</v>
      </c>
      <c r="H19" s="7" t="s">
        <v>32</v>
      </c>
      <c r="I19" s="5">
        <v>15</v>
      </c>
      <c r="J19" s="5">
        <v>431</v>
      </c>
      <c r="K19" s="5">
        <v>187</v>
      </c>
      <c r="L19" s="5">
        <v>14</v>
      </c>
      <c r="M19" s="5">
        <v>647</v>
      </c>
    </row>
    <row r="20" spans="1:20">
      <c r="A20" s="7">
        <v>10</v>
      </c>
      <c r="B20" s="5">
        <v>1128</v>
      </c>
      <c r="C20" s="8">
        <v>64915.700000000033</v>
      </c>
      <c r="H20" s="7" t="s">
        <v>42</v>
      </c>
      <c r="I20" s="5">
        <v>9</v>
      </c>
      <c r="J20" s="5">
        <v>264</v>
      </c>
      <c r="K20" s="5">
        <v>318</v>
      </c>
      <c r="L20" s="5">
        <v>15</v>
      </c>
      <c r="M20" s="5">
        <v>606</v>
      </c>
    </row>
    <row r="21" spans="1:20">
      <c r="A21" s="7">
        <v>11</v>
      </c>
      <c r="B21" s="5">
        <v>861</v>
      </c>
      <c r="C21" s="8">
        <v>45943.80000000001</v>
      </c>
      <c r="H21" s="7" t="s">
        <v>37</v>
      </c>
      <c r="I21" s="5">
        <v>23</v>
      </c>
      <c r="J21" s="5">
        <v>296</v>
      </c>
      <c r="K21" s="5">
        <v>275</v>
      </c>
      <c r="L21" s="5">
        <v>9</v>
      </c>
      <c r="M21" s="5">
        <v>603</v>
      </c>
    </row>
    <row r="22" spans="1:20">
      <c r="A22" s="7">
        <v>12</v>
      </c>
      <c r="B22" s="5">
        <v>944</v>
      </c>
      <c r="C22" s="8">
        <v>55077.900000000031</v>
      </c>
      <c r="H22" s="7" t="s">
        <v>123</v>
      </c>
      <c r="I22" s="5">
        <v>8</v>
      </c>
      <c r="J22" s="5">
        <v>153</v>
      </c>
      <c r="K22" s="5">
        <v>246</v>
      </c>
      <c r="L22" s="5">
        <v>30</v>
      </c>
      <c r="M22" s="5">
        <v>437</v>
      </c>
    </row>
    <row r="23" spans="1:20">
      <c r="A23" s="7">
        <v>13</v>
      </c>
      <c r="B23" s="5">
        <v>788</v>
      </c>
      <c r="C23" s="8">
        <v>45926.19999999999</v>
      </c>
      <c r="H23" s="7" t="s">
        <v>146</v>
      </c>
      <c r="I23" s="5">
        <v>31</v>
      </c>
      <c r="J23" s="5">
        <v>189</v>
      </c>
      <c r="K23" s="5">
        <v>168</v>
      </c>
      <c r="L23" s="5">
        <v>10</v>
      </c>
      <c r="M23" s="5">
        <v>398</v>
      </c>
    </row>
    <row r="24" spans="1:20">
      <c r="A24" s="7" t="s">
        <v>2530</v>
      </c>
      <c r="B24" s="5">
        <v>11997</v>
      </c>
      <c r="C24" s="8">
        <v>649019.79999999993</v>
      </c>
      <c r="H24" s="7" t="s">
        <v>69</v>
      </c>
      <c r="I24" s="5">
        <v>24</v>
      </c>
      <c r="J24" s="5">
        <v>234</v>
      </c>
      <c r="K24" s="5">
        <v>93</v>
      </c>
      <c r="L24" s="5">
        <v>19</v>
      </c>
      <c r="M24" s="5">
        <v>370</v>
      </c>
    </row>
    <row r="25" spans="1:20">
      <c r="H25" s="7" t="s">
        <v>30</v>
      </c>
      <c r="I25" s="5">
        <v>28</v>
      </c>
      <c r="J25" s="5">
        <v>146</v>
      </c>
      <c r="K25" s="5">
        <v>94</v>
      </c>
      <c r="L25" s="5">
        <v>4</v>
      </c>
      <c r="M25" s="5">
        <v>272</v>
      </c>
    </row>
    <row r="26" spans="1:20">
      <c r="H26" s="7" t="s">
        <v>135</v>
      </c>
      <c r="I26" s="5">
        <v>12</v>
      </c>
      <c r="J26" s="5">
        <v>127</v>
      </c>
      <c r="K26" s="5">
        <v>118</v>
      </c>
      <c r="L26" s="5">
        <v>13</v>
      </c>
      <c r="M26" s="5">
        <v>270</v>
      </c>
    </row>
    <row r="27" spans="1:20">
      <c r="H27" s="7" t="s">
        <v>67</v>
      </c>
      <c r="I27" s="5"/>
      <c r="J27" s="5">
        <v>179</v>
      </c>
      <c r="K27" s="5">
        <v>76</v>
      </c>
      <c r="L27" s="5">
        <v>3</v>
      </c>
      <c r="M27" s="5">
        <v>258</v>
      </c>
    </row>
    <row r="28" spans="1:20">
      <c r="H28" s="7" t="s">
        <v>128</v>
      </c>
      <c r="I28" s="5">
        <v>24</v>
      </c>
      <c r="J28" s="5">
        <v>99</v>
      </c>
      <c r="K28" s="5">
        <v>69</v>
      </c>
      <c r="L28" s="5">
        <v>3</v>
      </c>
      <c r="M28" s="5">
        <v>195</v>
      </c>
    </row>
    <row r="29" spans="1:20">
      <c r="B29" s="6" t="s">
        <v>2529</v>
      </c>
      <c r="C29" t="s">
        <v>2518</v>
      </c>
      <c r="E29" s="6"/>
      <c r="F29" s="6"/>
      <c r="G29" s="6"/>
      <c r="H29" s="7" t="s">
        <v>76</v>
      </c>
      <c r="I29" s="5">
        <v>6</v>
      </c>
      <c r="J29" s="5">
        <v>75</v>
      </c>
      <c r="K29" s="5">
        <v>103</v>
      </c>
      <c r="L29" s="5">
        <v>4</v>
      </c>
      <c r="M29" s="5">
        <v>188</v>
      </c>
      <c r="N29" s="6"/>
      <c r="O29" s="6"/>
      <c r="P29" s="6"/>
      <c r="Q29" s="6"/>
      <c r="R29" s="6"/>
      <c r="S29" s="6"/>
      <c r="T29" s="6"/>
    </row>
    <row r="30" spans="1:20">
      <c r="B30" s="7">
        <v>0</v>
      </c>
      <c r="C30" s="5">
        <v>175</v>
      </c>
      <c r="H30" s="7" t="s">
        <v>81</v>
      </c>
      <c r="I30" s="5">
        <v>6</v>
      </c>
      <c r="J30" s="5">
        <v>43</v>
      </c>
      <c r="K30" s="5">
        <v>90</v>
      </c>
      <c r="L30" s="5">
        <v>8</v>
      </c>
      <c r="M30" s="5">
        <v>147</v>
      </c>
    </row>
    <row r="31" spans="1:20">
      <c r="B31" s="7">
        <v>1</v>
      </c>
      <c r="C31" s="5">
        <v>888</v>
      </c>
      <c r="H31" s="7" t="s">
        <v>171</v>
      </c>
      <c r="I31" s="5"/>
      <c r="J31" s="5">
        <v>26</v>
      </c>
      <c r="K31" s="5">
        <v>35</v>
      </c>
      <c r="L31" s="5">
        <v>4</v>
      </c>
      <c r="M31" s="5">
        <v>65</v>
      </c>
    </row>
    <row r="32" spans="1:20">
      <c r="B32" s="7">
        <v>2</v>
      </c>
      <c r="C32" s="5">
        <v>538</v>
      </c>
      <c r="H32" s="7" t="s">
        <v>2530</v>
      </c>
      <c r="I32" s="5">
        <v>736</v>
      </c>
      <c r="J32" s="5">
        <v>6272</v>
      </c>
      <c r="K32" s="5">
        <v>4672</v>
      </c>
      <c r="L32" s="5">
        <v>317</v>
      </c>
      <c r="M32" s="5">
        <v>11997</v>
      </c>
    </row>
    <row r="33" spans="2:11">
      <c r="B33" s="7">
        <v>3</v>
      </c>
      <c r="C33" s="5">
        <v>344</v>
      </c>
    </row>
    <row r="34" spans="2:11">
      <c r="B34" s="7">
        <v>4</v>
      </c>
      <c r="C34" s="5">
        <v>200</v>
      </c>
    </row>
    <row r="35" spans="2:11">
      <c r="B35" s="7">
        <v>5</v>
      </c>
      <c r="C35" s="5">
        <v>94</v>
      </c>
      <c r="E35" s="6" t="s">
        <v>2518</v>
      </c>
      <c r="F35" s="6" t="s">
        <v>2535</v>
      </c>
    </row>
    <row r="36" spans="2:11">
      <c r="B36" s="7">
        <v>6</v>
      </c>
      <c r="C36" s="5">
        <v>51</v>
      </c>
      <c r="E36" s="6" t="s">
        <v>2529</v>
      </c>
      <c r="F36">
        <v>1</v>
      </c>
      <c r="G36">
        <v>2</v>
      </c>
      <c r="H36">
        <v>3</v>
      </c>
      <c r="I36">
        <v>4</v>
      </c>
      <c r="J36">
        <v>5</v>
      </c>
      <c r="K36" t="s">
        <v>2530</v>
      </c>
    </row>
    <row r="37" spans="2:11">
      <c r="B37" s="7">
        <v>7</v>
      </c>
      <c r="C37" s="5">
        <v>32</v>
      </c>
      <c r="E37" s="7" t="s">
        <v>2540</v>
      </c>
      <c r="F37" s="5">
        <v>7</v>
      </c>
      <c r="G37" s="5">
        <v>37</v>
      </c>
      <c r="H37" s="5">
        <v>150</v>
      </c>
      <c r="I37" s="5">
        <v>312</v>
      </c>
      <c r="J37" s="5">
        <v>224</v>
      </c>
      <c r="K37" s="5">
        <v>730</v>
      </c>
    </row>
    <row r="38" spans="2:11">
      <c r="B38" s="7">
        <v>8</v>
      </c>
      <c r="C38" s="5">
        <v>23</v>
      </c>
      <c r="E38" s="7" t="s">
        <v>2541</v>
      </c>
      <c r="F38" s="5">
        <v>8</v>
      </c>
      <c r="G38" s="5">
        <v>51</v>
      </c>
      <c r="H38" s="5">
        <v>182</v>
      </c>
      <c r="I38" s="5">
        <v>373</v>
      </c>
      <c r="J38" s="5">
        <v>247</v>
      </c>
      <c r="K38" s="5">
        <v>861</v>
      </c>
    </row>
    <row r="39" spans="2:11">
      <c r="B39" s="7">
        <v>9</v>
      </c>
      <c r="C39" s="5">
        <v>9</v>
      </c>
      <c r="E39" s="7" t="s">
        <v>2542</v>
      </c>
      <c r="F39" s="5">
        <v>6</v>
      </c>
      <c r="G39" s="5">
        <v>39</v>
      </c>
      <c r="H39" s="5">
        <v>163</v>
      </c>
      <c r="I39" s="5">
        <v>351</v>
      </c>
      <c r="J39" s="5">
        <v>250</v>
      </c>
      <c r="K39" s="5">
        <v>809</v>
      </c>
    </row>
    <row r="40" spans="2:11">
      <c r="B40" s="7">
        <v>10</v>
      </c>
      <c r="C40" s="5">
        <v>8</v>
      </c>
      <c r="E40" s="7" t="s">
        <v>2530</v>
      </c>
      <c r="F40" s="5">
        <v>21</v>
      </c>
      <c r="G40" s="5">
        <v>127</v>
      </c>
      <c r="H40" s="5">
        <v>495</v>
      </c>
      <c r="I40" s="5">
        <v>1036</v>
      </c>
      <c r="J40" s="5">
        <v>721</v>
      </c>
      <c r="K40" s="5">
        <v>2400</v>
      </c>
    </row>
    <row r="41" spans="2:11">
      <c r="B41" s="7">
        <v>11</v>
      </c>
      <c r="C41" s="5">
        <v>11</v>
      </c>
    </row>
    <row r="42" spans="2:11">
      <c r="B42" s="7">
        <v>12</v>
      </c>
      <c r="C42" s="5">
        <v>4</v>
      </c>
    </row>
    <row r="43" spans="2:11">
      <c r="B43" s="7">
        <v>13</v>
      </c>
      <c r="C43" s="5">
        <v>10</v>
      </c>
    </row>
    <row r="44" spans="2:11">
      <c r="B44" s="7">
        <v>14</v>
      </c>
      <c r="C44" s="5">
        <v>13</v>
      </c>
    </row>
    <row r="45" spans="2:11">
      <c r="B45" s="7" t="s">
        <v>2530</v>
      </c>
      <c r="C45" s="5">
        <v>2400</v>
      </c>
    </row>
  </sheetData>
  <pageMargins left="0.7" right="0.7" top="0.75" bottom="0.75" header="0.3" footer="0.3"/>
  <pageSetup orientation="portrait"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0394D-1D35-4F19-84E4-D7289E5E3592}">
  <dimension ref="A1"/>
  <sheetViews>
    <sheetView showGridLines="0" tabSelected="1" zoomScale="58" zoomScaleNormal="58" workbookViewId="0">
      <selection activeCell="F48" sqref="F48"/>
    </sheetView>
  </sheetViews>
  <sheetFormatPr defaultRowHeight="14"/>
  <cols>
    <col min="1" max="1" width="4.08203125" customWidth="1"/>
    <col min="2" max="2" width="16.5" customWidth="1"/>
    <col min="3" max="3" width="4.08203125" customWidth="1"/>
    <col min="7" max="7" width="8.664062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B13" sqref="B13"/>
    </sheetView>
  </sheetViews>
  <sheetFormatPr defaultRowHeight="14"/>
  <cols>
    <col min="1" max="1" width="3.6640625" customWidth="1"/>
    <col min="2" max="2" width="52.75" customWidth="1"/>
  </cols>
  <sheetData>
    <row r="2" spans="2:2">
      <c r="B2" s="3" t="s">
        <v>2503</v>
      </c>
    </row>
    <row r="3" spans="2:2">
      <c r="B3" s="4" t="s">
        <v>2504</v>
      </c>
    </row>
    <row r="4" spans="2:2">
      <c r="B4" s="4" t="s">
        <v>2505</v>
      </c>
    </row>
    <row r="5" spans="2:2">
      <c r="B5" s="4" t="s">
        <v>2506</v>
      </c>
    </row>
    <row r="6" spans="2:2">
      <c r="B6" s="4" t="s">
        <v>2507</v>
      </c>
    </row>
    <row r="7" spans="2:2">
      <c r="B7" s="4" t="s">
        <v>2508</v>
      </c>
    </row>
    <row r="10" spans="2:2">
      <c r="B10" s="3" t="s">
        <v>2509</v>
      </c>
    </row>
    <row r="11" spans="2:2">
      <c r="B11" t="s">
        <v>2510</v>
      </c>
    </row>
    <row r="12" spans="2:2">
      <c r="B12" t="s">
        <v>2511</v>
      </c>
    </row>
    <row r="13" spans="2:2">
      <c r="B13" t="s">
        <v>2512</v>
      </c>
    </row>
    <row r="14" spans="2:2">
      <c r="B14" t="s">
        <v>2513</v>
      </c>
    </row>
    <row r="15" spans="2:2">
      <c r="B15" t="s">
        <v>2514</v>
      </c>
    </row>
    <row r="16" spans="2:2">
      <c r="B16" t="s">
        <v>2515</v>
      </c>
    </row>
    <row r="17" spans="2:2">
      <c r="B17" t="s">
        <v>2516</v>
      </c>
    </row>
    <row r="18" spans="2:2">
      <c r="B18" t="s">
        <v>2517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E7DA9-46CE-42F4-AC4A-1B751CB9B5CB}">
  <dimension ref="A2:M10"/>
  <sheetViews>
    <sheetView workbookViewId="0">
      <selection activeCell="J2" sqref="J2"/>
    </sheetView>
  </sheetViews>
  <sheetFormatPr defaultRowHeight="14"/>
  <cols>
    <col min="1" max="1" width="14.08203125" bestFit="1" customWidth="1"/>
    <col min="2" max="2" width="15.58203125" bestFit="1" customWidth="1"/>
    <col min="3" max="3" width="6.9140625" bestFit="1" customWidth="1"/>
    <col min="4" max="4" width="5.9140625" bestFit="1" customWidth="1"/>
    <col min="5" max="5" width="9" bestFit="1" customWidth="1"/>
    <col min="6" max="6" width="10.83203125" bestFit="1" customWidth="1"/>
    <col min="7" max="7" width="4.75" bestFit="1" customWidth="1"/>
    <col min="8" max="8" width="2.75" bestFit="1" customWidth="1"/>
    <col min="9" max="9" width="9.08203125" customWidth="1"/>
    <col min="10" max="10" width="6.9140625" bestFit="1" customWidth="1"/>
    <col min="11" max="11" width="8.33203125" customWidth="1"/>
    <col min="12" max="12" width="8.1640625" customWidth="1"/>
    <col min="13" max="13" width="7.6640625" customWidth="1"/>
    <col min="14" max="23" width="4.75" bestFit="1" customWidth="1"/>
    <col min="24" max="24" width="2.75" bestFit="1" customWidth="1"/>
    <col min="25" max="27" width="4.75" bestFit="1" customWidth="1"/>
    <col min="28" max="28" width="2.75" bestFit="1" customWidth="1"/>
    <col min="29" max="39" width="4.75" bestFit="1" customWidth="1"/>
    <col min="40" max="40" width="2.75" bestFit="1" customWidth="1"/>
    <col min="41" max="45" width="4.75" bestFit="1" customWidth="1"/>
    <col min="46" max="46" width="2.75" bestFit="1" customWidth="1"/>
    <col min="47" max="52" width="4.75" bestFit="1" customWidth="1"/>
    <col min="53" max="53" width="2.75" bestFit="1" customWidth="1"/>
    <col min="54" max="58" width="4.75" bestFit="1" customWidth="1"/>
    <col min="59" max="59" width="2.75" bestFit="1" customWidth="1"/>
    <col min="60" max="64" width="4.75" bestFit="1" customWidth="1"/>
    <col min="65" max="65" width="2.75" bestFit="1" customWidth="1"/>
    <col min="66" max="69" width="4.75" bestFit="1" customWidth="1"/>
    <col min="70" max="70" width="2.75" bestFit="1" customWidth="1"/>
    <col min="71" max="73" width="4.75" bestFit="1" customWidth="1"/>
    <col min="74" max="74" width="2.75" bestFit="1" customWidth="1"/>
    <col min="75" max="76" width="4.75" bestFit="1" customWidth="1"/>
    <col min="77" max="77" width="2.75" bestFit="1" customWidth="1"/>
    <col min="78" max="86" width="4.75" bestFit="1" customWidth="1"/>
    <col min="87" max="87" width="2.75" bestFit="1" customWidth="1"/>
    <col min="88" max="93" width="4.75" bestFit="1" customWidth="1"/>
    <col min="94" max="94" width="2.75" bestFit="1" customWidth="1"/>
    <col min="95" max="100" width="4.75" bestFit="1" customWidth="1"/>
    <col min="101" max="101" width="2.75" bestFit="1" customWidth="1"/>
    <col min="102" max="106" width="4.75" bestFit="1" customWidth="1"/>
    <col min="107" max="107" width="2.75" bestFit="1" customWidth="1"/>
    <col min="108" max="112" width="4.75" bestFit="1" customWidth="1"/>
    <col min="113" max="113" width="2.75" bestFit="1" customWidth="1"/>
    <col min="114" max="118" width="4.75" bestFit="1" customWidth="1"/>
    <col min="119" max="119" width="2.75" bestFit="1" customWidth="1"/>
    <col min="120" max="128" width="4.75" bestFit="1" customWidth="1"/>
    <col min="129" max="129" width="2.75" bestFit="1" customWidth="1"/>
    <col min="130" max="147" width="4.75" bestFit="1" customWidth="1"/>
    <col min="148" max="148" width="2.75" bestFit="1" customWidth="1"/>
    <col min="149" max="156" width="4.75" bestFit="1" customWidth="1"/>
    <col min="157" max="157" width="2.75" bestFit="1" customWidth="1"/>
    <col min="158" max="167" width="4.75" bestFit="1" customWidth="1"/>
    <col min="168" max="168" width="2.75" bestFit="1" customWidth="1"/>
    <col min="169" max="173" width="4.75" bestFit="1" customWidth="1"/>
    <col min="174" max="174" width="2.75" bestFit="1" customWidth="1"/>
    <col min="175" max="179" width="4.75" bestFit="1" customWidth="1"/>
    <col min="180" max="180" width="2.75" bestFit="1" customWidth="1"/>
    <col min="181" max="192" width="4.75" bestFit="1" customWidth="1"/>
    <col min="193" max="193" width="2.75" bestFit="1" customWidth="1"/>
    <col min="194" max="199" width="4.75" bestFit="1" customWidth="1"/>
    <col min="200" max="200" width="2.75" bestFit="1" customWidth="1"/>
    <col min="201" max="218" width="4.75" bestFit="1" customWidth="1"/>
    <col min="219" max="219" width="2.75" bestFit="1" customWidth="1"/>
    <col min="220" max="227" width="4.75" bestFit="1" customWidth="1"/>
    <col min="228" max="228" width="2.75" bestFit="1" customWidth="1"/>
    <col min="229" max="234" width="4.75" bestFit="1" customWidth="1"/>
    <col min="235" max="235" width="2.75" bestFit="1" customWidth="1"/>
    <col min="236" max="243" width="4.75" bestFit="1" customWidth="1"/>
    <col min="244" max="244" width="2.75" bestFit="1" customWidth="1"/>
    <col min="245" max="255" width="4.75" bestFit="1" customWidth="1"/>
    <col min="256" max="256" width="2.75" bestFit="1" customWidth="1"/>
    <col min="257" max="265" width="4.75" bestFit="1" customWidth="1"/>
    <col min="266" max="266" width="2.75" bestFit="1" customWidth="1"/>
    <col min="267" max="271" width="4.75" bestFit="1" customWidth="1"/>
    <col min="272" max="272" width="2.75" bestFit="1" customWidth="1"/>
    <col min="273" max="283" width="4.75" bestFit="1" customWidth="1"/>
    <col min="284" max="284" width="2.75" bestFit="1" customWidth="1"/>
    <col min="285" max="290" width="4.75" bestFit="1" customWidth="1"/>
    <col min="291" max="291" width="2.75" bestFit="1" customWidth="1"/>
    <col min="292" max="297" width="4.75" bestFit="1" customWidth="1"/>
    <col min="298" max="298" width="2.75" bestFit="1" customWidth="1"/>
    <col min="299" max="300" width="4.75" bestFit="1" customWidth="1"/>
    <col min="301" max="301" width="2.75" bestFit="1" customWidth="1"/>
    <col min="302" max="307" width="4.75" bestFit="1" customWidth="1"/>
    <col min="308" max="308" width="2.75" bestFit="1" customWidth="1"/>
    <col min="309" max="313" width="4.75" bestFit="1" customWidth="1"/>
    <col min="314" max="314" width="2.75" bestFit="1" customWidth="1"/>
    <col min="315" max="335" width="4.75" bestFit="1" customWidth="1"/>
    <col min="336" max="336" width="2.75" bestFit="1" customWidth="1"/>
    <col min="337" max="343" width="4.75" bestFit="1" customWidth="1"/>
    <col min="344" max="344" width="2.75" bestFit="1" customWidth="1"/>
    <col min="345" max="347" width="4.75" bestFit="1" customWidth="1"/>
    <col min="348" max="348" width="2.75" bestFit="1" customWidth="1"/>
    <col min="349" max="358" width="4.75" bestFit="1" customWidth="1"/>
    <col min="359" max="359" width="2.75" bestFit="1" customWidth="1"/>
    <col min="360" max="364" width="4.75" bestFit="1" customWidth="1"/>
    <col min="365" max="365" width="2.75" bestFit="1" customWidth="1"/>
    <col min="366" max="368" width="4.75" bestFit="1" customWidth="1"/>
    <col min="369" max="369" width="2.75" bestFit="1" customWidth="1"/>
    <col min="370" max="377" width="4.75" bestFit="1" customWidth="1"/>
    <col min="378" max="378" width="2.75" bestFit="1" customWidth="1"/>
    <col min="379" max="385" width="4.75" bestFit="1" customWidth="1"/>
    <col min="386" max="386" width="2.75" bestFit="1" customWidth="1"/>
    <col min="387" max="394" width="4.75" bestFit="1" customWidth="1"/>
    <col min="395" max="395" width="2.75" bestFit="1" customWidth="1"/>
    <col min="396" max="399" width="4.75" bestFit="1" customWidth="1"/>
    <col min="400" max="400" width="2.75" bestFit="1" customWidth="1"/>
    <col min="401" max="407" width="4.75" bestFit="1" customWidth="1"/>
    <col min="408" max="408" width="2.75" bestFit="1" customWidth="1"/>
    <col min="409" max="413" width="4.75" bestFit="1" customWidth="1"/>
    <col min="414" max="414" width="2.75" bestFit="1" customWidth="1"/>
    <col min="415" max="416" width="4.75" bestFit="1" customWidth="1"/>
    <col min="417" max="417" width="2.75" bestFit="1" customWidth="1"/>
    <col min="418" max="434" width="4.75" bestFit="1" customWidth="1"/>
    <col min="435" max="435" width="2.75" bestFit="1" customWidth="1"/>
    <col min="436" max="440" width="4.75" bestFit="1" customWidth="1"/>
    <col min="441" max="441" width="2.75" bestFit="1" customWidth="1"/>
    <col min="442" max="446" width="4.75" bestFit="1" customWidth="1"/>
    <col min="447" max="447" width="2.75" bestFit="1" customWidth="1"/>
    <col min="448" max="450" width="4.75" bestFit="1" customWidth="1"/>
    <col min="451" max="451" width="2.75" bestFit="1" customWidth="1"/>
    <col min="452" max="455" width="4.75" bestFit="1" customWidth="1"/>
    <col min="456" max="456" width="2.75" bestFit="1" customWidth="1"/>
    <col min="457" max="461" width="4.75" bestFit="1" customWidth="1"/>
    <col min="462" max="462" width="2.75" bestFit="1" customWidth="1"/>
    <col min="463" max="465" width="4.75" bestFit="1" customWidth="1"/>
    <col min="466" max="466" width="2.75" bestFit="1" customWidth="1"/>
    <col min="467" max="471" width="4.75" bestFit="1" customWidth="1"/>
    <col min="472" max="472" width="2.75" bestFit="1" customWidth="1"/>
    <col min="473" max="477" width="4.75" bestFit="1" customWidth="1"/>
    <col min="478" max="478" width="2.75" bestFit="1" customWidth="1"/>
    <col min="479" max="482" width="4.75" bestFit="1" customWidth="1"/>
    <col min="483" max="483" width="2.75" bestFit="1" customWidth="1"/>
    <col min="484" max="488" width="4.75" bestFit="1" customWidth="1"/>
    <col min="489" max="489" width="2.75" bestFit="1" customWidth="1"/>
    <col min="490" max="499" width="4.75" bestFit="1" customWidth="1"/>
    <col min="500" max="500" width="2.75" bestFit="1" customWidth="1"/>
    <col min="501" max="510" width="4.75" bestFit="1" customWidth="1"/>
    <col min="511" max="511" width="3.75" bestFit="1" customWidth="1"/>
    <col min="512" max="515" width="5.75" bestFit="1" customWidth="1"/>
    <col min="516" max="516" width="3.75" bestFit="1" customWidth="1"/>
    <col min="517" max="521" width="5.75" bestFit="1" customWidth="1"/>
    <col min="522" max="522" width="3.75" bestFit="1" customWidth="1"/>
    <col min="523" max="525" width="5.75" bestFit="1" customWidth="1"/>
    <col min="526" max="526" width="3.75" bestFit="1" customWidth="1"/>
    <col min="527" max="534" width="5.75" bestFit="1" customWidth="1"/>
    <col min="535" max="535" width="3.75" bestFit="1" customWidth="1"/>
    <col min="536" max="539" width="5.75" bestFit="1" customWidth="1"/>
    <col min="540" max="540" width="3.75" bestFit="1" customWidth="1"/>
    <col min="541" max="549" width="5.75" bestFit="1" customWidth="1"/>
    <col min="550" max="550" width="3.75" bestFit="1" customWidth="1"/>
    <col min="551" max="554" width="5.75" bestFit="1" customWidth="1"/>
    <col min="555" max="555" width="3.75" bestFit="1" customWidth="1"/>
    <col min="556" max="569" width="5.75" bestFit="1" customWidth="1"/>
    <col min="570" max="570" width="3.75" bestFit="1" customWidth="1"/>
    <col min="571" max="573" width="5.75" bestFit="1" customWidth="1"/>
    <col min="574" max="574" width="3.75" bestFit="1" customWidth="1"/>
    <col min="575" max="579" width="5.75" bestFit="1" customWidth="1"/>
    <col min="580" max="580" width="3.75" bestFit="1" customWidth="1"/>
    <col min="581" max="585" width="5.75" bestFit="1" customWidth="1"/>
    <col min="586" max="586" width="3.75" bestFit="1" customWidth="1"/>
    <col min="587" max="590" width="5.75" bestFit="1" customWidth="1"/>
    <col min="591" max="591" width="3.75" bestFit="1" customWidth="1"/>
    <col min="592" max="592" width="5.75" bestFit="1" customWidth="1"/>
    <col min="593" max="593" width="3.75" bestFit="1" customWidth="1"/>
    <col min="594" max="599" width="5.75" bestFit="1" customWidth="1"/>
    <col min="600" max="600" width="3.75" bestFit="1" customWidth="1"/>
    <col min="601" max="606" width="5.75" bestFit="1" customWidth="1"/>
    <col min="607" max="607" width="3.75" bestFit="1" customWidth="1"/>
    <col min="608" max="612" width="5.75" bestFit="1" customWidth="1"/>
    <col min="613" max="613" width="3.75" bestFit="1" customWidth="1"/>
    <col min="614" max="618" width="5.75" bestFit="1" customWidth="1"/>
    <col min="619" max="619" width="3.75" bestFit="1" customWidth="1"/>
    <col min="620" max="621" width="5.75" bestFit="1" customWidth="1"/>
    <col min="622" max="622" width="3.75" bestFit="1" customWidth="1"/>
    <col min="623" max="626" width="5.75" bestFit="1" customWidth="1"/>
    <col min="627" max="627" width="3.75" bestFit="1" customWidth="1"/>
    <col min="628" max="631" width="5.75" bestFit="1" customWidth="1"/>
    <col min="632" max="632" width="3.75" bestFit="1" customWidth="1"/>
    <col min="633" max="638" width="5.75" bestFit="1" customWidth="1"/>
    <col min="639" max="639" width="3.75" bestFit="1" customWidth="1"/>
    <col min="640" max="641" width="5.75" bestFit="1" customWidth="1"/>
    <col min="642" max="642" width="3.75" bestFit="1" customWidth="1"/>
    <col min="643" max="647" width="5.75" bestFit="1" customWidth="1"/>
    <col min="648" max="648" width="3.75" bestFit="1" customWidth="1"/>
    <col min="649" max="656" width="5.75" bestFit="1" customWidth="1"/>
    <col min="657" max="657" width="3.75" bestFit="1" customWidth="1"/>
    <col min="658" max="659" width="5.75" bestFit="1" customWidth="1"/>
    <col min="660" max="660" width="3.75" bestFit="1" customWidth="1"/>
    <col min="661" max="675" width="5.75" bestFit="1" customWidth="1"/>
    <col min="676" max="676" width="3.75" bestFit="1" customWidth="1"/>
    <col min="677" max="681" width="5.75" bestFit="1" customWidth="1"/>
    <col min="682" max="682" width="3.75" bestFit="1" customWidth="1"/>
    <col min="683" max="686" width="5.75" bestFit="1" customWidth="1"/>
    <col min="687" max="687" width="3.75" bestFit="1" customWidth="1"/>
    <col min="688" max="696" width="5.75" bestFit="1" customWidth="1"/>
    <col min="697" max="697" width="3.75" bestFit="1" customWidth="1"/>
    <col min="698" max="700" width="5.75" bestFit="1" customWidth="1"/>
    <col min="701" max="701" width="3.75" bestFit="1" customWidth="1"/>
    <col min="702" max="706" width="5.75" bestFit="1" customWidth="1"/>
    <col min="707" max="707" width="3.75" bestFit="1" customWidth="1"/>
    <col min="708" max="714" width="5.75" bestFit="1" customWidth="1"/>
    <col min="715" max="715" width="3.75" bestFit="1" customWidth="1"/>
    <col min="716" max="718" width="5.75" bestFit="1" customWidth="1"/>
    <col min="719" max="719" width="3.75" bestFit="1" customWidth="1"/>
    <col min="720" max="730" width="5.75" bestFit="1" customWidth="1"/>
    <col min="731" max="731" width="3.75" bestFit="1" customWidth="1"/>
    <col min="732" max="736" width="5.75" bestFit="1" customWidth="1"/>
    <col min="737" max="737" width="3.75" bestFit="1" customWidth="1"/>
    <col min="738" max="746" width="5.75" bestFit="1" customWidth="1"/>
    <col min="747" max="747" width="3.75" bestFit="1" customWidth="1"/>
    <col min="748" max="754" width="5.75" bestFit="1" customWidth="1"/>
    <col min="755" max="755" width="3.75" bestFit="1" customWidth="1"/>
    <col min="756" max="758" width="5.75" bestFit="1" customWidth="1"/>
    <col min="759" max="759" width="3.75" bestFit="1" customWidth="1"/>
    <col min="760" max="763" width="5.75" bestFit="1" customWidth="1"/>
    <col min="764" max="764" width="3.75" bestFit="1" customWidth="1"/>
    <col min="765" max="769" width="5.75" bestFit="1" customWidth="1"/>
    <col min="770" max="770" width="3.75" bestFit="1" customWidth="1"/>
    <col min="771" max="779" width="5.75" bestFit="1" customWidth="1"/>
    <col min="780" max="780" width="3.75" bestFit="1" customWidth="1"/>
    <col min="781" max="784" width="5.75" bestFit="1" customWidth="1"/>
    <col min="785" max="785" width="3.75" bestFit="1" customWidth="1"/>
    <col min="786" max="787" width="5.75" bestFit="1" customWidth="1"/>
    <col min="788" max="788" width="3.75" bestFit="1" customWidth="1"/>
    <col min="789" max="790" width="5.75" bestFit="1" customWidth="1"/>
    <col min="791" max="791" width="3.75" bestFit="1" customWidth="1"/>
    <col min="792" max="795" width="5.75" bestFit="1" customWidth="1"/>
    <col min="796" max="796" width="3.75" bestFit="1" customWidth="1"/>
    <col min="797" max="800" width="5.75" bestFit="1" customWidth="1"/>
    <col min="801" max="801" width="3.75" bestFit="1" customWidth="1"/>
    <col min="802" max="804" width="5.75" bestFit="1" customWidth="1"/>
    <col min="805" max="805" width="3.75" bestFit="1" customWidth="1"/>
    <col min="806" max="808" width="5.75" bestFit="1" customWidth="1"/>
    <col min="809" max="809" width="3.75" bestFit="1" customWidth="1"/>
    <col min="810" max="813" width="5.75" bestFit="1" customWidth="1"/>
    <col min="814" max="814" width="3.75" bestFit="1" customWidth="1"/>
    <col min="815" max="817" width="5.75" bestFit="1" customWidth="1"/>
    <col min="818" max="818" width="3.75" bestFit="1" customWidth="1"/>
    <col min="819" max="827" width="5.75" bestFit="1" customWidth="1"/>
    <col min="828" max="828" width="3.75" bestFit="1" customWidth="1"/>
    <col min="829" max="831" width="5.75" bestFit="1" customWidth="1"/>
    <col min="832" max="832" width="3.75" bestFit="1" customWidth="1"/>
    <col min="833" max="835" width="5.75" bestFit="1" customWidth="1"/>
    <col min="836" max="836" width="3.75" bestFit="1" customWidth="1"/>
    <col min="837" max="841" width="5.75" bestFit="1" customWidth="1"/>
    <col min="842" max="842" width="3.75" bestFit="1" customWidth="1"/>
    <col min="843" max="844" width="5.75" bestFit="1" customWidth="1"/>
    <col min="845" max="845" width="3.75" bestFit="1" customWidth="1"/>
    <col min="846" max="849" width="5.75" bestFit="1" customWidth="1"/>
    <col min="850" max="850" width="3.75" bestFit="1" customWidth="1"/>
    <col min="851" max="853" width="5.75" bestFit="1" customWidth="1"/>
    <col min="854" max="854" width="3.75" bestFit="1" customWidth="1"/>
    <col min="855" max="859" width="5.75" bestFit="1" customWidth="1"/>
    <col min="860" max="860" width="3.75" bestFit="1" customWidth="1"/>
    <col min="861" max="862" width="5.75" bestFit="1" customWidth="1"/>
    <col min="863" max="863" width="3.75" bestFit="1" customWidth="1"/>
    <col min="864" max="866" width="5.75" bestFit="1" customWidth="1"/>
    <col min="867" max="867" width="3.75" bestFit="1" customWidth="1"/>
    <col min="868" max="869" width="5.75" bestFit="1" customWidth="1"/>
    <col min="870" max="870" width="3.75" bestFit="1" customWidth="1"/>
    <col min="871" max="875" width="5.75" bestFit="1" customWidth="1"/>
    <col min="876" max="876" width="3.75" bestFit="1" customWidth="1"/>
    <col min="877" max="878" width="5.75" bestFit="1" customWidth="1"/>
    <col min="879" max="879" width="3.75" bestFit="1" customWidth="1"/>
    <col min="880" max="883" width="5.75" bestFit="1" customWidth="1"/>
    <col min="884" max="884" width="3.75" bestFit="1" customWidth="1"/>
    <col min="885" max="885" width="5.75" bestFit="1" customWidth="1"/>
    <col min="886" max="886" width="3.75" bestFit="1" customWidth="1"/>
    <col min="887" max="889" width="5.75" bestFit="1" customWidth="1"/>
    <col min="890" max="890" width="3.75" bestFit="1" customWidth="1"/>
    <col min="891" max="896" width="5.75" bestFit="1" customWidth="1"/>
    <col min="897" max="898" width="3.75" bestFit="1" customWidth="1"/>
    <col min="899" max="903" width="5.75" bestFit="1" customWidth="1"/>
    <col min="904" max="904" width="3.75" bestFit="1" customWidth="1"/>
    <col min="905" max="909" width="5.75" bestFit="1" customWidth="1"/>
    <col min="910" max="910" width="3.75" bestFit="1" customWidth="1"/>
    <col min="911" max="913" width="5.75" bestFit="1" customWidth="1"/>
    <col min="914" max="914" width="3.75" bestFit="1" customWidth="1"/>
    <col min="915" max="931" width="5.75" bestFit="1" customWidth="1"/>
    <col min="932" max="933" width="3.75" bestFit="1" customWidth="1"/>
    <col min="934" max="934" width="5.75" bestFit="1" customWidth="1"/>
    <col min="935" max="935" width="3.75" bestFit="1" customWidth="1"/>
    <col min="936" max="943" width="5.75" bestFit="1" customWidth="1"/>
    <col min="944" max="944" width="3.75" bestFit="1" customWidth="1"/>
    <col min="945" max="951" width="5.75" bestFit="1" customWidth="1"/>
    <col min="952" max="952" width="3.75" bestFit="1" customWidth="1"/>
    <col min="953" max="953" width="5.75" bestFit="1" customWidth="1"/>
    <col min="954" max="954" width="3.75" bestFit="1" customWidth="1"/>
    <col min="955" max="961" width="5.75" bestFit="1" customWidth="1"/>
    <col min="962" max="962" width="3.75" bestFit="1" customWidth="1"/>
    <col min="963" max="969" width="5.75" bestFit="1" customWidth="1"/>
    <col min="970" max="970" width="3.75" bestFit="1" customWidth="1"/>
    <col min="971" max="974" width="5.75" bestFit="1" customWidth="1"/>
    <col min="975" max="975" width="3.75" bestFit="1" customWidth="1"/>
    <col min="976" max="987" width="5.75" bestFit="1" customWidth="1"/>
    <col min="988" max="988" width="3.75" bestFit="1" customWidth="1"/>
    <col min="989" max="990" width="5.75" bestFit="1" customWidth="1"/>
    <col min="991" max="991" width="3.75" bestFit="1" customWidth="1"/>
    <col min="992" max="996" width="5.75" bestFit="1" customWidth="1"/>
    <col min="997" max="997" width="3.75" bestFit="1" customWidth="1"/>
    <col min="998" max="999" width="5.75" bestFit="1" customWidth="1"/>
    <col min="1000" max="1000" width="3.75" bestFit="1" customWidth="1"/>
    <col min="1001" max="1001" width="5.75" bestFit="1" customWidth="1"/>
    <col min="1002" max="1002" width="3.75" bestFit="1" customWidth="1"/>
    <col min="1003" max="1007" width="5.75" bestFit="1" customWidth="1"/>
    <col min="1008" max="1008" width="3.75" bestFit="1" customWidth="1"/>
    <col min="1009" max="1013" width="5.75" bestFit="1" customWidth="1"/>
    <col min="1014" max="1014" width="3.75" bestFit="1" customWidth="1"/>
    <col min="1015" max="1017" width="5.75" bestFit="1" customWidth="1"/>
    <col min="1018" max="1018" width="3.75" bestFit="1" customWidth="1"/>
    <col min="1019" max="1022" width="5.75" bestFit="1" customWidth="1"/>
    <col min="1023" max="1023" width="3.75" bestFit="1" customWidth="1"/>
    <col min="1024" max="1031" width="5.75" bestFit="1" customWidth="1"/>
    <col min="1032" max="1032" width="3.75" bestFit="1" customWidth="1"/>
    <col min="1033" max="1035" width="5.75" bestFit="1" customWidth="1"/>
    <col min="1036" max="1036" width="3.75" bestFit="1" customWidth="1"/>
    <col min="1037" max="1037" width="5.75" bestFit="1" customWidth="1"/>
    <col min="1038" max="1038" width="3.75" bestFit="1" customWidth="1"/>
    <col min="1039" max="1044" width="5.75" bestFit="1" customWidth="1"/>
    <col min="1045" max="1045" width="3.75" bestFit="1" customWidth="1"/>
    <col min="1046" max="1046" width="5.75" bestFit="1" customWidth="1"/>
    <col min="1047" max="1047" width="3.75" bestFit="1" customWidth="1"/>
    <col min="1048" max="1054" width="5.75" bestFit="1" customWidth="1"/>
    <col min="1055" max="1055" width="3.75" bestFit="1" customWidth="1"/>
    <col min="1056" max="1056" width="5.75" bestFit="1" customWidth="1"/>
    <col min="1057" max="1057" width="3.75" bestFit="1" customWidth="1"/>
    <col min="1058" max="1059" width="5.75" bestFit="1" customWidth="1"/>
    <col min="1060" max="1060" width="3.75" bestFit="1" customWidth="1"/>
    <col min="1061" max="1061" width="5.75" bestFit="1" customWidth="1"/>
    <col min="1062" max="1062" width="3.75" bestFit="1" customWidth="1"/>
    <col min="1063" max="1065" width="5.75" bestFit="1" customWidth="1"/>
    <col min="1066" max="1066" width="3.75" bestFit="1" customWidth="1"/>
    <col min="1067" max="1067" width="5.75" bestFit="1" customWidth="1"/>
    <col min="1068" max="1068" width="3.75" bestFit="1" customWidth="1"/>
    <col min="1069" max="1070" width="5.75" bestFit="1" customWidth="1"/>
    <col min="1071" max="1072" width="3.75" bestFit="1" customWidth="1"/>
    <col min="1073" max="1074" width="5.75" bestFit="1" customWidth="1"/>
    <col min="1075" max="1075" width="3.75" bestFit="1" customWidth="1"/>
    <col min="1076" max="1087" width="5.75" bestFit="1" customWidth="1"/>
    <col min="1088" max="1088" width="3.75" bestFit="1" customWidth="1"/>
    <col min="1089" max="1090" width="5.75" bestFit="1" customWidth="1"/>
    <col min="1091" max="1091" width="3.75" bestFit="1" customWidth="1"/>
    <col min="1092" max="1099" width="5.75" bestFit="1" customWidth="1"/>
    <col min="1100" max="1100" width="3.75" bestFit="1" customWidth="1"/>
    <col min="1101" max="1106" width="5.75" bestFit="1" customWidth="1"/>
    <col min="1107" max="1107" width="3.75" bestFit="1" customWidth="1"/>
    <col min="1108" max="1109" width="5.75" bestFit="1" customWidth="1"/>
    <col min="1110" max="1110" width="3.75" bestFit="1" customWidth="1"/>
    <col min="1111" max="1125" width="5.75" bestFit="1" customWidth="1"/>
    <col min="1126" max="1126" width="3.75" bestFit="1" customWidth="1"/>
    <col min="1127" max="1128" width="5.75" bestFit="1" customWidth="1"/>
    <col min="1129" max="1129" width="3.75" bestFit="1" customWidth="1"/>
    <col min="1130" max="1135" width="5.75" bestFit="1" customWidth="1"/>
    <col min="1136" max="1136" width="3.75" bestFit="1" customWidth="1"/>
    <col min="1137" max="1140" width="5.75" bestFit="1" customWidth="1"/>
    <col min="1141" max="1141" width="3.75" bestFit="1" customWidth="1"/>
    <col min="1142" max="1142" width="5.75" bestFit="1" customWidth="1"/>
    <col min="1143" max="1143" width="3.75" bestFit="1" customWidth="1"/>
    <col min="1144" max="1149" width="5.75" bestFit="1" customWidth="1"/>
    <col min="1150" max="1150" width="3.75" bestFit="1" customWidth="1"/>
    <col min="1151" max="1161" width="5.75" bestFit="1" customWidth="1"/>
    <col min="1162" max="1162" width="3.75" bestFit="1" customWidth="1"/>
    <col min="1163" max="1163" width="5.75" bestFit="1" customWidth="1"/>
    <col min="1164" max="1164" width="3.75" bestFit="1" customWidth="1"/>
    <col min="1165" max="1171" width="5.75" bestFit="1" customWidth="1"/>
    <col min="1172" max="1172" width="3.75" bestFit="1" customWidth="1"/>
    <col min="1173" max="1174" width="5.75" bestFit="1" customWidth="1"/>
    <col min="1175" max="1176" width="3.75" bestFit="1" customWidth="1"/>
    <col min="1177" max="1178" width="5.75" bestFit="1" customWidth="1"/>
    <col min="1179" max="1179" width="3.75" bestFit="1" customWidth="1"/>
    <col min="1180" max="1190" width="5.75" bestFit="1" customWidth="1"/>
    <col min="1191" max="1191" width="3.75" bestFit="1" customWidth="1"/>
    <col min="1192" max="1193" width="5.75" bestFit="1" customWidth="1"/>
    <col min="1194" max="1194" width="3.75" bestFit="1" customWidth="1"/>
    <col min="1195" max="1197" width="5.75" bestFit="1" customWidth="1"/>
    <col min="1198" max="1198" width="3.75" bestFit="1" customWidth="1"/>
    <col min="1199" max="1200" width="5.75" bestFit="1" customWidth="1"/>
    <col min="1201" max="1201" width="3.75" bestFit="1" customWidth="1"/>
    <col min="1202" max="1204" width="5.75" bestFit="1" customWidth="1"/>
    <col min="1205" max="1205" width="3.75" bestFit="1" customWidth="1"/>
    <col min="1206" max="1206" width="5.75" bestFit="1" customWidth="1"/>
    <col min="1207" max="1207" width="3.75" bestFit="1" customWidth="1"/>
    <col min="1208" max="1209" width="5.75" bestFit="1" customWidth="1"/>
    <col min="1210" max="1210" width="3.75" bestFit="1" customWidth="1"/>
    <col min="1211" max="1214" width="5.75" bestFit="1" customWidth="1"/>
    <col min="1215" max="1215" width="3.75" bestFit="1" customWidth="1"/>
    <col min="1216" max="1219" width="5.75" bestFit="1" customWidth="1"/>
    <col min="1220" max="1220" width="3.75" bestFit="1" customWidth="1"/>
    <col min="1221" max="1224" width="5.75" bestFit="1" customWidth="1"/>
    <col min="1225" max="1225" width="3.75" bestFit="1" customWidth="1"/>
    <col min="1226" max="1228" width="5.75" bestFit="1" customWidth="1"/>
    <col min="1229" max="1229" width="3.75" bestFit="1" customWidth="1"/>
    <col min="1230" max="1231" width="5.75" bestFit="1" customWidth="1"/>
    <col min="1232" max="1232" width="3.75" bestFit="1" customWidth="1"/>
    <col min="1233" max="1238" width="5.75" bestFit="1" customWidth="1"/>
    <col min="1239" max="1239" width="3.75" bestFit="1" customWidth="1"/>
    <col min="1240" max="1245" width="5.75" bestFit="1" customWidth="1"/>
    <col min="1246" max="1246" width="3.75" bestFit="1" customWidth="1"/>
    <col min="1247" max="1250" width="5.75" bestFit="1" customWidth="1"/>
    <col min="1251" max="1251" width="3.75" bestFit="1" customWidth="1"/>
    <col min="1252" max="1254" width="5.75" bestFit="1" customWidth="1"/>
    <col min="1255" max="1255" width="3.75" bestFit="1" customWidth="1"/>
    <col min="1256" max="1257" width="5.75" bestFit="1" customWidth="1"/>
    <col min="1258" max="1258" width="3.75" bestFit="1" customWidth="1"/>
    <col min="1259" max="1259" width="5.75" bestFit="1" customWidth="1"/>
    <col min="1260" max="1260" width="3.75" bestFit="1" customWidth="1"/>
    <col min="1261" max="1261" width="5.75" bestFit="1" customWidth="1"/>
    <col min="1262" max="1262" width="3.75" bestFit="1" customWidth="1"/>
    <col min="1263" max="1266" width="5.75" bestFit="1" customWidth="1"/>
    <col min="1267" max="1267" width="3.75" bestFit="1" customWidth="1"/>
    <col min="1268" max="1277" width="5.75" bestFit="1" customWidth="1"/>
    <col min="1278" max="1278" width="3.75" bestFit="1" customWidth="1"/>
    <col min="1279" max="1285" width="5.75" bestFit="1" customWidth="1"/>
    <col min="1286" max="1286" width="3.75" bestFit="1" customWidth="1"/>
    <col min="1287" max="1290" width="5.75" bestFit="1" customWidth="1"/>
    <col min="1291" max="1291" width="3.75" bestFit="1" customWidth="1"/>
    <col min="1292" max="1293" width="5.75" bestFit="1" customWidth="1"/>
    <col min="1294" max="1295" width="3.75" bestFit="1" customWidth="1"/>
    <col min="1296" max="1297" width="5.75" bestFit="1" customWidth="1"/>
    <col min="1298" max="1298" width="3.75" bestFit="1" customWidth="1"/>
    <col min="1299" max="1300" width="5.75" bestFit="1" customWidth="1"/>
    <col min="1301" max="1301" width="3.75" bestFit="1" customWidth="1"/>
    <col min="1302" max="1305" width="5.75" bestFit="1" customWidth="1"/>
    <col min="1306" max="1306" width="3.75" bestFit="1" customWidth="1"/>
    <col min="1307" max="1312" width="5.75" bestFit="1" customWidth="1"/>
    <col min="1313" max="1313" width="3.75" bestFit="1" customWidth="1"/>
    <col min="1314" max="1315" width="5.75" bestFit="1" customWidth="1"/>
    <col min="1316" max="1316" width="3.75" bestFit="1" customWidth="1"/>
    <col min="1317" max="1322" width="5.75" bestFit="1" customWidth="1"/>
    <col min="1323" max="1323" width="3.75" bestFit="1" customWidth="1"/>
    <col min="1324" max="1327" width="5.75" bestFit="1" customWidth="1"/>
    <col min="1328" max="1328" width="3.75" bestFit="1" customWidth="1"/>
    <col min="1329" max="1330" width="5.75" bestFit="1" customWidth="1"/>
    <col min="1331" max="1331" width="3.75" bestFit="1" customWidth="1"/>
    <col min="1332" max="1332" width="5.75" bestFit="1" customWidth="1"/>
    <col min="1333" max="1334" width="3.75" bestFit="1" customWidth="1"/>
    <col min="1335" max="1335" width="5.75" bestFit="1" customWidth="1"/>
    <col min="1336" max="1337" width="3.75" bestFit="1" customWidth="1"/>
    <col min="1338" max="1344" width="5.75" bestFit="1" customWidth="1"/>
    <col min="1345" max="1345" width="3.75" bestFit="1" customWidth="1"/>
    <col min="1346" max="1346" width="5.75" bestFit="1" customWidth="1"/>
    <col min="1347" max="1347" width="3.75" bestFit="1" customWidth="1"/>
    <col min="1348" max="1350" width="5.75" bestFit="1" customWidth="1"/>
    <col min="1351" max="1351" width="3.75" bestFit="1" customWidth="1"/>
    <col min="1352" max="1352" width="5.75" bestFit="1" customWidth="1"/>
    <col min="1353" max="1353" width="3.75" bestFit="1" customWidth="1"/>
    <col min="1354" max="1355" width="5.75" bestFit="1" customWidth="1"/>
    <col min="1356" max="1356" width="3.75" bestFit="1" customWidth="1"/>
    <col min="1357" max="1360" width="5.75" bestFit="1" customWidth="1"/>
    <col min="1361" max="1361" width="3.75" bestFit="1" customWidth="1"/>
    <col min="1362" max="1368" width="5.75" bestFit="1" customWidth="1"/>
    <col min="1369" max="1369" width="3.75" bestFit="1" customWidth="1"/>
    <col min="1370" max="1374" width="5.75" bestFit="1" customWidth="1"/>
    <col min="1375" max="1375" width="3.75" bestFit="1" customWidth="1"/>
    <col min="1376" max="1382" width="5.75" bestFit="1" customWidth="1"/>
    <col min="1383" max="1383" width="3.75" bestFit="1" customWidth="1"/>
    <col min="1384" max="1386" width="5.75" bestFit="1" customWidth="1"/>
    <col min="1387" max="1387" width="3.75" bestFit="1" customWidth="1"/>
    <col min="1388" max="1390" width="5.75" bestFit="1" customWidth="1"/>
    <col min="1391" max="1391" width="3.75" bestFit="1" customWidth="1"/>
    <col min="1392" max="1396" width="5.75" bestFit="1" customWidth="1"/>
    <col min="1397" max="1397" width="3.75" bestFit="1" customWidth="1"/>
    <col min="1398" max="1404" width="5.75" bestFit="1" customWidth="1"/>
    <col min="1405" max="1405" width="3.75" bestFit="1" customWidth="1"/>
    <col min="1406" max="1406" width="5.75" bestFit="1" customWidth="1"/>
    <col min="1407" max="1407" width="3.75" bestFit="1" customWidth="1"/>
    <col min="1408" max="1423" width="5.75" bestFit="1" customWidth="1"/>
    <col min="1424" max="1424" width="3.75" bestFit="1" customWidth="1"/>
    <col min="1425" max="1429" width="5.75" bestFit="1" customWidth="1"/>
    <col min="1430" max="1430" width="3.75" bestFit="1" customWidth="1"/>
    <col min="1431" max="1442" width="5.75" bestFit="1" customWidth="1"/>
    <col min="1443" max="1444" width="3.75" bestFit="1" customWidth="1"/>
    <col min="1445" max="1446" width="5.75" bestFit="1" customWidth="1"/>
    <col min="1447" max="1447" width="3.75" bestFit="1" customWidth="1"/>
    <col min="1448" max="1449" width="5.75" bestFit="1" customWidth="1"/>
    <col min="1450" max="1451" width="3.75" bestFit="1" customWidth="1"/>
    <col min="1452" max="1454" width="5.75" bestFit="1" customWidth="1"/>
    <col min="1455" max="1456" width="3.75" bestFit="1" customWidth="1"/>
    <col min="1457" max="1460" width="5.75" bestFit="1" customWidth="1"/>
    <col min="1461" max="1461" width="3.75" bestFit="1" customWidth="1"/>
    <col min="1462" max="1467" width="5.75" bestFit="1" customWidth="1"/>
    <col min="1468" max="1469" width="3.75" bestFit="1" customWidth="1"/>
    <col min="1470" max="1470" width="5.75" bestFit="1" customWidth="1"/>
    <col min="1471" max="1471" width="3.75" bestFit="1" customWidth="1"/>
    <col min="1472" max="1473" width="5.75" bestFit="1" customWidth="1"/>
    <col min="1474" max="1474" width="3.75" bestFit="1" customWidth="1"/>
    <col min="1475" max="1475" width="5.75" bestFit="1" customWidth="1"/>
    <col min="1476" max="1476" width="3.75" bestFit="1" customWidth="1"/>
    <col min="1477" max="1486" width="5.75" bestFit="1" customWidth="1"/>
    <col min="1487" max="1487" width="3.75" bestFit="1" customWidth="1"/>
    <col min="1488" max="1489" width="5.75" bestFit="1" customWidth="1"/>
    <col min="1490" max="1490" width="3.75" bestFit="1" customWidth="1"/>
    <col min="1491" max="1499" width="5.75" bestFit="1" customWidth="1"/>
    <col min="1500" max="1501" width="3.75" bestFit="1" customWidth="1"/>
    <col min="1502" max="1502" width="5.75" bestFit="1" customWidth="1"/>
    <col min="1503" max="1503" width="3.75" bestFit="1" customWidth="1"/>
    <col min="1504" max="1506" width="5.75" bestFit="1" customWidth="1"/>
    <col min="1507" max="1509" width="3.75" bestFit="1" customWidth="1"/>
    <col min="1510" max="1512" width="5.75" bestFit="1" customWidth="1"/>
    <col min="1513" max="1513" width="3.75" bestFit="1" customWidth="1"/>
    <col min="1514" max="1516" width="5.75" bestFit="1" customWidth="1"/>
    <col min="1517" max="1517" width="3.75" bestFit="1" customWidth="1"/>
    <col min="1518" max="1522" width="5.75" bestFit="1" customWidth="1"/>
    <col min="1523" max="1523" width="3.75" bestFit="1" customWidth="1"/>
    <col min="1524" max="1536" width="5.75" bestFit="1" customWidth="1"/>
    <col min="1537" max="1537" width="3.75" bestFit="1" customWidth="1"/>
    <col min="1538" max="1539" width="5.75" bestFit="1" customWidth="1"/>
    <col min="1540" max="1541" width="3.75" bestFit="1" customWidth="1"/>
    <col min="1542" max="1544" width="5.75" bestFit="1" customWidth="1"/>
    <col min="1545" max="1545" width="3.75" bestFit="1" customWidth="1"/>
    <col min="1546" max="1546" width="5.75" bestFit="1" customWidth="1"/>
    <col min="1547" max="1547" width="3.75" bestFit="1" customWidth="1"/>
    <col min="1548" max="1548" width="5.75" bestFit="1" customWidth="1"/>
    <col min="1549" max="1549" width="3.75" bestFit="1" customWidth="1"/>
    <col min="1550" max="1550" width="5.75" bestFit="1" customWidth="1"/>
    <col min="1551" max="1551" width="3.75" bestFit="1" customWidth="1"/>
    <col min="1552" max="1554" width="5.75" bestFit="1" customWidth="1"/>
    <col min="1555" max="1555" width="3.75" bestFit="1" customWidth="1"/>
    <col min="1556" max="1562" width="5.75" bestFit="1" customWidth="1"/>
    <col min="1563" max="1563" width="3.75" bestFit="1" customWidth="1"/>
    <col min="1564" max="1568" width="5.75" bestFit="1" customWidth="1"/>
    <col min="1569" max="1569" width="3.75" bestFit="1" customWidth="1"/>
    <col min="1570" max="1572" width="5.75" bestFit="1" customWidth="1"/>
    <col min="1573" max="1573" width="3.75" bestFit="1" customWidth="1"/>
    <col min="1574" max="1575" width="5.75" bestFit="1" customWidth="1"/>
    <col min="1576" max="1576" width="3.75" bestFit="1" customWidth="1"/>
    <col min="1577" max="1577" width="5.75" bestFit="1" customWidth="1"/>
    <col min="1578" max="1578" width="3.75" bestFit="1" customWidth="1"/>
    <col min="1579" max="1592" width="5.75" bestFit="1" customWidth="1"/>
    <col min="1593" max="1594" width="3.75" bestFit="1" customWidth="1"/>
    <col min="1595" max="1595" width="5.75" bestFit="1" customWidth="1"/>
    <col min="1596" max="1596" width="3.75" bestFit="1" customWidth="1"/>
    <col min="1597" max="1600" width="5.75" bestFit="1" customWidth="1"/>
    <col min="1601" max="1601" width="3.75" bestFit="1" customWidth="1"/>
    <col min="1602" max="1606" width="5.75" bestFit="1" customWidth="1"/>
    <col min="1607" max="1608" width="3.75" bestFit="1" customWidth="1"/>
    <col min="1609" max="1614" width="5.75" bestFit="1" customWidth="1"/>
    <col min="1615" max="1615" width="3.75" bestFit="1" customWidth="1"/>
    <col min="1616" max="1616" width="5.75" bestFit="1" customWidth="1"/>
    <col min="1617" max="1621" width="3.75" bestFit="1" customWidth="1"/>
    <col min="1622" max="1623" width="5.75" bestFit="1" customWidth="1"/>
    <col min="1624" max="1625" width="3.75" bestFit="1" customWidth="1"/>
    <col min="1626" max="1628" width="5.75" bestFit="1" customWidth="1"/>
    <col min="1629" max="1629" width="3.75" bestFit="1" customWidth="1"/>
    <col min="1630" max="1636" width="5.75" bestFit="1" customWidth="1"/>
    <col min="1637" max="1637" width="3.75" bestFit="1" customWidth="1"/>
    <col min="1638" max="1641" width="5.75" bestFit="1" customWidth="1"/>
    <col min="1642" max="1642" width="3.75" bestFit="1" customWidth="1"/>
    <col min="1643" max="1643" width="5.75" bestFit="1" customWidth="1"/>
    <col min="1644" max="1644" width="3.75" bestFit="1" customWidth="1"/>
    <col min="1645" max="1645" width="5.75" bestFit="1" customWidth="1"/>
    <col min="1646" max="1646" width="3.75" bestFit="1" customWidth="1"/>
    <col min="1647" max="1656" width="5.75" bestFit="1" customWidth="1"/>
    <col min="1657" max="1659" width="3.75" bestFit="1" customWidth="1"/>
    <col min="1660" max="1660" width="5.75" bestFit="1" customWidth="1"/>
    <col min="1661" max="1661" width="3.75" bestFit="1" customWidth="1"/>
    <col min="1662" max="1664" width="5.75" bestFit="1" customWidth="1"/>
    <col min="1665" max="1666" width="3.75" bestFit="1" customWidth="1"/>
    <col min="1667" max="1667" width="4.75" bestFit="1" customWidth="1"/>
    <col min="1668" max="1671" width="6.75" bestFit="1" customWidth="1"/>
    <col min="1672" max="1672" width="4.75" bestFit="1" customWidth="1"/>
    <col min="1673" max="1673" width="6.75" bestFit="1" customWidth="1"/>
    <col min="1674" max="1674" width="4.75" bestFit="1" customWidth="1"/>
    <col min="1675" max="1675" width="6.75" bestFit="1" customWidth="1"/>
    <col min="1676" max="1677" width="4.75" bestFit="1" customWidth="1"/>
    <col min="1678" max="1678" width="6.75" bestFit="1" customWidth="1"/>
    <col min="1679" max="1679" width="4.75" bestFit="1" customWidth="1"/>
    <col min="1680" max="1682" width="6.75" bestFit="1" customWidth="1"/>
    <col min="1683" max="1683" width="4.75" bestFit="1" customWidth="1"/>
    <col min="1684" max="1689" width="6.75" bestFit="1" customWidth="1"/>
    <col min="1690" max="1693" width="4.75" bestFit="1" customWidth="1"/>
    <col min="1694" max="1696" width="6.75" bestFit="1" customWidth="1"/>
    <col min="1697" max="1697" width="4.75" bestFit="1" customWidth="1"/>
    <col min="1698" max="1706" width="6.75" bestFit="1" customWidth="1"/>
    <col min="1707" max="1708" width="4.75" bestFit="1" customWidth="1"/>
    <col min="1709" max="1710" width="6.75" bestFit="1" customWidth="1"/>
    <col min="1711" max="1715" width="4.75" bestFit="1" customWidth="1"/>
    <col min="1716" max="1717" width="6.75" bestFit="1" customWidth="1"/>
    <col min="1718" max="1719" width="4.75" bestFit="1" customWidth="1"/>
    <col min="1720" max="1720" width="6.75" bestFit="1" customWidth="1"/>
    <col min="1721" max="1721" width="4.75" bestFit="1" customWidth="1"/>
    <col min="1722" max="1733" width="6.75" bestFit="1" customWidth="1"/>
    <col min="1734" max="1734" width="4.75" bestFit="1" customWidth="1"/>
    <col min="1735" max="1735" width="6.75" bestFit="1" customWidth="1"/>
    <col min="1736" max="1737" width="4.75" bestFit="1" customWidth="1"/>
    <col min="1738" max="1738" width="6.75" bestFit="1" customWidth="1"/>
    <col min="1739" max="1739" width="4.75" bestFit="1" customWidth="1"/>
    <col min="1740" max="1741" width="6.75" bestFit="1" customWidth="1"/>
    <col min="1742" max="1742" width="4.75" bestFit="1" customWidth="1"/>
    <col min="1743" max="1744" width="6.75" bestFit="1" customWidth="1"/>
    <col min="1745" max="1751" width="4.75" bestFit="1" customWidth="1"/>
    <col min="1752" max="1753" width="6.75" bestFit="1" customWidth="1"/>
    <col min="1754" max="1754" width="4.75" bestFit="1" customWidth="1"/>
    <col min="1755" max="1756" width="6.75" bestFit="1" customWidth="1"/>
    <col min="1757" max="1757" width="4.75" bestFit="1" customWidth="1"/>
    <col min="1758" max="1763" width="6.75" bestFit="1" customWidth="1"/>
    <col min="1764" max="1764" width="4.75" bestFit="1" customWidth="1"/>
    <col min="1765" max="1765" width="6.75" bestFit="1" customWidth="1"/>
    <col min="1766" max="1766" width="10.83203125" bestFit="1" customWidth="1"/>
  </cols>
  <sheetData>
    <row r="2" spans="1:13">
      <c r="I2" t="s">
        <v>2536</v>
      </c>
    </row>
    <row r="3" spans="1:13" ht="14.5" thickBot="1">
      <c r="A3" s="6" t="s">
        <v>2520</v>
      </c>
      <c r="B3" s="9" t="s">
        <v>2535</v>
      </c>
    </row>
    <row r="4" spans="1:13" ht="15" thickTop="1" thickBot="1">
      <c r="A4" s="6" t="s">
        <v>2529</v>
      </c>
      <c r="B4" t="s">
        <v>2531</v>
      </c>
      <c r="C4" t="s">
        <v>2532</v>
      </c>
      <c r="D4" t="s">
        <v>2534</v>
      </c>
      <c r="E4" t="s">
        <v>2533</v>
      </c>
      <c r="F4" t="s">
        <v>2530</v>
      </c>
      <c r="I4" s="11"/>
      <c r="J4" s="11" t="str">
        <f>B4</f>
        <v>Female</v>
      </c>
      <c r="K4" s="11" t="str">
        <f>C4</f>
        <v>Male</v>
      </c>
      <c r="L4" s="11" t="str">
        <f>D4</f>
        <v>Other</v>
      </c>
      <c r="M4" s="11" t="str">
        <f>E4</f>
        <v>Unknown</v>
      </c>
    </row>
    <row r="5" spans="1:13" ht="15" thickTop="1" thickBot="1">
      <c r="A5" s="7" t="s">
        <v>18</v>
      </c>
      <c r="B5" s="10">
        <v>0.18961825201634841</v>
      </c>
      <c r="C5" s="10">
        <v>0.12262322351336576</v>
      </c>
      <c r="D5" s="10">
        <v>1.060537752469185E-2</v>
      </c>
      <c r="E5" s="10">
        <v>3.0599220547662797E-2</v>
      </c>
      <c r="F5" s="10">
        <v>0.35344607360206881</v>
      </c>
      <c r="I5" s="11" t="str">
        <f t="shared" ref="I5:J9" si="0">A5</f>
        <v>App</v>
      </c>
      <c r="J5" s="12">
        <f t="shared" si="0"/>
        <v>0.18961825201634841</v>
      </c>
      <c r="K5" s="12">
        <f t="shared" ref="K5:M9" si="1">C5</f>
        <v>0.12262322351336576</v>
      </c>
      <c r="L5" s="12">
        <f t="shared" si="1"/>
        <v>1.060537752469185E-2</v>
      </c>
      <c r="M5" s="12">
        <f t="shared" si="1"/>
        <v>3.0599220547662797E-2</v>
      </c>
    </row>
    <row r="6" spans="1:13" ht="15" thickTop="1" thickBot="1">
      <c r="A6" s="7" t="s">
        <v>51</v>
      </c>
      <c r="B6" s="10">
        <v>5.0283982091147303E-2</v>
      </c>
      <c r="C6" s="10">
        <v>4.3060781812819873E-2</v>
      </c>
      <c r="D6" s="10">
        <v>1.5320025675641944E-3</v>
      </c>
      <c r="E6" s="10">
        <v>1.7794988689097006E-2</v>
      </c>
      <c r="F6" s="10">
        <v>0.11267175516062837</v>
      </c>
      <c r="I6" s="11" t="str">
        <f t="shared" si="0"/>
        <v>Instagram</v>
      </c>
      <c r="J6" s="12">
        <f t="shared" si="0"/>
        <v>5.0283982091147303E-2</v>
      </c>
      <c r="K6" s="12">
        <f t="shared" si="1"/>
        <v>4.3060781812819873E-2</v>
      </c>
      <c r="L6" s="12">
        <f t="shared" si="1"/>
        <v>1.5320025675641944E-3</v>
      </c>
      <c r="M6" s="12">
        <f t="shared" si="1"/>
        <v>1.7794988689097006E-2</v>
      </c>
    </row>
    <row r="7" spans="1:13" ht="15" thickTop="1" thickBot="1">
      <c r="A7" s="7" t="s">
        <v>70</v>
      </c>
      <c r="B7" s="10">
        <v>6.3496059750411282E-2</v>
      </c>
      <c r="C7" s="10">
        <v>4.6071629863988765E-2</v>
      </c>
      <c r="D7" s="10">
        <v>2.306247051322625E-3</v>
      </c>
      <c r="E7" s="10">
        <v>3.8927934093844286E-3</v>
      </c>
      <c r="F7" s="10">
        <v>0.11576673007510711</v>
      </c>
      <c r="I7" s="11" t="str">
        <f t="shared" si="0"/>
        <v>Partner App</v>
      </c>
      <c r="J7" s="12">
        <f t="shared" si="0"/>
        <v>6.3496059750411282E-2</v>
      </c>
      <c r="K7" s="12">
        <f t="shared" si="1"/>
        <v>4.6071629863988765E-2</v>
      </c>
      <c r="L7" s="12">
        <f t="shared" si="1"/>
        <v>2.306247051322625E-3</v>
      </c>
      <c r="M7" s="12">
        <f t="shared" si="1"/>
        <v>3.8927934093844286E-3</v>
      </c>
    </row>
    <row r="8" spans="1:13" ht="15" thickTop="1" thickBot="1">
      <c r="A8" s="7" t="s">
        <v>40</v>
      </c>
      <c r="B8" s="10">
        <v>9.6337892927149532E-2</v>
      </c>
      <c r="C8" s="10">
        <v>6.7920115842382611E-2</v>
      </c>
      <c r="D8" s="10">
        <v>5.4979832664581261E-3</v>
      </c>
      <c r="E8" s="10">
        <v>1.2933041488102518E-2</v>
      </c>
      <c r="F8" s="10">
        <v>0.1826890335240928</v>
      </c>
      <c r="I8" s="11" t="str">
        <f t="shared" si="0"/>
        <v>Target.com</v>
      </c>
      <c r="J8" s="12">
        <f t="shared" si="0"/>
        <v>9.6337892927149532E-2</v>
      </c>
      <c r="K8" s="12">
        <f t="shared" si="1"/>
        <v>6.7920115842382611E-2</v>
      </c>
      <c r="L8" s="12">
        <f t="shared" si="1"/>
        <v>5.4979832664581261E-3</v>
      </c>
      <c r="M8" s="12">
        <f t="shared" si="1"/>
        <v>1.2933041488102518E-2</v>
      </c>
    </row>
    <row r="9" spans="1:13" ht="15" thickTop="1" thickBot="1">
      <c r="A9" s="7" t="s">
        <v>35</v>
      </c>
      <c r="B9" s="10">
        <v>0.12522098709469262</v>
      </c>
      <c r="C9" s="10">
        <v>9.1492740283116228E-2</v>
      </c>
      <c r="D9" s="10">
        <v>6.3042760790965081E-3</v>
      </c>
      <c r="E9" s="10">
        <v>1.2408404181197551E-2</v>
      </c>
      <c r="F9" s="10">
        <v>0.23542640763810288</v>
      </c>
      <c r="I9" s="11" t="str">
        <f t="shared" si="0"/>
        <v>Website</v>
      </c>
      <c r="J9" s="12">
        <f t="shared" si="0"/>
        <v>0.12522098709469262</v>
      </c>
      <c r="K9" s="12">
        <f t="shared" si="1"/>
        <v>9.1492740283116228E-2</v>
      </c>
      <c r="L9" s="12">
        <f t="shared" si="1"/>
        <v>6.3042760790965081E-3</v>
      </c>
      <c r="M9" s="12">
        <f t="shared" si="1"/>
        <v>1.2408404181197551E-2</v>
      </c>
    </row>
    <row r="10" spans="1:13" ht="14.5" thickTop="1">
      <c r="A10" s="7" t="s">
        <v>2530</v>
      </c>
      <c r="B10" s="10">
        <v>0.52495717387974916</v>
      </c>
      <c r="C10" s="10">
        <v>0.3711684913156732</v>
      </c>
      <c r="D10" s="10">
        <v>2.6245886489133303E-2</v>
      </c>
      <c r="E10" s="10">
        <v>7.7628448315444312E-2</v>
      </c>
      <c r="F10" s="10">
        <v>1</v>
      </c>
    </row>
  </sheetData>
  <conditionalFormatting sqref="J5:M9">
    <cfRule type="colorScale" priority="1">
      <colorScale>
        <cfvo type="min"/>
        <cfvo type="percentile" val="50"/>
        <cfvo type="max"/>
        <color rgb="FFF8696B"/>
        <color rgb="FFFCFCFF"/>
        <color rgb="FF5A8AC6"/>
      </colorScale>
    </cfRule>
  </conditionalFormatting>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27AA8-A9E5-4A23-A804-ECAF09E3DA5A}">
  <dimension ref="A2:K62"/>
  <sheetViews>
    <sheetView topLeftCell="B1" workbookViewId="0">
      <selection activeCell="B2" sqref="B2"/>
    </sheetView>
  </sheetViews>
  <sheetFormatPr defaultRowHeight="14"/>
  <cols>
    <col min="1" max="1" width="24.1640625" bestFit="1" customWidth="1"/>
    <col min="2" max="2" width="20.33203125" bestFit="1" customWidth="1"/>
    <col min="3" max="3" width="14.08203125" bestFit="1" customWidth="1"/>
    <col min="4" max="4" width="14.5" bestFit="1" customWidth="1"/>
  </cols>
  <sheetData>
    <row r="2" spans="1:11">
      <c r="F2" t="s">
        <v>4</v>
      </c>
      <c r="J2" t="s">
        <v>2525</v>
      </c>
    </row>
    <row r="3" spans="1:11">
      <c r="A3" s="6" t="s">
        <v>10</v>
      </c>
      <c r="B3" s="6" t="s">
        <v>11</v>
      </c>
      <c r="C3" t="s">
        <v>2520</v>
      </c>
      <c r="D3" t="s">
        <v>2519</v>
      </c>
      <c r="F3" t="str">
        <f>B3</f>
        <v>County</v>
      </c>
      <c r="G3" t="str">
        <f>C3</f>
        <v>Sum of Amount</v>
      </c>
      <c r="J3" t="str">
        <f>B3</f>
        <v>County</v>
      </c>
      <c r="K3" t="str">
        <f>D3</f>
        <v>Sum of Quantity</v>
      </c>
    </row>
    <row r="4" spans="1:11">
      <c r="A4" t="s">
        <v>19</v>
      </c>
      <c r="B4" t="s">
        <v>115</v>
      </c>
      <c r="C4" s="5">
        <v>31884.999999999996</v>
      </c>
      <c r="D4" s="5">
        <v>579</v>
      </c>
      <c r="E4" t="str">
        <f>A4</f>
        <v>California</v>
      </c>
      <c r="F4" t="str">
        <f>B4</f>
        <v>Alameda County</v>
      </c>
      <c r="G4">
        <f>C4</f>
        <v>31884.999999999996</v>
      </c>
      <c r="I4" t="str">
        <f>A4</f>
        <v>California</v>
      </c>
      <c r="J4" t="str">
        <f t="shared" ref="J4:J61" si="0">B4</f>
        <v>Alameda County</v>
      </c>
      <c r="K4">
        <f t="shared" ref="K4:K61" si="1">D4</f>
        <v>579</v>
      </c>
    </row>
    <row r="5" spans="1:11">
      <c r="A5" t="s">
        <v>19</v>
      </c>
      <c r="B5" t="s">
        <v>20</v>
      </c>
      <c r="C5" s="5">
        <v>10.9</v>
      </c>
      <c r="D5" s="5">
        <v>1</v>
      </c>
      <c r="E5" t="str">
        <f t="shared" ref="E5:E61" si="2">A5</f>
        <v>California</v>
      </c>
      <c r="F5" t="str">
        <f t="shared" ref="F5:F61" si="3">B5</f>
        <v>Alpine County</v>
      </c>
      <c r="G5">
        <f t="shared" ref="G5:G61" si="4">C5</f>
        <v>10.9</v>
      </c>
      <c r="I5" t="str">
        <f t="shared" ref="I5:I61" si="5">A5</f>
        <v>California</v>
      </c>
      <c r="J5" t="str">
        <f t="shared" si="0"/>
        <v>Alpine County</v>
      </c>
      <c r="K5">
        <f t="shared" si="1"/>
        <v>1</v>
      </c>
    </row>
    <row r="6" spans="1:11">
      <c r="A6" t="s">
        <v>19</v>
      </c>
      <c r="B6" t="s">
        <v>641</v>
      </c>
      <c r="C6" s="5">
        <v>800.3</v>
      </c>
      <c r="D6" s="5">
        <v>9</v>
      </c>
      <c r="E6" t="str">
        <f t="shared" si="2"/>
        <v>California</v>
      </c>
      <c r="F6" t="str">
        <f t="shared" si="3"/>
        <v>Amador County</v>
      </c>
      <c r="G6">
        <f t="shared" si="4"/>
        <v>800.3</v>
      </c>
      <c r="I6" t="str">
        <f t="shared" si="5"/>
        <v>California</v>
      </c>
      <c r="J6" t="str">
        <f t="shared" si="0"/>
        <v>Amador County</v>
      </c>
      <c r="K6">
        <f t="shared" si="1"/>
        <v>9</v>
      </c>
    </row>
    <row r="7" spans="1:11">
      <c r="A7" t="s">
        <v>19</v>
      </c>
      <c r="B7" t="s">
        <v>967</v>
      </c>
      <c r="C7" s="5">
        <v>1062.5999999999999</v>
      </c>
      <c r="D7" s="5">
        <v>35</v>
      </c>
      <c r="E7" t="str">
        <f t="shared" si="2"/>
        <v>California</v>
      </c>
      <c r="F7" t="str">
        <f t="shared" si="3"/>
        <v>Butte County</v>
      </c>
      <c r="G7">
        <f t="shared" si="4"/>
        <v>1062.5999999999999</v>
      </c>
      <c r="I7" t="str">
        <f t="shared" si="5"/>
        <v>California</v>
      </c>
      <c r="J7" t="str">
        <f t="shared" si="0"/>
        <v>Butte County</v>
      </c>
      <c r="K7">
        <f t="shared" si="1"/>
        <v>35</v>
      </c>
    </row>
    <row r="8" spans="1:11">
      <c r="A8" t="s">
        <v>19</v>
      </c>
      <c r="B8" t="s">
        <v>84</v>
      </c>
      <c r="C8" s="5">
        <v>326.20000000000005</v>
      </c>
      <c r="D8" s="5">
        <v>12</v>
      </c>
      <c r="E8" t="str">
        <f t="shared" si="2"/>
        <v>California</v>
      </c>
      <c r="F8" t="str">
        <f t="shared" si="3"/>
        <v>Calaveras County</v>
      </c>
      <c r="G8">
        <f t="shared" si="4"/>
        <v>326.20000000000005</v>
      </c>
      <c r="I8" t="str">
        <f t="shared" si="5"/>
        <v>California</v>
      </c>
      <c r="J8" t="str">
        <f t="shared" si="0"/>
        <v>Calaveras County</v>
      </c>
      <c r="K8">
        <f t="shared" si="1"/>
        <v>12</v>
      </c>
    </row>
    <row r="9" spans="1:11">
      <c r="A9" t="s">
        <v>19</v>
      </c>
      <c r="B9" t="s">
        <v>1383</v>
      </c>
      <c r="C9" s="5">
        <v>167.5</v>
      </c>
      <c r="D9" s="5">
        <v>4</v>
      </c>
      <c r="E9" t="str">
        <f t="shared" si="2"/>
        <v>California</v>
      </c>
      <c r="F9" t="str">
        <f t="shared" si="3"/>
        <v>Colusa County</v>
      </c>
      <c r="G9">
        <f t="shared" si="4"/>
        <v>167.5</v>
      </c>
      <c r="I9" t="str">
        <f t="shared" si="5"/>
        <v>California</v>
      </c>
      <c r="J9" t="str">
        <f t="shared" si="0"/>
        <v>Colusa County</v>
      </c>
      <c r="K9">
        <f t="shared" si="1"/>
        <v>4</v>
      </c>
    </row>
    <row r="10" spans="1:11">
      <c r="A10" t="s">
        <v>19</v>
      </c>
      <c r="B10" t="s">
        <v>24</v>
      </c>
      <c r="C10" s="5">
        <v>16168.7</v>
      </c>
      <c r="D10" s="5">
        <v>341</v>
      </c>
      <c r="E10" t="str">
        <f t="shared" si="2"/>
        <v>California</v>
      </c>
      <c r="F10" t="str">
        <f t="shared" si="3"/>
        <v>Contra Costa County</v>
      </c>
      <c r="G10">
        <f t="shared" si="4"/>
        <v>16168.7</v>
      </c>
      <c r="I10" t="str">
        <f t="shared" si="5"/>
        <v>California</v>
      </c>
      <c r="J10" t="str">
        <f t="shared" si="0"/>
        <v>Contra Costa County</v>
      </c>
      <c r="K10">
        <f t="shared" si="1"/>
        <v>341</v>
      </c>
    </row>
    <row r="11" spans="1:11">
      <c r="A11" t="s">
        <v>19</v>
      </c>
      <c r="B11" t="s">
        <v>2204</v>
      </c>
      <c r="C11" s="5">
        <v>322.40000000000003</v>
      </c>
      <c r="D11" s="5">
        <v>13</v>
      </c>
      <c r="E11" t="str">
        <f t="shared" si="2"/>
        <v>California</v>
      </c>
      <c r="F11" t="str">
        <f t="shared" si="3"/>
        <v>Del Norte County</v>
      </c>
      <c r="G11">
        <f t="shared" si="4"/>
        <v>322.40000000000003</v>
      </c>
      <c r="I11" t="str">
        <f t="shared" si="5"/>
        <v>California</v>
      </c>
      <c r="J11" t="str">
        <f t="shared" si="0"/>
        <v>Del Norte County</v>
      </c>
      <c r="K11">
        <f t="shared" si="1"/>
        <v>13</v>
      </c>
    </row>
    <row r="12" spans="1:11">
      <c r="A12" t="s">
        <v>19</v>
      </c>
      <c r="B12" t="s">
        <v>437</v>
      </c>
      <c r="C12" s="5">
        <v>2092.8000000000002</v>
      </c>
      <c r="D12" s="5">
        <v>31</v>
      </c>
      <c r="E12" t="str">
        <f t="shared" si="2"/>
        <v>California</v>
      </c>
      <c r="F12" t="str">
        <f t="shared" si="3"/>
        <v>El Dorado County</v>
      </c>
      <c r="G12">
        <f t="shared" si="4"/>
        <v>2092.8000000000002</v>
      </c>
      <c r="I12" t="str">
        <f t="shared" si="5"/>
        <v>California</v>
      </c>
      <c r="J12" t="str">
        <f t="shared" si="0"/>
        <v>El Dorado County</v>
      </c>
      <c r="K12">
        <f t="shared" si="1"/>
        <v>31</v>
      </c>
    </row>
    <row r="13" spans="1:11">
      <c r="A13" t="s">
        <v>19</v>
      </c>
      <c r="B13" t="s">
        <v>28</v>
      </c>
      <c r="C13" s="5">
        <v>12662.500000000002</v>
      </c>
      <c r="D13" s="5">
        <v>279</v>
      </c>
      <c r="E13" t="str">
        <f t="shared" si="2"/>
        <v>California</v>
      </c>
      <c r="F13" t="str">
        <f t="shared" si="3"/>
        <v>Fresno County</v>
      </c>
      <c r="G13">
        <f t="shared" si="4"/>
        <v>12662.500000000002</v>
      </c>
      <c r="I13" t="str">
        <f t="shared" si="5"/>
        <v>California</v>
      </c>
      <c r="J13" t="str">
        <f t="shared" si="0"/>
        <v>Fresno County</v>
      </c>
      <c r="K13">
        <f t="shared" si="1"/>
        <v>279</v>
      </c>
    </row>
    <row r="14" spans="1:11">
      <c r="A14" t="s">
        <v>19</v>
      </c>
      <c r="B14" t="s">
        <v>208</v>
      </c>
      <c r="C14" s="5">
        <v>343.2</v>
      </c>
      <c r="D14" s="5">
        <v>9</v>
      </c>
      <c r="E14" t="str">
        <f t="shared" si="2"/>
        <v>California</v>
      </c>
      <c r="F14" t="str">
        <f t="shared" si="3"/>
        <v>Glenn County</v>
      </c>
      <c r="G14">
        <f t="shared" si="4"/>
        <v>343.2</v>
      </c>
      <c r="I14" t="str">
        <f t="shared" si="5"/>
        <v>California</v>
      </c>
      <c r="J14" t="str">
        <f t="shared" si="0"/>
        <v>Glenn County</v>
      </c>
      <c r="K14">
        <f t="shared" si="1"/>
        <v>9</v>
      </c>
    </row>
    <row r="15" spans="1:11">
      <c r="A15" t="s">
        <v>19</v>
      </c>
      <c r="B15" t="s">
        <v>587</v>
      </c>
      <c r="C15" s="5">
        <v>2188.2999999999997</v>
      </c>
      <c r="D15" s="5">
        <v>49</v>
      </c>
      <c r="E15" t="str">
        <f t="shared" si="2"/>
        <v>California</v>
      </c>
      <c r="F15" t="str">
        <f t="shared" si="3"/>
        <v>Humboldt County</v>
      </c>
      <c r="G15">
        <f t="shared" si="4"/>
        <v>2188.2999999999997</v>
      </c>
      <c r="I15" t="str">
        <f t="shared" si="5"/>
        <v>California</v>
      </c>
      <c r="J15" t="str">
        <f t="shared" si="0"/>
        <v>Humboldt County</v>
      </c>
      <c r="K15">
        <f t="shared" si="1"/>
        <v>49</v>
      </c>
    </row>
    <row r="16" spans="1:11">
      <c r="A16" t="s">
        <v>19</v>
      </c>
      <c r="B16" t="s">
        <v>331</v>
      </c>
      <c r="C16" s="5">
        <v>2661.5999999999995</v>
      </c>
      <c r="D16" s="5">
        <v>59</v>
      </c>
      <c r="E16" t="str">
        <f t="shared" si="2"/>
        <v>California</v>
      </c>
      <c r="F16" t="str">
        <f t="shared" si="3"/>
        <v>Imperial County</v>
      </c>
      <c r="G16">
        <f t="shared" si="4"/>
        <v>2661.5999999999995</v>
      </c>
      <c r="I16" t="str">
        <f t="shared" si="5"/>
        <v>California</v>
      </c>
      <c r="J16" t="str">
        <f t="shared" si="0"/>
        <v>Imperial County</v>
      </c>
      <c r="K16">
        <f t="shared" si="1"/>
        <v>59</v>
      </c>
    </row>
    <row r="17" spans="1:11">
      <c r="A17" t="s">
        <v>19</v>
      </c>
      <c r="B17" t="s">
        <v>86</v>
      </c>
      <c r="C17" s="5">
        <v>887.5</v>
      </c>
      <c r="D17" s="5">
        <v>8</v>
      </c>
      <c r="E17" t="str">
        <f t="shared" si="2"/>
        <v>California</v>
      </c>
      <c r="F17" t="str">
        <f t="shared" si="3"/>
        <v>Inyo County</v>
      </c>
      <c r="G17">
        <f t="shared" si="4"/>
        <v>887.5</v>
      </c>
      <c r="I17" t="str">
        <f t="shared" si="5"/>
        <v>California</v>
      </c>
      <c r="J17" t="str">
        <f t="shared" si="0"/>
        <v>Inyo County</v>
      </c>
      <c r="K17">
        <f t="shared" si="1"/>
        <v>8</v>
      </c>
    </row>
    <row r="18" spans="1:11">
      <c r="A18" t="s">
        <v>19</v>
      </c>
      <c r="B18" t="s">
        <v>147</v>
      </c>
      <c r="C18" s="5">
        <v>11354.199999999993</v>
      </c>
      <c r="D18" s="5">
        <v>222</v>
      </c>
      <c r="E18" t="str">
        <f t="shared" si="2"/>
        <v>California</v>
      </c>
      <c r="F18" t="str">
        <f t="shared" si="3"/>
        <v>Kern County</v>
      </c>
      <c r="G18">
        <f t="shared" si="4"/>
        <v>11354.199999999993</v>
      </c>
      <c r="I18" t="str">
        <f t="shared" si="5"/>
        <v>California</v>
      </c>
      <c r="J18" t="str">
        <f t="shared" si="0"/>
        <v>Kern County</v>
      </c>
      <c r="K18">
        <f t="shared" si="1"/>
        <v>222</v>
      </c>
    </row>
    <row r="19" spans="1:11">
      <c r="A19" t="s">
        <v>19</v>
      </c>
      <c r="B19" t="s">
        <v>334</v>
      </c>
      <c r="C19" s="5">
        <v>1558.4</v>
      </c>
      <c r="D19" s="5">
        <v>36</v>
      </c>
      <c r="E19" t="str">
        <f t="shared" si="2"/>
        <v>California</v>
      </c>
      <c r="F19" t="str">
        <f t="shared" si="3"/>
        <v>Kings County</v>
      </c>
      <c r="G19">
        <f t="shared" si="4"/>
        <v>1558.4</v>
      </c>
      <c r="I19" t="str">
        <f t="shared" si="5"/>
        <v>California</v>
      </c>
      <c r="J19" t="str">
        <f t="shared" si="0"/>
        <v>Kings County</v>
      </c>
      <c r="K19">
        <f t="shared" si="1"/>
        <v>36</v>
      </c>
    </row>
    <row r="20" spans="1:11">
      <c r="A20" t="s">
        <v>19</v>
      </c>
      <c r="B20" t="s">
        <v>949</v>
      </c>
      <c r="C20" s="5">
        <v>2223.9</v>
      </c>
      <c r="D20" s="5">
        <v>30</v>
      </c>
      <c r="E20" t="str">
        <f t="shared" si="2"/>
        <v>California</v>
      </c>
      <c r="F20" t="str">
        <f t="shared" si="3"/>
        <v>Lake County</v>
      </c>
      <c r="G20">
        <f t="shared" si="4"/>
        <v>2223.9</v>
      </c>
      <c r="I20" t="str">
        <f t="shared" si="5"/>
        <v>California</v>
      </c>
      <c r="J20" t="str">
        <f t="shared" si="0"/>
        <v>Lake County</v>
      </c>
      <c r="K20">
        <f t="shared" si="1"/>
        <v>30</v>
      </c>
    </row>
    <row r="21" spans="1:11">
      <c r="A21" t="s">
        <v>19</v>
      </c>
      <c r="B21" t="s">
        <v>1426</v>
      </c>
      <c r="C21" s="5">
        <v>26.2</v>
      </c>
      <c r="D21" s="5">
        <v>1</v>
      </c>
      <c r="E21" t="str">
        <f t="shared" si="2"/>
        <v>California</v>
      </c>
      <c r="F21" t="str">
        <f t="shared" si="3"/>
        <v>Lassen County</v>
      </c>
      <c r="G21">
        <f t="shared" si="4"/>
        <v>26.2</v>
      </c>
      <c r="I21" t="str">
        <f t="shared" si="5"/>
        <v>California</v>
      </c>
      <c r="J21" t="str">
        <f t="shared" si="0"/>
        <v>Lassen County</v>
      </c>
      <c r="K21">
        <f t="shared" si="1"/>
        <v>1</v>
      </c>
    </row>
    <row r="22" spans="1:11">
      <c r="A22" t="s">
        <v>19</v>
      </c>
      <c r="B22" t="s">
        <v>33</v>
      </c>
      <c r="C22" s="5">
        <v>215551.19999999981</v>
      </c>
      <c r="D22" s="5">
        <v>3991</v>
      </c>
      <c r="E22" t="str">
        <f t="shared" si="2"/>
        <v>California</v>
      </c>
      <c r="F22" t="str">
        <f t="shared" si="3"/>
        <v>Los Angeles County</v>
      </c>
      <c r="G22">
        <f t="shared" si="4"/>
        <v>215551.19999999981</v>
      </c>
      <c r="I22" t="str">
        <f t="shared" si="5"/>
        <v>California</v>
      </c>
      <c r="J22" t="str">
        <f t="shared" si="0"/>
        <v>Los Angeles County</v>
      </c>
      <c r="K22">
        <f t="shared" si="1"/>
        <v>3991</v>
      </c>
    </row>
    <row r="23" spans="1:11">
      <c r="A23" t="s">
        <v>19</v>
      </c>
      <c r="B23" t="s">
        <v>364</v>
      </c>
      <c r="C23" s="5">
        <v>2687.3999999999996</v>
      </c>
      <c r="D23" s="5">
        <v>45</v>
      </c>
      <c r="E23" t="str">
        <f t="shared" si="2"/>
        <v>California</v>
      </c>
      <c r="F23" t="str">
        <f t="shared" si="3"/>
        <v>Madera County</v>
      </c>
      <c r="G23">
        <f t="shared" si="4"/>
        <v>2687.3999999999996</v>
      </c>
      <c r="I23" t="str">
        <f t="shared" si="5"/>
        <v>California</v>
      </c>
      <c r="J23" t="str">
        <f t="shared" si="0"/>
        <v>Madera County</v>
      </c>
      <c r="K23">
        <f t="shared" si="1"/>
        <v>45</v>
      </c>
    </row>
    <row r="24" spans="1:11">
      <c r="A24" t="s">
        <v>19</v>
      </c>
      <c r="B24" t="s">
        <v>545</v>
      </c>
      <c r="C24" s="5">
        <v>1463.3000000000002</v>
      </c>
      <c r="D24" s="5">
        <v>39</v>
      </c>
      <c r="E24" t="str">
        <f t="shared" si="2"/>
        <v>California</v>
      </c>
      <c r="F24" t="str">
        <f t="shared" si="3"/>
        <v>Marin County</v>
      </c>
      <c r="G24">
        <f t="shared" si="4"/>
        <v>1463.3000000000002</v>
      </c>
      <c r="I24" t="str">
        <f t="shared" si="5"/>
        <v>California</v>
      </c>
      <c r="J24" t="str">
        <f t="shared" si="0"/>
        <v>Marin County</v>
      </c>
      <c r="K24">
        <f t="shared" si="1"/>
        <v>39</v>
      </c>
    </row>
    <row r="25" spans="1:11">
      <c r="A25" t="s">
        <v>19</v>
      </c>
      <c r="B25" t="s">
        <v>416</v>
      </c>
      <c r="C25" s="5">
        <v>445.79999999999995</v>
      </c>
      <c r="D25" s="5">
        <v>6</v>
      </c>
      <c r="E25" t="str">
        <f t="shared" si="2"/>
        <v>California</v>
      </c>
      <c r="F25" t="str">
        <f t="shared" si="3"/>
        <v>Mariposa County</v>
      </c>
      <c r="G25">
        <f t="shared" si="4"/>
        <v>445.79999999999995</v>
      </c>
      <c r="I25" t="str">
        <f t="shared" si="5"/>
        <v>California</v>
      </c>
      <c r="J25" t="str">
        <f t="shared" si="0"/>
        <v>Mariposa County</v>
      </c>
      <c r="K25">
        <f t="shared" si="1"/>
        <v>6</v>
      </c>
    </row>
    <row r="26" spans="1:11">
      <c r="A26" t="s">
        <v>19</v>
      </c>
      <c r="B26" t="s">
        <v>258</v>
      </c>
      <c r="C26" s="5">
        <v>273.59999999999997</v>
      </c>
      <c r="D26" s="5">
        <v>9</v>
      </c>
      <c r="E26" t="str">
        <f t="shared" si="2"/>
        <v>California</v>
      </c>
      <c r="F26" t="str">
        <f t="shared" si="3"/>
        <v>Mendocino County</v>
      </c>
      <c r="G26">
        <f t="shared" si="4"/>
        <v>273.59999999999997</v>
      </c>
      <c r="I26" t="str">
        <f t="shared" si="5"/>
        <v>California</v>
      </c>
      <c r="J26" t="str">
        <f t="shared" si="0"/>
        <v>Mendocino County</v>
      </c>
      <c r="K26">
        <f t="shared" si="1"/>
        <v>9</v>
      </c>
    </row>
    <row r="27" spans="1:11">
      <c r="A27" t="s">
        <v>19</v>
      </c>
      <c r="B27" t="s">
        <v>186</v>
      </c>
      <c r="C27" s="5">
        <v>2690.4</v>
      </c>
      <c r="D27" s="5">
        <v>60</v>
      </c>
      <c r="E27" t="str">
        <f t="shared" si="2"/>
        <v>California</v>
      </c>
      <c r="F27" t="str">
        <f t="shared" si="3"/>
        <v>Merced County</v>
      </c>
      <c r="G27">
        <f t="shared" si="4"/>
        <v>2690.4</v>
      </c>
      <c r="I27" t="str">
        <f t="shared" si="5"/>
        <v>California</v>
      </c>
      <c r="J27" t="str">
        <f t="shared" si="0"/>
        <v>Merced County</v>
      </c>
      <c r="K27">
        <f t="shared" si="1"/>
        <v>60</v>
      </c>
    </row>
    <row r="28" spans="1:11">
      <c r="A28" t="s">
        <v>19</v>
      </c>
      <c r="B28" t="s">
        <v>392</v>
      </c>
      <c r="C28" s="5">
        <v>28.4</v>
      </c>
      <c r="D28" s="5">
        <v>2</v>
      </c>
      <c r="E28" t="str">
        <f t="shared" si="2"/>
        <v>California</v>
      </c>
      <c r="F28" t="str">
        <f t="shared" si="3"/>
        <v>Modoc County</v>
      </c>
      <c r="G28">
        <f t="shared" si="4"/>
        <v>28.4</v>
      </c>
      <c r="I28" t="str">
        <f t="shared" si="5"/>
        <v>California</v>
      </c>
      <c r="J28" t="str">
        <f t="shared" si="0"/>
        <v>Modoc County</v>
      </c>
      <c r="K28">
        <f t="shared" si="1"/>
        <v>2</v>
      </c>
    </row>
    <row r="29" spans="1:11">
      <c r="A29" t="s">
        <v>19</v>
      </c>
      <c r="B29" t="s">
        <v>670</v>
      </c>
      <c r="C29" s="5">
        <v>204.8</v>
      </c>
      <c r="D29" s="5">
        <v>4</v>
      </c>
      <c r="E29" t="str">
        <f t="shared" si="2"/>
        <v>California</v>
      </c>
      <c r="F29" t="str">
        <f t="shared" si="3"/>
        <v>Mono County</v>
      </c>
      <c r="G29">
        <f t="shared" si="4"/>
        <v>204.8</v>
      </c>
      <c r="I29" t="str">
        <f t="shared" si="5"/>
        <v>California</v>
      </c>
      <c r="J29" t="str">
        <f t="shared" si="0"/>
        <v>Mono County</v>
      </c>
      <c r="K29">
        <f t="shared" si="1"/>
        <v>4</v>
      </c>
    </row>
    <row r="30" spans="1:11">
      <c r="A30" t="s">
        <v>19</v>
      </c>
      <c r="B30" t="s">
        <v>802</v>
      </c>
      <c r="C30" s="5">
        <v>1607.8999999999999</v>
      </c>
      <c r="D30" s="5">
        <v>31</v>
      </c>
      <c r="E30" t="str">
        <f t="shared" si="2"/>
        <v>California</v>
      </c>
      <c r="F30" t="str">
        <f t="shared" si="3"/>
        <v>Monterey County</v>
      </c>
      <c r="G30">
        <f t="shared" si="4"/>
        <v>1607.8999999999999</v>
      </c>
      <c r="I30" t="str">
        <f t="shared" si="5"/>
        <v>California</v>
      </c>
      <c r="J30" t="str">
        <f t="shared" si="0"/>
        <v>Monterey County</v>
      </c>
      <c r="K30">
        <f t="shared" si="1"/>
        <v>31</v>
      </c>
    </row>
    <row r="31" spans="1:11">
      <c r="A31" t="s">
        <v>19</v>
      </c>
      <c r="B31" t="s">
        <v>98</v>
      </c>
      <c r="C31" s="5">
        <v>6444.9</v>
      </c>
      <c r="D31" s="5">
        <v>88</v>
      </c>
      <c r="E31" t="str">
        <f t="shared" si="2"/>
        <v>California</v>
      </c>
      <c r="F31" t="str">
        <f t="shared" si="3"/>
        <v>Napa County</v>
      </c>
      <c r="G31">
        <f t="shared" si="4"/>
        <v>6444.9</v>
      </c>
      <c r="I31" t="str">
        <f t="shared" si="5"/>
        <v>California</v>
      </c>
      <c r="J31" t="str">
        <f t="shared" si="0"/>
        <v>Napa County</v>
      </c>
      <c r="K31">
        <f t="shared" si="1"/>
        <v>88</v>
      </c>
    </row>
    <row r="32" spans="1:11">
      <c r="A32" t="s">
        <v>19</v>
      </c>
      <c r="B32" t="s">
        <v>49</v>
      </c>
      <c r="C32" s="5">
        <v>1809.3</v>
      </c>
      <c r="D32" s="5">
        <v>25</v>
      </c>
      <c r="E32" t="str">
        <f t="shared" si="2"/>
        <v>California</v>
      </c>
      <c r="F32" t="str">
        <f t="shared" si="3"/>
        <v>Nevada County</v>
      </c>
      <c r="G32">
        <f t="shared" si="4"/>
        <v>1809.3</v>
      </c>
      <c r="I32" t="str">
        <f t="shared" si="5"/>
        <v>California</v>
      </c>
      <c r="J32" t="str">
        <f t="shared" si="0"/>
        <v>Nevada County</v>
      </c>
      <c r="K32">
        <f t="shared" si="1"/>
        <v>25</v>
      </c>
    </row>
    <row r="33" spans="1:11">
      <c r="A33" t="s">
        <v>19</v>
      </c>
      <c r="B33" t="s">
        <v>188</v>
      </c>
      <c r="C33" s="5">
        <v>9680.399999999996</v>
      </c>
      <c r="D33" s="5">
        <v>178</v>
      </c>
      <c r="E33" t="str">
        <f t="shared" si="2"/>
        <v>California</v>
      </c>
      <c r="F33" t="str">
        <f t="shared" si="3"/>
        <v>Orange County</v>
      </c>
      <c r="G33">
        <f t="shared" si="4"/>
        <v>9680.399999999996</v>
      </c>
      <c r="I33" t="str">
        <f t="shared" si="5"/>
        <v>California</v>
      </c>
      <c r="J33" t="str">
        <f t="shared" si="0"/>
        <v>Orange County</v>
      </c>
      <c r="K33">
        <f t="shared" si="1"/>
        <v>178</v>
      </c>
    </row>
    <row r="34" spans="1:11">
      <c r="A34" t="s">
        <v>19</v>
      </c>
      <c r="B34" t="s">
        <v>52</v>
      </c>
      <c r="C34" s="5">
        <v>9414.7999999999993</v>
      </c>
      <c r="D34" s="5">
        <v>141</v>
      </c>
      <c r="E34" t="str">
        <f t="shared" si="2"/>
        <v>California</v>
      </c>
      <c r="F34" t="str">
        <f t="shared" si="3"/>
        <v>Placer County</v>
      </c>
      <c r="G34">
        <f t="shared" si="4"/>
        <v>9414.7999999999993</v>
      </c>
      <c r="I34" t="str">
        <f t="shared" si="5"/>
        <v>California</v>
      </c>
      <c r="J34" t="str">
        <f t="shared" si="0"/>
        <v>Placer County</v>
      </c>
      <c r="K34">
        <f t="shared" si="1"/>
        <v>141</v>
      </c>
    </row>
    <row r="35" spans="1:11">
      <c r="A35" t="s">
        <v>19</v>
      </c>
      <c r="B35" t="s">
        <v>338</v>
      </c>
      <c r="C35" s="5">
        <v>206.1</v>
      </c>
      <c r="D35" s="5">
        <v>6</v>
      </c>
      <c r="E35" t="str">
        <f t="shared" si="2"/>
        <v>California</v>
      </c>
      <c r="F35" t="str">
        <f t="shared" si="3"/>
        <v>Plumas County</v>
      </c>
      <c r="G35">
        <f t="shared" si="4"/>
        <v>206.1</v>
      </c>
      <c r="I35" t="str">
        <f t="shared" si="5"/>
        <v>California</v>
      </c>
      <c r="J35" t="str">
        <f t="shared" si="0"/>
        <v>Plumas County</v>
      </c>
      <c r="K35">
        <f t="shared" si="1"/>
        <v>6</v>
      </c>
    </row>
    <row r="36" spans="1:11">
      <c r="A36" t="s">
        <v>19</v>
      </c>
      <c r="B36" t="s">
        <v>158</v>
      </c>
      <c r="C36" s="5">
        <v>7691.3</v>
      </c>
      <c r="D36" s="5">
        <v>178</v>
      </c>
      <c r="E36" t="str">
        <f t="shared" si="2"/>
        <v>California</v>
      </c>
      <c r="F36" t="str">
        <f t="shared" si="3"/>
        <v>Riverside County</v>
      </c>
      <c r="G36">
        <f t="shared" si="4"/>
        <v>7691.3</v>
      </c>
      <c r="I36" t="str">
        <f t="shared" si="5"/>
        <v>California</v>
      </c>
      <c r="J36" t="str">
        <f t="shared" si="0"/>
        <v>Riverside County</v>
      </c>
      <c r="K36">
        <f t="shared" si="1"/>
        <v>178</v>
      </c>
    </row>
    <row r="37" spans="1:11">
      <c r="A37" t="s">
        <v>19</v>
      </c>
      <c r="B37" t="s">
        <v>55</v>
      </c>
      <c r="C37" s="5">
        <v>37784.900000000016</v>
      </c>
      <c r="D37" s="5">
        <v>699</v>
      </c>
      <c r="E37" t="str">
        <f t="shared" si="2"/>
        <v>California</v>
      </c>
      <c r="F37" t="str">
        <f t="shared" si="3"/>
        <v>Sacramento County</v>
      </c>
      <c r="G37">
        <f t="shared" si="4"/>
        <v>37784.900000000016</v>
      </c>
      <c r="I37" t="str">
        <f t="shared" si="5"/>
        <v>California</v>
      </c>
      <c r="J37" t="str">
        <f t="shared" si="0"/>
        <v>Sacramento County</v>
      </c>
      <c r="K37">
        <f t="shared" si="1"/>
        <v>699</v>
      </c>
    </row>
    <row r="38" spans="1:11">
      <c r="A38" t="s">
        <v>19</v>
      </c>
      <c r="B38" t="s">
        <v>342</v>
      </c>
      <c r="C38" s="5">
        <v>1129.7</v>
      </c>
      <c r="D38" s="5">
        <v>23</v>
      </c>
      <c r="E38" t="str">
        <f t="shared" si="2"/>
        <v>California</v>
      </c>
      <c r="F38" t="str">
        <f t="shared" si="3"/>
        <v>San Benito County</v>
      </c>
      <c r="G38">
        <f t="shared" si="4"/>
        <v>1129.7</v>
      </c>
      <c r="I38" t="str">
        <f t="shared" si="5"/>
        <v>California</v>
      </c>
      <c r="J38" t="str">
        <f t="shared" si="0"/>
        <v>San Benito County</v>
      </c>
      <c r="K38">
        <f t="shared" si="1"/>
        <v>23</v>
      </c>
    </row>
    <row r="39" spans="1:11">
      <c r="A39" t="s">
        <v>19</v>
      </c>
      <c r="B39" t="s">
        <v>59</v>
      </c>
      <c r="C39" s="5">
        <v>20988.9</v>
      </c>
      <c r="D39" s="5">
        <v>356</v>
      </c>
      <c r="E39" t="str">
        <f t="shared" si="2"/>
        <v>California</v>
      </c>
      <c r="F39" t="str">
        <f t="shared" si="3"/>
        <v>San Bernardino County</v>
      </c>
      <c r="G39">
        <f t="shared" si="4"/>
        <v>20988.9</v>
      </c>
      <c r="I39" t="str">
        <f t="shared" si="5"/>
        <v>California</v>
      </c>
      <c r="J39" t="str">
        <f t="shared" si="0"/>
        <v>San Bernardino County</v>
      </c>
      <c r="K39">
        <f t="shared" si="1"/>
        <v>356</v>
      </c>
    </row>
    <row r="40" spans="1:11">
      <c r="A40" t="s">
        <v>19</v>
      </c>
      <c r="B40" t="s">
        <v>62</v>
      </c>
      <c r="C40" s="5">
        <v>98367.099999999977</v>
      </c>
      <c r="D40" s="5">
        <v>1768</v>
      </c>
      <c r="E40" t="str">
        <f t="shared" si="2"/>
        <v>California</v>
      </c>
      <c r="F40" t="str">
        <f t="shared" si="3"/>
        <v>San Diego County</v>
      </c>
      <c r="G40">
        <f t="shared" si="4"/>
        <v>98367.099999999977</v>
      </c>
      <c r="I40" t="str">
        <f t="shared" si="5"/>
        <v>California</v>
      </c>
      <c r="J40" t="str">
        <f t="shared" si="0"/>
        <v>San Diego County</v>
      </c>
      <c r="K40">
        <f t="shared" si="1"/>
        <v>1768</v>
      </c>
    </row>
    <row r="41" spans="1:11">
      <c r="A41" t="s">
        <v>19</v>
      </c>
      <c r="B41" t="s">
        <v>103</v>
      </c>
      <c r="C41" s="5">
        <v>21911.9</v>
      </c>
      <c r="D41" s="5">
        <v>307</v>
      </c>
      <c r="E41" t="str">
        <f t="shared" si="2"/>
        <v>California</v>
      </c>
      <c r="F41" t="str">
        <f t="shared" si="3"/>
        <v>San Francisco</v>
      </c>
      <c r="G41">
        <f t="shared" si="4"/>
        <v>21911.9</v>
      </c>
      <c r="I41" t="str">
        <f t="shared" si="5"/>
        <v>California</v>
      </c>
      <c r="J41" t="str">
        <f t="shared" si="0"/>
        <v>San Francisco</v>
      </c>
      <c r="K41">
        <f t="shared" si="1"/>
        <v>307</v>
      </c>
    </row>
    <row r="42" spans="1:11">
      <c r="A42" t="s">
        <v>19</v>
      </c>
      <c r="B42" t="s">
        <v>201</v>
      </c>
      <c r="C42" s="5">
        <v>5441.2</v>
      </c>
      <c r="D42" s="5">
        <v>117</v>
      </c>
      <c r="E42" t="str">
        <f t="shared" si="2"/>
        <v>California</v>
      </c>
      <c r="F42" t="str">
        <f t="shared" si="3"/>
        <v>San Joaquin County</v>
      </c>
      <c r="G42">
        <f t="shared" si="4"/>
        <v>5441.2</v>
      </c>
      <c r="I42" t="str">
        <f t="shared" si="5"/>
        <v>California</v>
      </c>
      <c r="J42" t="str">
        <f t="shared" si="0"/>
        <v>San Joaquin County</v>
      </c>
      <c r="K42">
        <f t="shared" si="1"/>
        <v>117</v>
      </c>
    </row>
    <row r="43" spans="1:11">
      <c r="A43" t="s">
        <v>19</v>
      </c>
      <c r="B43" t="s">
        <v>429</v>
      </c>
      <c r="C43" s="5">
        <v>392.8</v>
      </c>
      <c r="D43" s="5">
        <v>13</v>
      </c>
      <c r="E43" t="str">
        <f t="shared" si="2"/>
        <v>California</v>
      </c>
      <c r="F43" t="str">
        <f t="shared" si="3"/>
        <v>San Luis Obispo County</v>
      </c>
      <c r="G43">
        <f t="shared" si="4"/>
        <v>392.8</v>
      </c>
      <c r="I43" t="str">
        <f t="shared" si="5"/>
        <v>California</v>
      </c>
      <c r="J43" t="str">
        <f t="shared" si="0"/>
        <v>San Luis Obispo County</v>
      </c>
      <c r="K43">
        <f t="shared" si="1"/>
        <v>13</v>
      </c>
    </row>
    <row r="44" spans="1:11">
      <c r="A44" t="s">
        <v>19</v>
      </c>
      <c r="B44" t="s">
        <v>72</v>
      </c>
      <c r="C44" s="5">
        <v>16172.000000000005</v>
      </c>
      <c r="D44" s="5">
        <v>364</v>
      </c>
      <c r="E44" t="str">
        <f t="shared" si="2"/>
        <v>California</v>
      </c>
      <c r="F44" t="str">
        <f t="shared" si="3"/>
        <v>San Mateo County</v>
      </c>
      <c r="G44">
        <f t="shared" si="4"/>
        <v>16172.000000000005</v>
      </c>
      <c r="I44" t="str">
        <f t="shared" si="5"/>
        <v>California</v>
      </c>
      <c r="J44" t="str">
        <f t="shared" si="0"/>
        <v>San Mateo County</v>
      </c>
      <c r="K44">
        <f t="shared" si="1"/>
        <v>364</v>
      </c>
    </row>
    <row r="45" spans="1:11">
      <c r="A45" t="s">
        <v>19</v>
      </c>
      <c r="B45" t="s">
        <v>74</v>
      </c>
      <c r="C45" s="5">
        <v>4334.9999999999991</v>
      </c>
      <c r="D45" s="5">
        <v>95</v>
      </c>
      <c r="E45" t="str">
        <f t="shared" si="2"/>
        <v>California</v>
      </c>
      <c r="F45" t="str">
        <f t="shared" si="3"/>
        <v>Santa Barbara County</v>
      </c>
      <c r="G45">
        <f t="shared" si="4"/>
        <v>4334.9999999999991</v>
      </c>
      <c r="I45" t="str">
        <f t="shared" si="5"/>
        <v>California</v>
      </c>
      <c r="J45" t="str">
        <f t="shared" si="0"/>
        <v>Santa Barbara County</v>
      </c>
      <c r="K45">
        <f t="shared" si="1"/>
        <v>95</v>
      </c>
    </row>
    <row r="46" spans="1:11">
      <c r="A46" t="s">
        <v>19</v>
      </c>
      <c r="B46" t="s">
        <v>77</v>
      </c>
      <c r="C46" s="5">
        <v>37449.000000000007</v>
      </c>
      <c r="D46" s="5">
        <v>737</v>
      </c>
      <c r="E46" t="str">
        <f t="shared" si="2"/>
        <v>California</v>
      </c>
      <c r="F46" t="str">
        <f t="shared" si="3"/>
        <v>Santa Clara County</v>
      </c>
      <c r="G46">
        <f t="shared" si="4"/>
        <v>37449.000000000007</v>
      </c>
      <c r="I46" t="str">
        <f t="shared" si="5"/>
        <v>California</v>
      </c>
      <c r="J46" t="str">
        <f t="shared" si="0"/>
        <v>Santa Clara County</v>
      </c>
      <c r="K46">
        <f t="shared" si="1"/>
        <v>737</v>
      </c>
    </row>
    <row r="47" spans="1:11">
      <c r="A47" t="s">
        <v>19</v>
      </c>
      <c r="B47" t="s">
        <v>309</v>
      </c>
      <c r="C47" s="5">
        <v>2447.5</v>
      </c>
      <c r="D47" s="5">
        <v>39</v>
      </c>
      <c r="E47" t="str">
        <f t="shared" si="2"/>
        <v>California</v>
      </c>
      <c r="F47" t="str">
        <f t="shared" si="3"/>
        <v>Santa Cruz County</v>
      </c>
      <c r="G47">
        <f t="shared" si="4"/>
        <v>2447.5</v>
      </c>
      <c r="I47" t="str">
        <f t="shared" si="5"/>
        <v>California</v>
      </c>
      <c r="J47" t="str">
        <f t="shared" si="0"/>
        <v>Santa Cruz County</v>
      </c>
      <c r="K47">
        <f t="shared" si="1"/>
        <v>39</v>
      </c>
    </row>
    <row r="48" spans="1:11">
      <c r="A48" t="s">
        <v>19</v>
      </c>
      <c r="B48" t="s">
        <v>1116</v>
      </c>
      <c r="C48" s="5">
        <v>3391.1</v>
      </c>
      <c r="D48" s="5">
        <v>56</v>
      </c>
      <c r="E48" t="str">
        <f t="shared" si="2"/>
        <v>California</v>
      </c>
      <c r="F48" t="str">
        <f t="shared" si="3"/>
        <v>Shasta County</v>
      </c>
      <c r="G48">
        <f t="shared" si="4"/>
        <v>3391.1</v>
      </c>
      <c r="I48" t="str">
        <f t="shared" si="5"/>
        <v>California</v>
      </c>
      <c r="J48" t="str">
        <f t="shared" si="0"/>
        <v>Shasta County</v>
      </c>
      <c r="K48">
        <f t="shared" si="1"/>
        <v>56</v>
      </c>
    </row>
    <row r="49" spans="1:11">
      <c r="A49" t="s">
        <v>19</v>
      </c>
      <c r="B49" t="s">
        <v>700</v>
      </c>
      <c r="C49" s="5">
        <v>30.8</v>
      </c>
      <c r="D49" s="5">
        <v>2</v>
      </c>
      <c r="E49" t="str">
        <f t="shared" si="2"/>
        <v>California</v>
      </c>
      <c r="F49" t="str">
        <f t="shared" si="3"/>
        <v>Sierra County</v>
      </c>
      <c r="G49">
        <f t="shared" si="4"/>
        <v>30.8</v>
      </c>
      <c r="I49" t="str">
        <f t="shared" si="5"/>
        <v>California</v>
      </c>
      <c r="J49" t="str">
        <f t="shared" si="0"/>
        <v>Sierra County</v>
      </c>
      <c r="K49">
        <f t="shared" si="1"/>
        <v>2</v>
      </c>
    </row>
    <row r="50" spans="1:11">
      <c r="A50" t="s">
        <v>19</v>
      </c>
      <c r="B50" t="s">
        <v>268</v>
      </c>
      <c r="C50" s="5">
        <v>332.3</v>
      </c>
      <c r="D50" s="5">
        <v>8</v>
      </c>
      <c r="E50" t="str">
        <f t="shared" si="2"/>
        <v>California</v>
      </c>
      <c r="F50" t="str">
        <f t="shared" si="3"/>
        <v>Siskiyou County</v>
      </c>
      <c r="G50">
        <f t="shared" si="4"/>
        <v>332.3</v>
      </c>
      <c r="I50" t="str">
        <f t="shared" si="5"/>
        <v>California</v>
      </c>
      <c r="J50" t="str">
        <f t="shared" si="0"/>
        <v>Siskiyou County</v>
      </c>
      <c r="K50">
        <f t="shared" si="1"/>
        <v>8</v>
      </c>
    </row>
    <row r="51" spans="1:11">
      <c r="A51" t="s">
        <v>19</v>
      </c>
      <c r="B51" t="s">
        <v>377</v>
      </c>
      <c r="C51" s="5">
        <v>3175.9999999999995</v>
      </c>
      <c r="D51" s="5">
        <v>52</v>
      </c>
      <c r="E51" t="str">
        <f t="shared" si="2"/>
        <v>California</v>
      </c>
      <c r="F51" t="str">
        <f t="shared" si="3"/>
        <v>Solano County</v>
      </c>
      <c r="G51">
        <f t="shared" si="4"/>
        <v>3175.9999999999995</v>
      </c>
      <c r="I51" t="str">
        <f t="shared" si="5"/>
        <v>California</v>
      </c>
      <c r="J51" t="str">
        <f t="shared" si="0"/>
        <v>Solano County</v>
      </c>
      <c r="K51">
        <f t="shared" si="1"/>
        <v>52</v>
      </c>
    </row>
    <row r="52" spans="1:11">
      <c r="A52" t="s">
        <v>19</v>
      </c>
      <c r="B52" t="s">
        <v>108</v>
      </c>
      <c r="C52" s="5">
        <v>20939.600000000002</v>
      </c>
      <c r="D52" s="5">
        <v>295</v>
      </c>
      <c r="E52" t="str">
        <f t="shared" si="2"/>
        <v>California</v>
      </c>
      <c r="F52" t="str">
        <f t="shared" si="3"/>
        <v>Sonoma County</v>
      </c>
      <c r="G52">
        <f t="shared" si="4"/>
        <v>20939.600000000002</v>
      </c>
      <c r="I52" t="str">
        <f t="shared" si="5"/>
        <v>California</v>
      </c>
      <c r="J52" t="str">
        <f t="shared" si="0"/>
        <v>Sonoma County</v>
      </c>
      <c r="K52">
        <f t="shared" si="1"/>
        <v>295</v>
      </c>
    </row>
    <row r="53" spans="1:11">
      <c r="A53" t="s">
        <v>19</v>
      </c>
      <c r="B53" t="s">
        <v>110</v>
      </c>
      <c r="C53" s="5">
        <v>10185.899999999996</v>
      </c>
      <c r="D53" s="5">
        <v>195</v>
      </c>
      <c r="E53" t="str">
        <f t="shared" si="2"/>
        <v>California</v>
      </c>
      <c r="F53" t="str">
        <f t="shared" si="3"/>
        <v>Stanislaus County</v>
      </c>
      <c r="G53">
        <f t="shared" si="4"/>
        <v>10185.899999999996</v>
      </c>
      <c r="I53" t="str">
        <f t="shared" si="5"/>
        <v>California</v>
      </c>
      <c r="J53" t="str">
        <f t="shared" si="0"/>
        <v>Stanislaus County</v>
      </c>
      <c r="K53">
        <f t="shared" si="1"/>
        <v>195</v>
      </c>
    </row>
    <row r="54" spans="1:11">
      <c r="A54" t="s">
        <v>19</v>
      </c>
      <c r="B54" t="s">
        <v>292</v>
      </c>
      <c r="C54" s="5">
        <v>958.7</v>
      </c>
      <c r="D54" s="5">
        <v>20</v>
      </c>
      <c r="E54" t="str">
        <f t="shared" si="2"/>
        <v>California</v>
      </c>
      <c r="F54" t="str">
        <f t="shared" si="3"/>
        <v>Sutter County</v>
      </c>
      <c r="G54">
        <f t="shared" si="4"/>
        <v>958.7</v>
      </c>
      <c r="I54" t="str">
        <f t="shared" si="5"/>
        <v>California</v>
      </c>
      <c r="J54" t="str">
        <f t="shared" si="0"/>
        <v>Sutter County</v>
      </c>
      <c r="K54">
        <f t="shared" si="1"/>
        <v>20</v>
      </c>
    </row>
    <row r="55" spans="1:11">
      <c r="A55" t="s">
        <v>19</v>
      </c>
      <c r="B55" t="s">
        <v>79</v>
      </c>
      <c r="C55" s="5">
        <v>323</v>
      </c>
      <c r="D55" s="5">
        <v>6</v>
      </c>
      <c r="E55" t="str">
        <f t="shared" si="2"/>
        <v>California</v>
      </c>
      <c r="F55" t="str">
        <f t="shared" si="3"/>
        <v>Tehama County</v>
      </c>
      <c r="G55">
        <f t="shared" si="4"/>
        <v>323</v>
      </c>
      <c r="I55" t="str">
        <f t="shared" si="5"/>
        <v>California</v>
      </c>
      <c r="J55" t="str">
        <f t="shared" si="0"/>
        <v>Tehama County</v>
      </c>
      <c r="K55">
        <f t="shared" si="1"/>
        <v>6</v>
      </c>
    </row>
    <row r="56" spans="1:11">
      <c r="A56" t="s">
        <v>19</v>
      </c>
      <c r="B56" t="s">
        <v>608</v>
      </c>
      <c r="C56" s="5">
        <v>167.70000000000002</v>
      </c>
      <c r="D56" s="5">
        <v>5</v>
      </c>
      <c r="E56" t="str">
        <f t="shared" si="2"/>
        <v>California</v>
      </c>
      <c r="F56" t="str">
        <f t="shared" si="3"/>
        <v>Trinity County</v>
      </c>
      <c r="G56">
        <f t="shared" si="4"/>
        <v>167.70000000000002</v>
      </c>
      <c r="I56" t="str">
        <f t="shared" si="5"/>
        <v>California</v>
      </c>
      <c r="J56" t="str">
        <f t="shared" si="0"/>
        <v>Trinity County</v>
      </c>
      <c r="K56">
        <f t="shared" si="1"/>
        <v>5</v>
      </c>
    </row>
    <row r="57" spans="1:11">
      <c r="A57" t="s">
        <v>19</v>
      </c>
      <c r="B57" t="s">
        <v>113</v>
      </c>
      <c r="C57" s="5">
        <v>3978.5</v>
      </c>
      <c r="D57" s="5">
        <v>94</v>
      </c>
      <c r="E57" t="str">
        <f t="shared" si="2"/>
        <v>California</v>
      </c>
      <c r="F57" t="str">
        <f t="shared" si="3"/>
        <v>Tulare County</v>
      </c>
      <c r="G57">
        <f t="shared" si="4"/>
        <v>3978.5</v>
      </c>
      <c r="I57" t="str">
        <f t="shared" si="5"/>
        <v>California</v>
      </c>
      <c r="J57" t="str">
        <f t="shared" si="0"/>
        <v>Tulare County</v>
      </c>
      <c r="K57">
        <f t="shared" si="1"/>
        <v>94</v>
      </c>
    </row>
    <row r="58" spans="1:11">
      <c r="A58" t="s">
        <v>19</v>
      </c>
      <c r="B58" t="s">
        <v>997</v>
      </c>
      <c r="C58" s="5">
        <v>1405</v>
      </c>
      <c r="D58" s="5">
        <v>28</v>
      </c>
      <c r="E58" t="str">
        <f t="shared" si="2"/>
        <v>California</v>
      </c>
      <c r="F58" t="str">
        <f t="shared" si="3"/>
        <v>Tuolumne County</v>
      </c>
      <c r="G58">
        <f t="shared" si="4"/>
        <v>1405</v>
      </c>
      <c r="I58" t="str">
        <f t="shared" si="5"/>
        <v>California</v>
      </c>
      <c r="J58" t="str">
        <f t="shared" si="0"/>
        <v>Tuolumne County</v>
      </c>
      <c r="K58">
        <f t="shared" si="1"/>
        <v>28</v>
      </c>
    </row>
    <row r="59" spans="1:11">
      <c r="A59" t="s">
        <v>19</v>
      </c>
      <c r="B59" t="s">
        <v>82</v>
      </c>
      <c r="C59" s="5">
        <v>9869.0999999999985</v>
      </c>
      <c r="D59" s="5">
        <v>179</v>
      </c>
      <c r="E59" t="str">
        <f t="shared" si="2"/>
        <v>California</v>
      </c>
      <c r="F59" t="str">
        <f t="shared" si="3"/>
        <v>Ventura County</v>
      </c>
      <c r="G59">
        <f t="shared" si="4"/>
        <v>9869.0999999999985</v>
      </c>
      <c r="I59" t="str">
        <f t="shared" si="5"/>
        <v>California</v>
      </c>
      <c r="J59" t="str">
        <f t="shared" si="0"/>
        <v>Ventura County</v>
      </c>
      <c r="K59">
        <f t="shared" si="1"/>
        <v>179</v>
      </c>
    </row>
    <row r="60" spans="1:11">
      <c r="A60" t="s">
        <v>19</v>
      </c>
      <c r="B60" t="s">
        <v>243</v>
      </c>
      <c r="C60" s="5">
        <v>615.29999999999995</v>
      </c>
      <c r="D60" s="5">
        <v>15</v>
      </c>
      <c r="E60" t="str">
        <f t="shared" si="2"/>
        <v>California</v>
      </c>
      <c r="F60" t="str">
        <f t="shared" si="3"/>
        <v>Yolo County</v>
      </c>
      <c r="G60">
        <f t="shared" si="4"/>
        <v>615.29999999999995</v>
      </c>
      <c r="I60" t="str">
        <f t="shared" si="5"/>
        <v>California</v>
      </c>
      <c r="J60" t="str">
        <f t="shared" si="0"/>
        <v>Yolo County</v>
      </c>
      <c r="K60">
        <f t="shared" si="1"/>
        <v>15</v>
      </c>
    </row>
    <row r="61" spans="1:11">
      <c r="A61" t="s">
        <v>19</v>
      </c>
      <c r="B61" t="s">
        <v>1911</v>
      </c>
      <c r="C61" s="5">
        <v>285</v>
      </c>
      <c r="D61" s="5">
        <v>3</v>
      </c>
      <c r="E61" t="str">
        <f t="shared" si="2"/>
        <v>California</v>
      </c>
      <c r="F61" t="str">
        <f t="shared" si="3"/>
        <v>Yuba County</v>
      </c>
      <c r="G61">
        <f t="shared" si="4"/>
        <v>285</v>
      </c>
      <c r="I61" t="str">
        <f t="shared" si="5"/>
        <v>California</v>
      </c>
      <c r="J61" t="str">
        <f t="shared" si="0"/>
        <v>Yuba County</v>
      </c>
      <c r="K61">
        <f t="shared" si="1"/>
        <v>3</v>
      </c>
    </row>
    <row r="62" spans="1:11">
      <c r="A62" t="s">
        <v>2539</v>
      </c>
      <c r="C62" s="5">
        <v>649019.79999999981</v>
      </c>
      <c r="D62" s="5">
        <v>11997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topLeftCell="A2" workbookViewId="0">
      <selection activeCell="B6" sqref="B6"/>
    </sheetView>
  </sheetViews>
  <sheetFormatPr defaultRowHeight="14"/>
  <cols>
    <col min="2" max="2" width="19.08203125" bestFit="1" customWidth="1"/>
    <col min="3" max="3" width="8.08203125" bestFit="1" customWidth="1"/>
    <col min="4" max="4" width="9.08203125" bestFit="1" customWidth="1"/>
    <col min="5" max="5" width="7.4140625" bestFit="1" customWidth="1"/>
    <col min="6" max="6" width="10" bestFit="1" customWidth="1"/>
    <col min="7" max="7" width="9.4140625" bestFit="1" customWidth="1"/>
    <col min="8" max="8" width="15.6640625" bestFit="1" customWidth="1"/>
    <col min="9" max="9" width="10.6640625" bestFit="1" customWidth="1"/>
    <col min="10" max="10" width="7.75" bestFit="1" customWidth="1"/>
    <col min="11" max="11" width="8.75" bestFit="1" customWidth="1"/>
    <col min="12" max="12" width="19.6640625" bestFit="1" customWidth="1"/>
    <col min="13" max="13" width="13.33203125" bestFit="1" customWidth="1"/>
    <col min="14" max="14" width="9.33203125" bestFit="1" customWidth="1"/>
    <col min="15" max="15" width="12.08203125" bestFit="1" customWidth="1"/>
  </cols>
  <sheetData>
    <row r="1" spans="1:15">
      <c r="A1" t="s">
        <v>0</v>
      </c>
      <c r="B1" t="s">
        <v>1</v>
      </c>
      <c r="C1" t="s">
        <v>2</v>
      </c>
      <c r="D1" t="s">
        <v>3</v>
      </c>
      <c r="E1" t="s">
        <v>4</v>
      </c>
      <c r="F1" t="s">
        <v>5</v>
      </c>
      <c r="G1" t="s">
        <v>6</v>
      </c>
      <c r="H1" t="s">
        <v>7</v>
      </c>
      <c r="I1" t="s">
        <v>8</v>
      </c>
      <c r="J1" t="s">
        <v>9</v>
      </c>
      <c r="K1" t="s">
        <v>10</v>
      </c>
      <c r="L1" t="s">
        <v>11</v>
      </c>
      <c r="M1" s="2" t="s">
        <v>12</v>
      </c>
      <c r="N1" s="2" t="s">
        <v>13</v>
      </c>
      <c r="O1" s="2" t="s">
        <v>14</v>
      </c>
    </row>
    <row r="2" spans="1:15">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f t="array" ref="O2">_xlfn.IFS(orders[[#This Row],[Customer Gender]]="M","Male", orders[[#This Row],[Customer Gender]]="F","Female", orders[[#This Row],[Customer Gender]]="O","Other", TRUE,"Unknown")</f>
        <v>Unknown</v>
      </c>
    </row>
    <row r="3" spans="1:15">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f t="array" ref="O3">_xlfn.IFS(orders[[#This Row],[Customer Gender]]="M","Male", orders[[#This Row],[Customer Gender]]="F","Female", orders[[#This Row],[Customer Gender]]="O","Other", TRUE,"Unknown")</f>
        <v>Male</v>
      </c>
    </row>
    <row r="4" spans="1:15">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f t="array" ref="O4">_xlfn.IFS(orders[[#This Row],[Customer Gender]]="M","Male", orders[[#This Row],[Customer Gender]]="F","Female", orders[[#This Row],[Customer Gender]]="O","Other", TRUE,"Unknown")</f>
        <v>Female</v>
      </c>
    </row>
    <row r="5" spans="1:15">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f t="array" ref="O5">_xlfn.IFS(orders[[#This Row],[Customer Gender]]="M","Male", orders[[#This Row],[Customer Gender]]="F","Female", orders[[#This Row],[Customer Gender]]="O","Other", TRUE,"Unknown")</f>
        <v>Female</v>
      </c>
    </row>
    <row r="6" spans="1:15">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f t="array" ref="O6">_xlfn.IFS(orders[[#This Row],[Customer Gender]]="M","Male", orders[[#This Row],[Customer Gender]]="F","Female", orders[[#This Row],[Customer Gender]]="O","Other", TRUE,"Unknown")</f>
        <v>Female</v>
      </c>
    </row>
    <row r="7" spans="1:15">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f t="array" ref="O7">_xlfn.IFS(orders[[#This Row],[Customer Gender]]="M","Male", orders[[#This Row],[Customer Gender]]="F","Female", orders[[#This Row],[Customer Gender]]="O","Other", TRUE,"Unknown")</f>
        <v>Male</v>
      </c>
    </row>
    <row r="8" spans="1:15">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f t="array" ref="O8">_xlfn.IFS(orders[[#This Row],[Customer Gender]]="M","Male", orders[[#This Row],[Customer Gender]]="F","Female", orders[[#This Row],[Customer Gender]]="O","Other", TRUE,"Unknown")</f>
        <v>Female</v>
      </c>
    </row>
    <row r="9" spans="1:15">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f t="array" ref="O9">_xlfn.IFS(orders[[#This Row],[Customer Gender]]="M","Male", orders[[#This Row],[Customer Gender]]="F","Female", orders[[#This Row],[Customer Gender]]="O","Other", TRUE,"Unknown")</f>
        <v>Male</v>
      </c>
    </row>
    <row r="10" spans="1:15">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f t="array" ref="O10">_xlfn.IFS(orders[[#This Row],[Customer Gender]]="M","Male", orders[[#This Row],[Customer Gender]]="F","Female", orders[[#This Row],[Customer Gender]]="O","Other", TRUE,"Unknown")</f>
        <v>Female</v>
      </c>
    </row>
    <row r="11" spans="1:15">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f t="array" ref="O11">_xlfn.IFS(orders[[#This Row],[Customer Gender]]="M","Male", orders[[#This Row],[Customer Gender]]="F","Female", orders[[#This Row],[Customer Gender]]="O","Other", TRUE,"Unknown")</f>
        <v>Male</v>
      </c>
    </row>
    <row r="12" spans="1:15">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f t="array" ref="O12">_xlfn.IFS(orders[[#This Row],[Customer Gender]]="M","Male", orders[[#This Row],[Customer Gender]]="F","Female", orders[[#This Row],[Customer Gender]]="O","Other", TRUE,"Unknown")</f>
        <v>Female</v>
      </c>
    </row>
    <row r="13" spans="1:15">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f t="array" ref="O13">_xlfn.IFS(orders[[#This Row],[Customer Gender]]="M","Male", orders[[#This Row],[Customer Gender]]="F","Female", orders[[#This Row],[Customer Gender]]="O","Other", TRUE,"Unknown")</f>
        <v>Female</v>
      </c>
    </row>
    <row r="14" spans="1:15">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f t="array" ref="O14">_xlfn.IFS(orders[[#This Row],[Customer Gender]]="M","Male", orders[[#This Row],[Customer Gender]]="F","Female", orders[[#This Row],[Customer Gender]]="O","Other", TRUE,"Unknown")</f>
        <v>Female</v>
      </c>
    </row>
    <row r="15" spans="1:15">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f t="array" ref="O15">_xlfn.IFS(orders[[#This Row],[Customer Gender]]="M","Male", orders[[#This Row],[Customer Gender]]="F","Female", orders[[#This Row],[Customer Gender]]="O","Other", TRUE,"Unknown")</f>
        <v>Male</v>
      </c>
    </row>
    <row r="16" spans="1:15">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f t="array" ref="O16">_xlfn.IFS(orders[[#This Row],[Customer Gender]]="M","Male", orders[[#This Row],[Customer Gender]]="F","Female", orders[[#This Row],[Customer Gender]]="O","Other", TRUE,"Unknown")</f>
        <v>Male</v>
      </c>
    </row>
    <row r="17" spans="1:15">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f t="array" ref="O17">_xlfn.IFS(orders[[#This Row],[Customer Gender]]="M","Male", orders[[#This Row],[Customer Gender]]="F","Female", orders[[#This Row],[Customer Gender]]="O","Other", TRUE,"Unknown")</f>
        <v>Male</v>
      </c>
    </row>
    <row r="18" spans="1:15">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f t="array" ref="O18">_xlfn.IFS(orders[[#This Row],[Customer Gender]]="M","Male", orders[[#This Row],[Customer Gender]]="F","Female", orders[[#This Row],[Customer Gender]]="O","Other", TRUE,"Unknown")</f>
        <v>Female</v>
      </c>
    </row>
    <row r="19" spans="1:15">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f t="array" ref="O19">_xlfn.IFS(orders[[#This Row],[Customer Gender]]="M","Male", orders[[#This Row],[Customer Gender]]="F","Female", orders[[#This Row],[Customer Gender]]="O","Other", TRUE,"Unknown")</f>
        <v>Female</v>
      </c>
    </row>
    <row r="20" spans="1:15">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f t="array" ref="O20">_xlfn.IFS(orders[[#This Row],[Customer Gender]]="M","Male", orders[[#This Row],[Customer Gender]]="F","Female", orders[[#This Row],[Customer Gender]]="O","Other", TRUE,"Unknown")</f>
        <v>Female</v>
      </c>
    </row>
    <row r="21" spans="1:15">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f t="array" ref="O21">_xlfn.IFS(orders[[#This Row],[Customer Gender]]="M","Male", orders[[#This Row],[Customer Gender]]="F","Female", orders[[#This Row],[Customer Gender]]="O","Other", TRUE,"Unknown")</f>
        <v>Female</v>
      </c>
    </row>
    <row r="22" spans="1:15">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f t="array" ref="O22">_xlfn.IFS(orders[[#This Row],[Customer Gender]]="M","Male", orders[[#This Row],[Customer Gender]]="F","Female", orders[[#This Row],[Customer Gender]]="O","Other", TRUE,"Unknown")</f>
        <v>Female</v>
      </c>
    </row>
    <row r="23" spans="1:15">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f t="array" ref="O23">_xlfn.IFS(orders[[#This Row],[Customer Gender]]="M","Male", orders[[#This Row],[Customer Gender]]="F","Female", orders[[#This Row],[Customer Gender]]="O","Other", TRUE,"Unknown")</f>
        <v>Female</v>
      </c>
    </row>
    <row r="24" spans="1:15">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f t="array" ref="O24">_xlfn.IFS(orders[[#This Row],[Customer Gender]]="M","Male", orders[[#This Row],[Customer Gender]]="F","Female", orders[[#This Row],[Customer Gender]]="O","Other", TRUE,"Unknown")</f>
        <v>Male</v>
      </c>
    </row>
    <row r="25" spans="1:15">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f t="array" ref="O25">_xlfn.IFS(orders[[#This Row],[Customer Gender]]="M","Male", orders[[#This Row],[Customer Gender]]="F","Female", orders[[#This Row],[Customer Gender]]="O","Other", TRUE,"Unknown")</f>
        <v>Female</v>
      </c>
    </row>
    <row r="26" spans="1:15">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f t="array" ref="O26">_xlfn.IFS(orders[[#This Row],[Customer Gender]]="M","Male", orders[[#This Row],[Customer Gender]]="F","Female", orders[[#This Row],[Customer Gender]]="O","Other", TRUE,"Unknown")</f>
        <v>Female</v>
      </c>
    </row>
    <row r="27" spans="1:15">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f t="array" ref="O27">_xlfn.IFS(orders[[#This Row],[Customer Gender]]="M","Male", orders[[#This Row],[Customer Gender]]="F","Female", orders[[#This Row],[Customer Gender]]="O","Other", TRUE,"Unknown")</f>
        <v>Female</v>
      </c>
    </row>
    <row r="28" spans="1:15">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f t="array" ref="O28">_xlfn.IFS(orders[[#This Row],[Customer Gender]]="M","Male", orders[[#This Row],[Customer Gender]]="F","Female", orders[[#This Row],[Customer Gender]]="O","Other", TRUE,"Unknown")</f>
        <v>Male</v>
      </c>
    </row>
    <row r="29" spans="1:15">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f t="array" ref="O29">_xlfn.IFS(orders[[#This Row],[Customer Gender]]="M","Male", orders[[#This Row],[Customer Gender]]="F","Female", orders[[#This Row],[Customer Gender]]="O","Other", TRUE,"Unknown")</f>
        <v>Unknown</v>
      </c>
    </row>
    <row r="30" spans="1:15">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f t="array" ref="O30">_xlfn.IFS(orders[[#This Row],[Customer Gender]]="M","Male", orders[[#This Row],[Customer Gender]]="F","Female", orders[[#This Row],[Customer Gender]]="O","Other", TRUE,"Unknown")</f>
        <v>Unknown</v>
      </c>
    </row>
    <row r="31" spans="1:15">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f t="array" ref="O31">_xlfn.IFS(orders[[#This Row],[Customer Gender]]="M","Male", orders[[#This Row],[Customer Gender]]="F","Female", orders[[#This Row],[Customer Gender]]="O","Other", TRUE,"Unknown")</f>
        <v>Female</v>
      </c>
    </row>
    <row r="32" spans="1:15">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f t="array" ref="O32">_xlfn.IFS(orders[[#This Row],[Customer Gender]]="M","Male", orders[[#This Row],[Customer Gender]]="F","Female", orders[[#This Row],[Customer Gender]]="O","Other", TRUE,"Unknown")</f>
        <v>Male</v>
      </c>
    </row>
    <row r="33" spans="1:15">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f t="array" ref="O33">_xlfn.IFS(orders[[#This Row],[Customer Gender]]="M","Male", orders[[#This Row],[Customer Gender]]="F","Female", orders[[#This Row],[Customer Gender]]="O","Other", TRUE,"Unknown")</f>
        <v>Male</v>
      </c>
    </row>
    <row r="34" spans="1:15">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f t="array" ref="O34">_xlfn.IFS(orders[[#This Row],[Customer Gender]]="M","Male", orders[[#This Row],[Customer Gender]]="F","Female", orders[[#This Row],[Customer Gender]]="O","Other", TRUE,"Unknown")</f>
        <v>Male</v>
      </c>
    </row>
    <row r="35" spans="1:15">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f t="array" ref="O35">_xlfn.IFS(orders[[#This Row],[Customer Gender]]="M","Male", orders[[#This Row],[Customer Gender]]="F","Female", orders[[#This Row],[Customer Gender]]="O","Other", TRUE,"Unknown")</f>
        <v>Other</v>
      </c>
    </row>
    <row r="36" spans="1:15">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f t="array" ref="O36">_xlfn.IFS(orders[[#This Row],[Customer Gender]]="M","Male", orders[[#This Row],[Customer Gender]]="F","Female", orders[[#This Row],[Customer Gender]]="O","Other", TRUE,"Unknown")</f>
        <v>Male</v>
      </c>
    </row>
    <row r="37" spans="1:15">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f t="array" ref="O37">_xlfn.IFS(orders[[#This Row],[Customer Gender]]="M","Male", orders[[#This Row],[Customer Gender]]="F","Female", orders[[#This Row],[Customer Gender]]="O","Other", TRUE,"Unknown")</f>
        <v>Male</v>
      </c>
    </row>
    <row r="38" spans="1:15">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f t="array" ref="O38">_xlfn.IFS(orders[[#This Row],[Customer Gender]]="M","Male", orders[[#This Row],[Customer Gender]]="F","Female", orders[[#This Row],[Customer Gender]]="O","Other", TRUE,"Unknown")</f>
        <v>Male</v>
      </c>
    </row>
    <row r="39" spans="1:15">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f t="array" ref="O39">_xlfn.IFS(orders[[#This Row],[Customer Gender]]="M","Male", orders[[#This Row],[Customer Gender]]="F","Female", orders[[#This Row],[Customer Gender]]="O","Other", TRUE,"Unknown")</f>
        <v>Male</v>
      </c>
    </row>
    <row r="40" spans="1:15">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f t="array" ref="O40">_xlfn.IFS(orders[[#This Row],[Customer Gender]]="M","Male", orders[[#This Row],[Customer Gender]]="F","Female", orders[[#This Row],[Customer Gender]]="O","Other", TRUE,"Unknown")</f>
        <v>Male</v>
      </c>
    </row>
    <row r="41" spans="1:15">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f t="array" ref="O41">_xlfn.IFS(orders[[#This Row],[Customer Gender]]="M","Male", orders[[#This Row],[Customer Gender]]="F","Female", orders[[#This Row],[Customer Gender]]="O","Other", TRUE,"Unknown")</f>
        <v>Female</v>
      </c>
    </row>
    <row r="42" spans="1:15">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f t="array" ref="O42">_xlfn.IFS(orders[[#This Row],[Customer Gender]]="M","Male", orders[[#This Row],[Customer Gender]]="F","Female", orders[[#This Row],[Customer Gender]]="O","Other", TRUE,"Unknown")</f>
        <v>Female</v>
      </c>
    </row>
    <row r="43" spans="1:15">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f t="array" ref="O43">_xlfn.IFS(orders[[#This Row],[Customer Gender]]="M","Male", orders[[#This Row],[Customer Gender]]="F","Female", orders[[#This Row],[Customer Gender]]="O","Other", TRUE,"Unknown")</f>
        <v>Male</v>
      </c>
    </row>
    <row r="44" spans="1:15">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f t="array" ref="O44">_xlfn.IFS(orders[[#This Row],[Customer Gender]]="M","Male", orders[[#This Row],[Customer Gender]]="F","Female", orders[[#This Row],[Customer Gender]]="O","Other", TRUE,"Unknown")</f>
        <v>Male</v>
      </c>
    </row>
    <row r="45" spans="1:15">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f t="array" ref="O45">_xlfn.IFS(orders[[#This Row],[Customer Gender]]="M","Male", orders[[#This Row],[Customer Gender]]="F","Female", orders[[#This Row],[Customer Gender]]="O","Other", TRUE,"Unknown")</f>
        <v>Female</v>
      </c>
    </row>
    <row r="46" spans="1:15">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f t="array" ref="O46">_xlfn.IFS(orders[[#This Row],[Customer Gender]]="M","Male", orders[[#This Row],[Customer Gender]]="F","Female", orders[[#This Row],[Customer Gender]]="O","Other", TRUE,"Unknown")</f>
        <v>Female</v>
      </c>
    </row>
    <row r="47" spans="1:15">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f t="array" ref="O47">_xlfn.IFS(orders[[#This Row],[Customer Gender]]="M","Male", orders[[#This Row],[Customer Gender]]="F","Female", orders[[#This Row],[Customer Gender]]="O","Other", TRUE,"Unknown")</f>
        <v>Female</v>
      </c>
    </row>
    <row r="48" spans="1:15">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f t="array" ref="O48">_xlfn.IFS(orders[[#This Row],[Customer Gender]]="M","Male", orders[[#This Row],[Customer Gender]]="F","Female", orders[[#This Row],[Customer Gender]]="O","Other", TRUE,"Unknown")</f>
        <v>Male</v>
      </c>
    </row>
    <row r="49" spans="1:15">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f t="array" ref="O49">_xlfn.IFS(orders[[#This Row],[Customer Gender]]="M","Male", orders[[#This Row],[Customer Gender]]="F","Female", orders[[#This Row],[Customer Gender]]="O","Other", TRUE,"Unknown")</f>
        <v>Female</v>
      </c>
    </row>
    <row r="50" spans="1:15">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f t="array" ref="O50">_xlfn.IFS(orders[[#This Row],[Customer Gender]]="M","Male", orders[[#This Row],[Customer Gender]]="F","Female", orders[[#This Row],[Customer Gender]]="O","Other", TRUE,"Unknown")</f>
        <v>Female</v>
      </c>
    </row>
    <row r="51" spans="1:15">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f t="array" ref="O51">_xlfn.IFS(orders[[#This Row],[Customer Gender]]="M","Male", orders[[#This Row],[Customer Gender]]="F","Female", orders[[#This Row],[Customer Gender]]="O","Other", TRUE,"Unknown")</f>
        <v>Female</v>
      </c>
    </row>
    <row r="52" spans="1:15">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f t="array" ref="O52">_xlfn.IFS(orders[[#This Row],[Customer Gender]]="M","Male", orders[[#This Row],[Customer Gender]]="F","Female", orders[[#This Row],[Customer Gender]]="O","Other", TRUE,"Unknown")</f>
        <v>Male</v>
      </c>
    </row>
    <row r="53" spans="1:15">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f t="array" ref="O53">_xlfn.IFS(orders[[#This Row],[Customer Gender]]="M","Male", orders[[#This Row],[Customer Gender]]="F","Female", orders[[#This Row],[Customer Gender]]="O","Other", TRUE,"Unknown")</f>
        <v>Female</v>
      </c>
    </row>
    <row r="54" spans="1:15">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f t="array" ref="O54">_xlfn.IFS(orders[[#This Row],[Customer Gender]]="M","Male", orders[[#This Row],[Customer Gender]]="F","Female", orders[[#This Row],[Customer Gender]]="O","Other", TRUE,"Unknown")</f>
        <v>Male</v>
      </c>
    </row>
    <row r="55" spans="1:15">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f t="array" ref="O55">_xlfn.IFS(orders[[#This Row],[Customer Gender]]="M","Male", orders[[#This Row],[Customer Gender]]="F","Female", orders[[#This Row],[Customer Gender]]="O","Other", TRUE,"Unknown")</f>
        <v>Female</v>
      </c>
    </row>
    <row r="56" spans="1:15">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f t="array" ref="O56">_xlfn.IFS(orders[[#This Row],[Customer Gender]]="M","Male", orders[[#This Row],[Customer Gender]]="F","Female", orders[[#This Row],[Customer Gender]]="O","Other", TRUE,"Unknown")</f>
        <v>Male</v>
      </c>
    </row>
    <row r="57" spans="1:15">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f t="array" ref="O57">_xlfn.IFS(orders[[#This Row],[Customer Gender]]="M","Male", orders[[#This Row],[Customer Gender]]="F","Female", orders[[#This Row],[Customer Gender]]="O","Other", TRUE,"Unknown")</f>
        <v>Male</v>
      </c>
    </row>
    <row r="58" spans="1:15">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f t="array" ref="O58">_xlfn.IFS(orders[[#This Row],[Customer Gender]]="M","Male", orders[[#This Row],[Customer Gender]]="F","Female", orders[[#This Row],[Customer Gender]]="O","Other", TRUE,"Unknown")</f>
        <v>Female</v>
      </c>
    </row>
    <row r="59" spans="1:15">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f t="array" ref="O59">_xlfn.IFS(orders[[#This Row],[Customer Gender]]="M","Male", orders[[#This Row],[Customer Gender]]="F","Female", orders[[#This Row],[Customer Gender]]="O","Other", TRUE,"Unknown")</f>
        <v>Female</v>
      </c>
    </row>
    <row r="60" spans="1:15">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f t="array" ref="O60">_xlfn.IFS(orders[[#This Row],[Customer Gender]]="M","Male", orders[[#This Row],[Customer Gender]]="F","Female", orders[[#This Row],[Customer Gender]]="O","Other", TRUE,"Unknown")</f>
        <v>Male</v>
      </c>
    </row>
    <row r="61" spans="1:15">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f t="array" ref="O61">_xlfn.IFS(orders[[#This Row],[Customer Gender]]="M","Male", orders[[#This Row],[Customer Gender]]="F","Female", orders[[#This Row],[Customer Gender]]="O","Other", TRUE,"Unknown")</f>
        <v>Female</v>
      </c>
    </row>
    <row r="62" spans="1:15">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f t="array" ref="O62">_xlfn.IFS(orders[[#This Row],[Customer Gender]]="M","Male", orders[[#This Row],[Customer Gender]]="F","Female", orders[[#This Row],[Customer Gender]]="O","Other", TRUE,"Unknown")</f>
        <v>Female</v>
      </c>
    </row>
    <row r="63" spans="1:15">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f t="array" ref="O63">_xlfn.IFS(orders[[#This Row],[Customer Gender]]="M","Male", orders[[#This Row],[Customer Gender]]="F","Female", orders[[#This Row],[Customer Gender]]="O","Other", TRUE,"Unknown")</f>
        <v>Female</v>
      </c>
    </row>
    <row r="64" spans="1:15">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f t="array" ref="O64">_xlfn.IFS(orders[[#This Row],[Customer Gender]]="M","Male", orders[[#This Row],[Customer Gender]]="F","Female", orders[[#This Row],[Customer Gender]]="O","Other", TRUE,"Unknown")</f>
        <v>Female</v>
      </c>
    </row>
    <row r="65" spans="1:15">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f t="array" ref="O65">_xlfn.IFS(orders[[#This Row],[Customer Gender]]="M","Male", orders[[#This Row],[Customer Gender]]="F","Female", orders[[#This Row],[Customer Gender]]="O","Other", TRUE,"Unknown")</f>
        <v>Male</v>
      </c>
    </row>
    <row r="66" spans="1:15">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f t="array" ref="O66">_xlfn.IFS(orders[[#This Row],[Customer Gender]]="M","Male", orders[[#This Row],[Customer Gender]]="F","Female", orders[[#This Row],[Customer Gender]]="O","Other", TRUE,"Unknown")</f>
        <v>Female</v>
      </c>
    </row>
    <row r="67" spans="1:15">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f t="array" ref="O67">_xlfn.IFS(orders[[#This Row],[Customer Gender]]="M","Male", orders[[#This Row],[Customer Gender]]="F","Female", orders[[#This Row],[Customer Gender]]="O","Other", TRUE,"Unknown")</f>
        <v>Female</v>
      </c>
    </row>
    <row r="68" spans="1:15">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f t="array" ref="O68">_xlfn.IFS(orders[[#This Row],[Customer Gender]]="M","Male", orders[[#This Row],[Customer Gender]]="F","Female", orders[[#This Row],[Customer Gender]]="O","Other", TRUE,"Unknown")</f>
        <v>Male</v>
      </c>
    </row>
    <row r="69" spans="1:15">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f t="array" ref="O69">_xlfn.IFS(orders[[#This Row],[Customer Gender]]="M","Male", orders[[#This Row],[Customer Gender]]="F","Female", orders[[#This Row],[Customer Gender]]="O","Other", TRUE,"Unknown")</f>
        <v>Female</v>
      </c>
    </row>
    <row r="70" spans="1:15">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f t="array" ref="O70">_xlfn.IFS(orders[[#This Row],[Customer Gender]]="M","Male", orders[[#This Row],[Customer Gender]]="F","Female", orders[[#This Row],[Customer Gender]]="O","Other", TRUE,"Unknown")</f>
        <v>Female</v>
      </c>
    </row>
    <row r="71" spans="1:15">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f t="array" ref="O71">_xlfn.IFS(orders[[#This Row],[Customer Gender]]="M","Male", orders[[#This Row],[Customer Gender]]="F","Female", orders[[#This Row],[Customer Gender]]="O","Other", TRUE,"Unknown")</f>
        <v>Male</v>
      </c>
    </row>
    <row r="72" spans="1:15">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f t="array" ref="O72">_xlfn.IFS(orders[[#This Row],[Customer Gender]]="M","Male", orders[[#This Row],[Customer Gender]]="F","Female", orders[[#This Row],[Customer Gender]]="O","Other", TRUE,"Unknown")</f>
        <v>Male</v>
      </c>
    </row>
    <row r="73" spans="1:15">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f t="array" ref="O73">_xlfn.IFS(orders[[#This Row],[Customer Gender]]="M","Male", orders[[#This Row],[Customer Gender]]="F","Female", orders[[#This Row],[Customer Gender]]="O","Other", TRUE,"Unknown")</f>
        <v>Female</v>
      </c>
    </row>
    <row r="74" spans="1:15">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f t="array" ref="O74">_xlfn.IFS(orders[[#This Row],[Customer Gender]]="M","Male", orders[[#This Row],[Customer Gender]]="F","Female", orders[[#This Row],[Customer Gender]]="O","Other", TRUE,"Unknown")</f>
        <v>Female</v>
      </c>
    </row>
    <row r="75" spans="1:15">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f t="array" ref="O75">_xlfn.IFS(orders[[#This Row],[Customer Gender]]="M","Male", orders[[#This Row],[Customer Gender]]="F","Female", orders[[#This Row],[Customer Gender]]="O","Other", TRUE,"Unknown")</f>
        <v>Female</v>
      </c>
    </row>
    <row r="76" spans="1:15">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f t="array" ref="O76">_xlfn.IFS(orders[[#This Row],[Customer Gender]]="M","Male", orders[[#This Row],[Customer Gender]]="F","Female", orders[[#This Row],[Customer Gender]]="O","Other", TRUE,"Unknown")</f>
        <v>Male</v>
      </c>
    </row>
    <row r="77" spans="1:15">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f t="array" ref="O77">_xlfn.IFS(orders[[#This Row],[Customer Gender]]="M","Male", orders[[#This Row],[Customer Gender]]="F","Female", orders[[#This Row],[Customer Gender]]="O","Other", TRUE,"Unknown")</f>
        <v>Other</v>
      </c>
    </row>
    <row r="78" spans="1:15">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f t="array" ref="O78">_xlfn.IFS(orders[[#This Row],[Customer Gender]]="M","Male", orders[[#This Row],[Customer Gender]]="F","Female", orders[[#This Row],[Customer Gender]]="O","Other", TRUE,"Unknown")</f>
        <v>Female</v>
      </c>
    </row>
    <row r="79" spans="1:15">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f t="array" ref="O79">_xlfn.IFS(orders[[#This Row],[Customer Gender]]="M","Male", orders[[#This Row],[Customer Gender]]="F","Female", orders[[#This Row],[Customer Gender]]="O","Other", TRUE,"Unknown")</f>
        <v>Male</v>
      </c>
    </row>
    <row r="80" spans="1:15">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f t="array" ref="O80">_xlfn.IFS(orders[[#This Row],[Customer Gender]]="M","Male", orders[[#This Row],[Customer Gender]]="F","Female", orders[[#This Row],[Customer Gender]]="O","Other", TRUE,"Unknown")</f>
        <v>Female</v>
      </c>
    </row>
    <row r="81" spans="1:15">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f t="array" ref="O81">_xlfn.IFS(orders[[#This Row],[Customer Gender]]="M","Male", orders[[#This Row],[Customer Gender]]="F","Female", orders[[#This Row],[Customer Gender]]="O","Other", TRUE,"Unknown")</f>
        <v>Female</v>
      </c>
    </row>
    <row r="82" spans="1:15">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f t="array" ref="O82">_xlfn.IFS(orders[[#This Row],[Customer Gender]]="M","Male", orders[[#This Row],[Customer Gender]]="F","Female", orders[[#This Row],[Customer Gender]]="O","Other", TRUE,"Unknown")</f>
        <v>Male</v>
      </c>
    </row>
    <row r="83" spans="1:15">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f t="array" ref="O83">_xlfn.IFS(orders[[#This Row],[Customer Gender]]="M","Male", orders[[#This Row],[Customer Gender]]="F","Female", orders[[#This Row],[Customer Gender]]="O","Other", TRUE,"Unknown")</f>
        <v>Female</v>
      </c>
    </row>
    <row r="84" spans="1:15">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f t="array" ref="O84">_xlfn.IFS(orders[[#This Row],[Customer Gender]]="M","Male", orders[[#This Row],[Customer Gender]]="F","Female", orders[[#This Row],[Customer Gender]]="O","Other", TRUE,"Unknown")</f>
        <v>Male</v>
      </c>
    </row>
    <row r="85" spans="1:15">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f t="array" ref="O85">_xlfn.IFS(orders[[#This Row],[Customer Gender]]="M","Male", orders[[#This Row],[Customer Gender]]="F","Female", orders[[#This Row],[Customer Gender]]="O","Other", TRUE,"Unknown")</f>
        <v>Female</v>
      </c>
    </row>
    <row r="86" spans="1:15">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f t="array" ref="O86">_xlfn.IFS(orders[[#This Row],[Customer Gender]]="M","Male", orders[[#This Row],[Customer Gender]]="F","Female", orders[[#This Row],[Customer Gender]]="O","Other", TRUE,"Unknown")</f>
        <v>Male</v>
      </c>
    </row>
    <row r="87" spans="1:15">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f t="array" ref="O87">_xlfn.IFS(orders[[#This Row],[Customer Gender]]="M","Male", orders[[#This Row],[Customer Gender]]="F","Female", orders[[#This Row],[Customer Gender]]="O","Other", TRUE,"Unknown")</f>
        <v>Male</v>
      </c>
    </row>
    <row r="88" spans="1:15">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f t="array" ref="O88">_xlfn.IFS(orders[[#This Row],[Customer Gender]]="M","Male", orders[[#This Row],[Customer Gender]]="F","Female", orders[[#This Row],[Customer Gender]]="O","Other", TRUE,"Unknown")</f>
        <v>Female</v>
      </c>
    </row>
    <row r="89" spans="1:15">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f t="array" ref="O89">_xlfn.IFS(orders[[#This Row],[Customer Gender]]="M","Male", orders[[#This Row],[Customer Gender]]="F","Female", orders[[#This Row],[Customer Gender]]="O","Other", TRUE,"Unknown")</f>
        <v>Male</v>
      </c>
    </row>
    <row r="90" spans="1:15">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f t="array" ref="O90">_xlfn.IFS(orders[[#This Row],[Customer Gender]]="M","Male", orders[[#This Row],[Customer Gender]]="F","Female", orders[[#This Row],[Customer Gender]]="O","Other", TRUE,"Unknown")</f>
        <v>Male</v>
      </c>
    </row>
    <row r="91" spans="1:15">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f t="array" ref="O91">_xlfn.IFS(orders[[#This Row],[Customer Gender]]="M","Male", orders[[#This Row],[Customer Gender]]="F","Female", orders[[#This Row],[Customer Gender]]="O","Other", TRUE,"Unknown")</f>
        <v>Female</v>
      </c>
    </row>
    <row r="92" spans="1:15">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f t="array" ref="O92">_xlfn.IFS(orders[[#This Row],[Customer Gender]]="M","Male", orders[[#This Row],[Customer Gender]]="F","Female", orders[[#This Row],[Customer Gender]]="O","Other", TRUE,"Unknown")</f>
        <v>Unknown</v>
      </c>
    </row>
    <row r="93" spans="1:15">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f t="array" ref="O93">_xlfn.IFS(orders[[#This Row],[Customer Gender]]="M","Male", orders[[#This Row],[Customer Gender]]="F","Female", orders[[#This Row],[Customer Gender]]="O","Other", TRUE,"Unknown")</f>
        <v>Female</v>
      </c>
    </row>
    <row r="94" spans="1:15">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f t="array" ref="O94">_xlfn.IFS(orders[[#This Row],[Customer Gender]]="M","Male", orders[[#This Row],[Customer Gender]]="F","Female", orders[[#This Row],[Customer Gender]]="O","Other", TRUE,"Unknown")</f>
        <v>Male</v>
      </c>
    </row>
    <row r="95" spans="1:15">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f t="array" ref="O95">_xlfn.IFS(orders[[#This Row],[Customer Gender]]="M","Male", orders[[#This Row],[Customer Gender]]="F","Female", orders[[#This Row],[Customer Gender]]="O","Other", TRUE,"Unknown")</f>
        <v>Unknown</v>
      </c>
    </row>
    <row r="96" spans="1:15">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f t="array" ref="O96">_xlfn.IFS(orders[[#This Row],[Customer Gender]]="M","Male", orders[[#This Row],[Customer Gender]]="F","Female", orders[[#This Row],[Customer Gender]]="O","Other", TRUE,"Unknown")</f>
        <v>Female</v>
      </c>
    </row>
    <row r="97" spans="1:15">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f t="array" ref="O97">_xlfn.IFS(orders[[#This Row],[Customer Gender]]="M","Male", orders[[#This Row],[Customer Gender]]="F","Female", orders[[#This Row],[Customer Gender]]="O","Other", TRUE,"Unknown")</f>
        <v>Female</v>
      </c>
    </row>
    <row r="98" spans="1:15">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f t="array" ref="O98">_xlfn.IFS(orders[[#This Row],[Customer Gender]]="M","Male", orders[[#This Row],[Customer Gender]]="F","Female", orders[[#This Row],[Customer Gender]]="O","Other", TRUE,"Unknown")</f>
        <v>Male</v>
      </c>
    </row>
    <row r="99" spans="1:15">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f t="array" ref="O99">_xlfn.IFS(orders[[#This Row],[Customer Gender]]="M","Male", orders[[#This Row],[Customer Gender]]="F","Female", orders[[#This Row],[Customer Gender]]="O","Other", TRUE,"Unknown")</f>
        <v>Male</v>
      </c>
    </row>
    <row r="100" spans="1:15">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f t="array" ref="O100">_xlfn.IFS(orders[[#This Row],[Customer Gender]]="M","Male", orders[[#This Row],[Customer Gender]]="F","Female", orders[[#This Row],[Customer Gender]]="O","Other", TRUE,"Unknown")</f>
        <v>Male</v>
      </c>
    </row>
    <row r="101" spans="1:15">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f t="array" ref="O101">_xlfn.IFS(orders[[#This Row],[Customer Gender]]="M","Male", orders[[#This Row],[Customer Gender]]="F","Female", orders[[#This Row],[Customer Gender]]="O","Other", TRUE,"Unknown")</f>
        <v>Female</v>
      </c>
    </row>
    <row r="102" spans="1:15">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f t="array" ref="O102">_xlfn.IFS(orders[[#This Row],[Customer Gender]]="M","Male", orders[[#This Row],[Customer Gender]]="F","Female", orders[[#This Row],[Customer Gender]]="O","Other", TRUE,"Unknown")</f>
        <v>Male</v>
      </c>
    </row>
    <row r="103" spans="1:15">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f t="array" ref="O103">_xlfn.IFS(orders[[#This Row],[Customer Gender]]="M","Male", orders[[#This Row],[Customer Gender]]="F","Female", orders[[#This Row],[Customer Gender]]="O","Other", TRUE,"Unknown")</f>
        <v>Male</v>
      </c>
    </row>
    <row r="104" spans="1:15">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f t="array" ref="O104">_xlfn.IFS(orders[[#This Row],[Customer Gender]]="M","Male", orders[[#This Row],[Customer Gender]]="F","Female", orders[[#This Row],[Customer Gender]]="O","Other", TRUE,"Unknown")</f>
        <v>Female</v>
      </c>
    </row>
    <row r="105" spans="1:15">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f t="array" ref="O105">_xlfn.IFS(orders[[#This Row],[Customer Gender]]="M","Male", orders[[#This Row],[Customer Gender]]="F","Female", orders[[#This Row],[Customer Gender]]="O","Other", TRUE,"Unknown")</f>
        <v>Male</v>
      </c>
    </row>
    <row r="106" spans="1:15">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f t="array" ref="O106">_xlfn.IFS(orders[[#This Row],[Customer Gender]]="M","Male", orders[[#This Row],[Customer Gender]]="F","Female", orders[[#This Row],[Customer Gender]]="O","Other", TRUE,"Unknown")</f>
        <v>Female</v>
      </c>
    </row>
    <row r="107" spans="1:15">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f t="array" ref="O107">_xlfn.IFS(orders[[#This Row],[Customer Gender]]="M","Male", orders[[#This Row],[Customer Gender]]="F","Female", orders[[#This Row],[Customer Gender]]="O","Other", TRUE,"Unknown")</f>
        <v>Female</v>
      </c>
    </row>
    <row r="108" spans="1:15">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f t="array" ref="O108">_xlfn.IFS(orders[[#This Row],[Customer Gender]]="M","Male", orders[[#This Row],[Customer Gender]]="F","Female", orders[[#This Row],[Customer Gender]]="O","Other", TRUE,"Unknown")</f>
        <v>Female</v>
      </c>
    </row>
    <row r="109" spans="1:15">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f t="array" ref="O109">_xlfn.IFS(orders[[#This Row],[Customer Gender]]="M","Male", orders[[#This Row],[Customer Gender]]="F","Female", orders[[#This Row],[Customer Gender]]="O","Other", TRUE,"Unknown")</f>
        <v>Male</v>
      </c>
    </row>
    <row r="110" spans="1:15">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f t="array" ref="O110">_xlfn.IFS(orders[[#This Row],[Customer Gender]]="M","Male", orders[[#This Row],[Customer Gender]]="F","Female", orders[[#This Row],[Customer Gender]]="O","Other", TRUE,"Unknown")</f>
        <v>Male</v>
      </c>
    </row>
    <row r="111" spans="1:15">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f t="array" ref="O111">_xlfn.IFS(orders[[#This Row],[Customer Gender]]="M","Male", orders[[#This Row],[Customer Gender]]="F","Female", orders[[#This Row],[Customer Gender]]="O","Other", TRUE,"Unknown")</f>
        <v>Female</v>
      </c>
    </row>
    <row r="112" spans="1:15">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f t="array" ref="O112">_xlfn.IFS(orders[[#This Row],[Customer Gender]]="M","Male", orders[[#This Row],[Customer Gender]]="F","Female", orders[[#This Row],[Customer Gender]]="O","Other", TRUE,"Unknown")</f>
        <v>Male</v>
      </c>
    </row>
    <row r="113" spans="1:15">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f t="array" ref="O113">_xlfn.IFS(orders[[#This Row],[Customer Gender]]="M","Male", orders[[#This Row],[Customer Gender]]="F","Female", orders[[#This Row],[Customer Gender]]="O","Other", TRUE,"Unknown")</f>
        <v>Female</v>
      </c>
    </row>
    <row r="114" spans="1:15">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f t="array" ref="O114">_xlfn.IFS(orders[[#This Row],[Customer Gender]]="M","Male", orders[[#This Row],[Customer Gender]]="F","Female", orders[[#This Row],[Customer Gender]]="O","Other", TRUE,"Unknown")</f>
        <v>Male</v>
      </c>
    </row>
    <row r="115" spans="1:15">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f t="array" ref="O115">_xlfn.IFS(orders[[#This Row],[Customer Gender]]="M","Male", orders[[#This Row],[Customer Gender]]="F","Female", orders[[#This Row],[Customer Gender]]="O","Other", TRUE,"Unknown")</f>
        <v>Male</v>
      </c>
    </row>
    <row r="116" spans="1:15">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f t="array" ref="O116">_xlfn.IFS(orders[[#This Row],[Customer Gender]]="M","Male", orders[[#This Row],[Customer Gender]]="F","Female", orders[[#This Row],[Customer Gender]]="O","Other", TRUE,"Unknown")</f>
        <v>Male</v>
      </c>
    </row>
    <row r="117" spans="1:15">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f t="array" ref="O117">_xlfn.IFS(orders[[#This Row],[Customer Gender]]="M","Male", orders[[#This Row],[Customer Gender]]="F","Female", orders[[#This Row],[Customer Gender]]="O","Other", TRUE,"Unknown")</f>
        <v>Female</v>
      </c>
    </row>
    <row r="118" spans="1:15">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f t="array" ref="O118">_xlfn.IFS(orders[[#This Row],[Customer Gender]]="M","Male", orders[[#This Row],[Customer Gender]]="F","Female", orders[[#This Row],[Customer Gender]]="O","Other", TRUE,"Unknown")</f>
        <v>Female</v>
      </c>
    </row>
    <row r="119" spans="1:15">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f t="array" ref="O119">_xlfn.IFS(orders[[#This Row],[Customer Gender]]="M","Male", orders[[#This Row],[Customer Gender]]="F","Female", orders[[#This Row],[Customer Gender]]="O","Other", TRUE,"Unknown")</f>
        <v>Female</v>
      </c>
    </row>
    <row r="120" spans="1:15">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f t="array" ref="O120">_xlfn.IFS(orders[[#This Row],[Customer Gender]]="M","Male", orders[[#This Row],[Customer Gender]]="F","Female", orders[[#This Row],[Customer Gender]]="O","Other", TRUE,"Unknown")</f>
        <v>Male</v>
      </c>
    </row>
    <row r="121" spans="1:15">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f t="array" ref="O121">_xlfn.IFS(orders[[#This Row],[Customer Gender]]="M","Male", orders[[#This Row],[Customer Gender]]="F","Female", orders[[#This Row],[Customer Gender]]="O","Other", TRUE,"Unknown")</f>
        <v>Female</v>
      </c>
    </row>
    <row r="122" spans="1:15">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f t="array" ref="O122">_xlfn.IFS(orders[[#This Row],[Customer Gender]]="M","Male", orders[[#This Row],[Customer Gender]]="F","Female", orders[[#This Row],[Customer Gender]]="O","Other", TRUE,"Unknown")</f>
        <v>Unknown</v>
      </c>
    </row>
    <row r="123" spans="1:15">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f t="array" ref="O123">_xlfn.IFS(orders[[#This Row],[Customer Gender]]="M","Male", orders[[#This Row],[Customer Gender]]="F","Female", orders[[#This Row],[Customer Gender]]="O","Other", TRUE,"Unknown")</f>
        <v>Male</v>
      </c>
    </row>
    <row r="124" spans="1:15">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f t="array" ref="O124">_xlfn.IFS(orders[[#This Row],[Customer Gender]]="M","Male", orders[[#This Row],[Customer Gender]]="F","Female", orders[[#This Row],[Customer Gender]]="O","Other", TRUE,"Unknown")</f>
        <v>Female</v>
      </c>
    </row>
    <row r="125" spans="1:15">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f t="array" ref="O125">_xlfn.IFS(orders[[#This Row],[Customer Gender]]="M","Male", orders[[#This Row],[Customer Gender]]="F","Female", orders[[#This Row],[Customer Gender]]="O","Other", TRUE,"Unknown")</f>
        <v>Female</v>
      </c>
    </row>
    <row r="126" spans="1:15">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f t="array" ref="O126">_xlfn.IFS(orders[[#This Row],[Customer Gender]]="M","Male", orders[[#This Row],[Customer Gender]]="F","Female", orders[[#This Row],[Customer Gender]]="O","Other", TRUE,"Unknown")</f>
        <v>Male</v>
      </c>
    </row>
    <row r="127" spans="1:15">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f t="array" ref="O127">_xlfn.IFS(orders[[#This Row],[Customer Gender]]="M","Male", orders[[#This Row],[Customer Gender]]="F","Female", orders[[#This Row],[Customer Gender]]="O","Other", TRUE,"Unknown")</f>
        <v>Male</v>
      </c>
    </row>
    <row r="128" spans="1:15">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f t="array" ref="O128">_xlfn.IFS(orders[[#This Row],[Customer Gender]]="M","Male", orders[[#This Row],[Customer Gender]]="F","Female", orders[[#This Row],[Customer Gender]]="O","Other", TRUE,"Unknown")</f>
        <v>Female</v>
      </c>
    </row>
    <row r="129" spans="1:15">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f t="array" ref="O129">_xlfn.IFS(orders[[#This Row],[Customer Gender]]="M","Male", orders[[#This Row],[Customer Gender]]="F","Female", orders[[#This Row],[Customer Gender]]="O","Other", TRUE,"Unknown")</f>
        <v>Male</v>
      </c>
    </row>
    <row r="130" spans="1:15">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f t="array" ref="O130">_xlfn.IFS(orders[[#This Row],[Customer Gender]]="M","Male", orders[[#This Row],[Customer Gender]]="F","Female", orders[[#This Row],[Customer Gender]]="O","Other", TRUE,"Unknown")</f>
        <v>Male</v>
      </c>
    </row>
    <row r="131" spans="1:15">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f t="array" ref="O131">_xlfn.IFS(orders[[#This Row],[Customer Gender]]="M","Male", orders[[#This Row],[Customer Gender]]="F","Female", orders[[#This Row],[Customer Gender]]="O","Other", TRUE,"Unknown")</f>
        <v>Male</v>
      </c>
    </row>
    <row r="132" spans="1:15">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f t="array" ref="O132">_xlfn.IFS(orders[[#This Row],[Customer Gender]]="M","Male", orders[[#This Row],[Customer Gender]]="F","Female", orders[[#This Row],[Customer Gender]]="O","Other", TRUE,"Unknown")</f>
        <v>Other</v>
      </c>
    </row>
    <row r="133" spans="1:15">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f t="array" ref="O133">_xlfn.IFS(orders[[#This Row],[Customer Gender]]="M","Male", orders[[#This Row],[Customer Gender]]="F","Female", orders[[#This Row],[Customer Gender]]="O","Other", TRUE,"Unknown")</f>
        <v>Female</v>
      </c>
    </row>
    <row r="134" spans="1:15">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f t="array" ref="O134">_xlfn.IFS(orders[[#This Row],[Customer Gender]]="M","Male", orders[[#This Row],[Customer Gender]]="F","Female", orders[[#This Row],[Customer Gender]]="O","Other", TRUE,"Unknown")</f>
        <v>Male</v>
      </c>
    </row>
    <row r="135" spans="1:15">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f t="array" ref="O135">_xlfn.IFS(orders[[#This Row],[Customer Gender]]="M","Male", orders[[#This Row],[Customer Gender]]="F","Female", orders[[#This Row],[Customer Gender]]="O","Other", TRUE,"Unknown")</f>
        <v>Other</v>
      </c>
    </row>
    <row r="136" spans="1:15">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f t="array" ref="O136">_xlfn.IFS(orders[[#This Row],[Customer Gender]]="M","Male", orders[[#This Row],[Customer Gender]]="F","Female", orders[[#This Row],[Customer Gender]]="O","Other", TRUE,"Unknown")</f>
        <v>Female</v>
      </c>
    </row>
    <row r="137" spans="1:15">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f t="array" ref="O137">_xlfn.IFS(orders[[#This Row],[Customer Gender]]="M","Male", orders[[#This Row],[Customer Gender]]="F","Female", orders[[#This Row],[Customer Gender]]="O","Other", TRUE,"Unknown")</f>
        <v>Female</v>
      </c>
    </row>
    <row r="138" spans="1:15">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f t="array" ref="O138">_xlfn.IFS(orders[[#This Row],[Customer Gender]]="M","Male", orders[[#This Row],[Customer Gender]]="F","Female", orders[[#This Row],[Customer Gender]]="O","Other", TRUE,"Unknown")</f>
        <v>Female</v>
      </c>
    </row>
    <row r="139" spans="1:15">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f t="array" ref="O139">_xlfn.IFS(orders[[#This Row],[Customer Gender]]="M","Male", orders[[#This Row],[Customer Gender]]="F","Female", orders[[#This Row],[Customer Gender]]="O","Other", TRUE,"Unknown")</f>
        <v>Female</v>
      </c>
    </row>
    <row r="140" spans="1:15">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f t="array" ref="O140">_xlfn.IFS(orders[[#This Row],[Customer Gender]]="M","Male", orders[[#This Row],[Customer Gender]]="F","Female", orders[[#This Row],[Customer Gender]]="O","Other", TRUE,"Unknown")</f>
        <v>Female</v>
      </c>
    </row>
    <row r="141" spans="1:15">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f t="array" ref="O141">_xlfn.IFS(orders[[#This Row],[Customer Gender]]="M","Male", orders[[#This Row],[Customer Gender]]="F","Female", orders[[#This Row],[Customer Gender]]="O","Other", TRUE,"Unknown")</f>
        <v>Male</v>
      </c>
    </row>
    <row r="142" spans="1:15">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f t="array" ref="O142">_xlfn.IFS(orders[[#This Row],[Customer Gender]]="M","Male", orders[[#This Row],[Customer Gender]]="F","Female", orders[[#This Row],[Customer Gender]]="O","Other", TRUE,"Unknown")</f>
        <v>Male</v>
      </c>
    </row>
    <row r="143" spans="1:15">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f t="array" ref="O143">_xlfn.IFS(orders[[#This Row],[Customer Gender]]="M","Male", orders[[#This Row],[Customer Gender]]="F","Female", orders[[#This Row],[Customer Gender]]="O","Other", TRUE,"Unknown")</f>
        <v>Unknown</v>
      </c>
    </row>
    <row r="144" spans="1:15">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f t="array" ref="O144">_xlfn.IFS(orders[[#This Row],[Customer Gender]]="M","Male", orders[[#This Row],[Customer Gender]]="F","Female", orders[[#This Row],[Customer Gender]]="O","Other", TRUE,"Unknown")</f>
        <v>Female</v>
      </c>
    </row>
    <row r="145" spans="1:15">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f t="array" ref="O145">_xlfn.IFS(orders[[#This Row],[Customer Gender]]="M","Male", orders[[#This Row],[Customer Gender]]="F","Female", orders[[#This Row],[Customer Gender]]="O","Other", TRUE,"Unknown")</f>
        <v>Unknown</v>
      </c>
    </row>
    <row r="146" spans="1:15">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f t="array" ref="O146">_xlfn.IFS(orders[[#This Row],[Customer Gender]]="M","Male", orders[[#This Row],[Customer Gender]]="F","Female", orders[[#This Row],[Customer Gender]]="O","Other", TRUE,"Unknown")</f>
        <v>Female</v>
      </c>
    </row>
    <row r="147" spans="1:15">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f t="array" ref="O147">_xlfn.IFS(orders[[#This Row],[Customer Gender]]="M","Male", orders[[#This Row],[Customer Gender]]="F","Female", orders[[#This Row],[Customer Gender]]="O","Other", TRUE,"Unknown")</f>
        <v>Male</v>
      </c>
    </row>
    <row r="148" spans="1:15">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f t="array" ref="O148">_xlfn.IFS(orders[[#This Row],[Customer Gender]]="M","Male", orders[[#This Row],[Customer Gender]]="F","Female", orders[[#This Row],[Customer Gender]]="O","Other", TRUE,"Unknown")</f>
        <v>Male</v>
      </c>
    </row>
    <row r="149" spans="1:15">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f t="array" ref="O149">_xlfn.IFS(orders[[#This Row],[Customer Gender]]="M","Male", orders[[#This Row],[Customer Gender]]="F","Female", orders[[#This Row],[Customer Gender]]="O","Other", TRUE,"Unknown")</f>
        <v>Male</v>
      </c>
    </row>
    <row r="150" spans="1:15">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f t="array" ref="O150">_xlfn.IFS(orders[[#This Row],[Customer Gender]]="M","Male", orders[[#This Row],[Customer Gender]]="F","Female", orders[[#This Row],[Customer Gender]]="O","Other", TRUE,"Unknown")</f>
        <v>Male</v>
      </c>
    </row>
    <row r="151" spans="1:15">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f t="array" ref="O151">_xlfn.IFS(orders[[#This Row],[Customer Gender]]="M","Male", orders[[#This Row],[Customer Gender]]="F","Female", orders[[#This Row],[Customer Gender]]="O","Other", TRUE,"Unknown")</f>
        <v>Female</v>
      </c>
    </row>
    <row r="152" spans="1:15">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f t="array" ref="O152">_xlfn.IFS(orders[[#This Row],[Customer Gender]]="M","Male", orders[[#This Row],[Customer Gender]]="F","Female", orders[[#This Row],[Customer Gender]]="O","Other", TRUE,"Unknown")</f>
        <v>Male</v>
      </c>
    </row>
    <row r="153" spans="1:15">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f t="array" ref="O153">_xlfn.IFS(orders[[#This Row],[Customer Gender]]="M","Male", orders[[#This Row],[Customer Gender]]="F","Female", orders[[#This Row],[Customer Gender]]="O","Other", TRUE,"Unknown")</f>
        <v>Male</v>
      </c>
    </row>
    <row r="154" spans="1:15">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f t="array" ref="O154">_xlfn.IFS(orders[[#This Row],[Customer Gender]]="M","Male", orders[[#This Row],[Customer Gender]]="F","Female", orders[[#This Row],[Customer Gender]]="O","Other", TRUE,"Unknown")</f>
        <v>Female</v>
      </c>
    </row>
    <row r="155" spans="1:15">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f t="array" ref="O155">_xlfn.IFS(orders[[#This Row],[Customer Gender]]="M","Male", orders[[#This Row],[Customer Gender]]="F","Female", orders[[#This Row],[Customer Gender]]="O","Other", TRUE,"Unknown")</f>
        <v>Female</v>
      </c>
    </row>
    <row r="156" spans="1:15">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f t="array" ref="O156">_xlfn.IFS(orders[[#This Row],[Customer Gender]]="M","Male", orders[[#This Row],[Customer Gender]]="F","Female", orders[[#This Row],[Customer Gender]]="O","Other", TRUE,"Unknown")</f>
        <v>Female</v>
      </c>
    </row>
    <row r="157" spans="1:15">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f t="array" ref="O157">_xlfn.IFS(orders[[#This Row],[Customer Gender]]="M","Male", orders[[#This Row],[Customer Gender]]="F","Female", orders[[#This Row],[Customer Gender]]="O","Other", TRUE,"Unknown")</f>
        <v>Female</v>
      </c>
    </row>
    <row r="158" spans="1:15">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f t="array" ref="O158">_xlfn.IFS(orders[[#This Row],[Customer Gender]]="M","Male", orders[[#This Row],[Customer Gender]]="F","Female", orders[[#This Row],[Customer Gender]]="O","Other", TRUE,"Unknown")</f>
        <v>Female</v>
      </c>
    </row>
    <row r="159" spans="1:15">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f t="array" ref="O159">_xlfn.IFS(orders[[#This Row],[Customer Gender]]="M","Male", orders[[#This Row],[Customer Gender]]="F","Female", orders[[#This Row],[Customer Gender]]="O","Other", TRUE,"Unknown")</f>
        <v>Female</v>
      </c>
    </row>
    <row r="160" spans="1:15">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f t="array" ref="O160">_xlfn.IFS(orders[[#This Row],[Customer Gender]]="M","Male", orders[[#This Row],[Customer Gender]]="F","Female", orders[[#This Row],[Customer Gender]]="O","Other", TRUE,"Unknown")</f>
        <v>Female</v>
      </c>
    </row>
    <row r="161" spans="1:15">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f t="array" ref="O161">_xlfn.IFS(orders[[#This Row],[Customer Gender]]="M","Male", orders[[#This Row],[Customer Gender]]="F","Female", orders[[#This Row],[Customer Gender]]="O","Other", TRUE,"Unknown")</f>
        <v>Male</v>
      </c>
    </row>
    <row r="162" spans="1:15">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f t="array" ref="O162">_xlfn.IFS(orders[[#This Row],[Customer Gender]]="M","Male", orders[[#This Row],[Customer Gender]]="F","Female", orders[[#This Row],[Customer Gender]]="O","Other", TRUE,"Unknown")</f>
        <v>Female</v>
      </c>
    </row>
    <row r="163" spans="1:15">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f t="array" ref="O163">_xlfn.IFS(orders[[#This Row],[Customer Gender]]="M","Male", orders[[#This Row],[Customer Gender]]="F","Female", orders[[#This Row],[Customer Gender]]="O","Other", TRUE,"Unknown")</f>
        <v>Male</v>
      </c>
    </row>
    <row r="164" spans="1:15">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f t="array" ref="O164">_xlfn.IFS(orders[[#This Row],[Customer Gender]]="M","Male", orders[[#This Row],[Customer Gender]]="F","Female", orders[[#This Row],[Customer Gender]]="O","Other", TRUE,"Unknown")</f>
        <v>Unknown</v>
      </c>
    </row>
    <row r="165" spans="1:15">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f t="array" ref="O165">_xlfn.IFS(orders[[#This Row],[Customer Gender]]="M","Male", orders[[#This Row],[Customer Gender]]="F","Female", orders[[#This Row],[Customer Gender]]="O","Other", TRUE,"Unknown")</f>
        <v>Female</v>
      </c>
    </row>
    <row r="166" spans="1:15">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f t="array" ref="O166">_xlfn.IFS(orders[[#This Row],[Customer Gender]]="M","Male", orders[[#This Row],[Customer Gender]]="F","Female", orders[[#This Row],[Customer Gender]]="O","Other", TRUE,"Unknown")</f>
        <v>Male</v>
      </c>
    </row>
    <row r="167" spans="1:15">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f t="array" ref="O167">_xlfn.IFS(orders[[#This Row],[Customer Gender]]="M","Male", orders[[#This Row],[Customer Gender]]="F","Female", orders[[#This Row],[Customer Gender]]="O","Other", TRUE,"Unknown")</f>
        <v>Female</v>
      </c>
    </row>
    <row r="168" spans="1:15">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f t="array" ref="O168">_xlfn.IFS(orders[[#This Row],[Customer Gender]]="M","Male", orders[[#This Row],[Customer Gender]]="F","Female", orders[[#This Row],[Customer Gender]]="O","Other", TRUE,"Unknown")</f>
        <v>Female</v>
      </c>
    </row>
    <row r="169" spans="1:15">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f t="array" ref="O169">_xlfn.IFS(orders[[#This Row],[Customer Gender]]="M","Male", orders[[#This Row],[Customer Gender]]="F","Female", orders[[#This Row],[Customer Gender]]="O","Other", TRUE,"Unknown")</f>
        <v>Female</v>
      </c>
    </row>
    <row r="170" spans="1:15">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f t="array" ref="O170">_xlfn.IFS(orders[[#This Row],[Customer Gender]]="M","Male", orders[[#This Row],[Customer Gender]]="F","Female", orders[[#This Row],[Customer Gender]]="O","Other", TRUE,"Unknown")</f>
        <v>Female</v>
      </c>
    </row>
    <row r="171" spans="1:15">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f t="array" ref="O171">_xlfn.IFS(orders[[#This Row],[Customer Gender]]="M","Male", orders[[#This Row],[Customer Gender]]="F","Female", orders[[#This Row],[Customer Gender]]="O","Other", TRUE,"Unknown")</f>
        <v>Female</v>
      </c>
    </row>
    <row r="172" spans="1:15">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f t="array" ref="O172">_xlfn.IFS(orders[[#This Row],[Customer Gender]]="M","Male", orders[[#This Row],[Customer Gender]]="F","Female", orders[[#This Row],[Customer Gender]]="O","Other", TRUE,"Unknown")</f>
        <v>Female</v>
      </c>
    </row>
    <row r="173" spans="1:15">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f t="array" ref="O173">_xlfn.IFS(orders[[#This Row],[Customer Gender]]="M","Male", orders[[#This Row],[Customer Gender]]="F","Female", orders[[#This Row],[Customer Gender]]="O","Other", TRUE,"Unknown")</f>
        <v>Male</v>
      </c>
    </row>
    <row r="174" spans="1:15">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f t="array" ref="O174">_xlfn.IFS(orders[[#This Row],[Customer Gender]]="M","Male", orders[[#This Row],[Customer Gender]]="F","Female", orders[[#This Row],[Customer Gender]]="O","Other", TRUE,"Unknown")</f>
        <v>Male</v>
      </c>
    </row>
    <row r="175" spans="1:15">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f t="array" ref="O175">_xlfn.IFS(orders[[#This Row],[Customer Gender]]="M","Male", orders[[#This Row],[Customer Gender]]="F","Female", orders[[#This Row],[Customer Gender]]="O","Other", TRUE,"Unknown")</f>
        <v>Female</v>
      </c>
    </row>
    <row r="176" spans="1:15">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f t="array" ref="O176">_xlfn.IFS(orders[[#This Row],[Customer Gender]]="M","Male", orders[[#This Row],[Customer Gender]]="F","Female", orders[[#This Row],[Customer Gender]]="O","Other", TRUE,"Unknown")</f>
        <v>Female</v>
      </c>
    </row>
    <row r="177" spans="1:15">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f t="array" ref="O177">_xlfn.IFS(orders[[#This Row],[Customer Gender]]="M","Male", orders[[#This Row],[Customer Gender]]="F","Female", orders[[#This Row],[Customer Gender]]="O","Other", TRUE,"Unknown")</f>
        <v>Female</v>
      </c>
    </row>
    <row r="178" spans="1:15">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f t="array" ref="O178">_xlfn.IFS(orders[[#This Row],[Customer Gender]]="M","Male", orders[[#This Row],[Customer Gender]]="F","Female", orders[[#This Row],[Customer Gender]]="O","Other", TRUE,"Unknown")</f>
        <v>Female</v>
      </c>
    </row>
    <row r="179" spans="1:15">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f t="array" ref="O179">_xlfn.IFS(orders[[#This Row],[Customer Gender]]="M","Male", orders[[#This Row],[Customer Gender]]="F","Female", orders[[#This Row],[Customer Gender]]="O","Other", TRUE,"Unknown")</f>
        <v>Male</v>
      </c>
    </row>
    <row r="180" spans="1:15">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f t="array" ref="O180">_xlfn.IFS(orders[[#This Row],[Customer Gender]]="M","Male", orders[[#This Row],[Customer Gender]]="F","Female", orders[[#This Row],[Customer Gender]]="O","Other", TRUE,"Unknown")</f>
        <v>Female</v>
      </c>
    </row>
    <row r="181" spans="1:15">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f t="array" ref="O181">_xlfn.IFS(orders[[#This Row],[Customer Gender]]="M","Male", orders[[#This Row],[Customer Gender]]="F","Female", orders[[#This Row],[Customer Gender]]="O","Other", TRUE,"Unknown")</f>
        <v>Unknown</v>
      </c>
    </row>
    <row r="182" spans="1:15">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f t="array" ref="O182">_xlfn.IFS(orders[[#This Row],[Customer Gender]]="M","Male", orders[[#This Row],[Customer Gender]]="F","Female", orders[[#This Row],[Customer Gender]]="O","Other", TRUE,"Unknown")</f>
        <v>Female</v>
      </c>
    </row>
    <row r="183" spans="1:15">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f t="array" ref="O183">_xlfn.IFS(orders[[#This Row],[Customer Gender]]="M","Male", orders[[#This Row],[Customer Gender]]="F","Female", orders[[#This Row],[Customer Gender]]="O","Other", TRUE,"Unknown")</f>
        <v>Male</v>
      </c>
    </row>
    <row r="184" spans="1:15">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f t="array" ref="O184">_xlfn.IFS(orders[[#This Row],[Customer Gender]]="M","Male", orders[[#This Row],[Customer Gender]]="F","Female", orders[[#This Row],[Customer Gender]]="O","Other", TRUE,"Unknown")</f>
        <v>Female</v>
      </c>
    </row>
    <row r="185" spans="1:15">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f t="array" ref="O185">_xlfn.IFS(orders[[#This Row],[Customer Gender]]="M","Male", orders[[#This Row],[Customer Gender]]="F","Female", orders[[#This Row],[Customer Gender]]="O","Other", TRUE,"Unknown")</f>
        <v>Female</v>
      </c>
    </row>
    <row r="186" spans="1:15">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f t="array" ref="O186">_xlfn.IFS(orders[[#This Row],[Customer Gender]]="M","Male", orders[[#This Row],[Customer Gender]]="F","Female", orders[[#This Row],[Customer Gender]]="O","Other", TRUE,"Unknown")</f>
        <v>Male</v>
      </c>
    </row>
    <row r="187" spans="1:15">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f t="array" ref="O187">_xlfn.IFS(orders[[#This Row],[Customer Gender]]="M","Male", orders[[#This Row],[Customer Gender]]="F","Female", orders[[#This Row],[Customer Gender]]="O","Other", TRUE,"Unknown")</f>
        <v>Male</v>
      </c>
    </row>
    <row r="188" spans="1:15">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f t="array" ref="O188">_xlfn.IFS(orders[[#This Row],[Customer Gender]]="M","Male", orders[[#This Row],[Customer Gender]]="F","Female", orders[[#This Row],[Customer Gender]]="O","Other", TRUE,"Unknown")</f>
        <v>Female</v>
      </c>
    </row>
    <row r="189" spans="1:15">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f t="array" ref="O189">_xlfn.IFS(orders[[#This Row],[Customer Gender]]="M","Male", orders[[#This Row],[Customer Gender]]="F","Female", orders[[#This Row],[Customer Gender]]="O","Other", TRUE,"Unknown")</f>
        <v>Female</v>
      </c>
    </row>
    <row r="190" spans="1:15">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f t="array" ref="O190">_xlfn.IFS(orders[[#This Row],[Customer Gender]]="M","Male", orders[[#This Row],[Customer Gender]]="F","Female", orders[[#This Row],[Customer Gender]]="O","Other", TRUE,"Unknown")</f>
        <v>Male</v>
      </c>
    </row>
    <row r="191" spans="1:15">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f t="array" ref="O191">_xlfn.IFS(orders[[#This Row],[Customer Gender]]="M","Male", orders[[#This Row],[Customer Gender]]="F","Female", orders[[#This Row],[Customer Gender]]="O","Other", TRUE,"Unknown")</f>
        <v>Female</v>
      </c>
    </row>
    <row r="192" spans="1:15">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f t="array" ref="O192">_xlfn.IFS(orders[[#This Row],[Customer Gender]]="M","Male", orders[[#This Row],[Customer Gender]]="F","Female", orders[[#This Row],[Customer Gender]]="O","Other", TRUE,"Unknown")</f>
        <v>Unknown</v>
      </c>
    </row>
    <row r="193" spans="1:15">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f t="array" ref="O193">_xlfn.IFS(orders[[#This Row],[Customer Gender]]="M","Male", orders[[#This Row],[Customer Gender]]="F","Female", orders[[#This Row],[Customer Gender]]="O","Other", TRUE,"Unknown")</f>
        <v>Unknown</v>
      </c>
    </row>
    <row r="194" spans="1:15">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f t="array" ref="O194">_xlfn.IFS(orders[[#This Row],[Customer Gender]]="M","Male", orders[[#This Row],[Customer Gender]]="F","Female", orders[[#This Row],[Customer Gender]]="O","Other", TRUE,"Unknown")</f>
        <v>Male</v>
      </c>
    </row>
    <row r="195" spans="1:15">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f t="array" ref="O195">_xlfn.IFS(orders[[#This Row],[Customer Gender]]="M","Male", orders[[#This Row],[Customer Gender]]="F","Female", orders[[#This Row],[Customer Gender]]="O","Other", TRUE,"Unknown")</f>
        <v>Female</v>
      </c>
    </row>
    <row r="196" spans="1:15">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f t="array" ref="O196">_xlfn.IFS(orders[[#This Row],[Customer Gender]]="M","Male", orders[[#This Row],[Customer Gender]]="F","Female", orders[[#This Row],[Customer Gender]]="O","Other", TRUE,"Unknown")</f>
        <v>Female</v>
      </c>
    </row>
    <row r="197" spans="1:15">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f t="array" ref="O197">_xlfn.IFS(orders[[#This Row],[Customer Gender]]="M","Male", orders[[#This Row],[Customer Gender]]="F","Female", orders[[#This Row],[Customer Gender]]="O","Other", TRUE,"Unknown")</f>
        <v>Female</v>
      </c>
    </row>
    <row r="198" spans="1:15">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f t="array" ref="O198">_xlfn.IFS(orders[[#This Row],[Customer Gender]]="M","Male", orders[[#This Row],[Customer Gender]]="F","Female", orders[[#This Row],[Customer Gender]]="O","Other", TRUE,"Unknown")</f>
        <v>Female</v>
      </c>
    </row>
    <row r="199" spans="1:15">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f t="array" ref="O199">_xlfn.IFS(orders[[#This Row],[Customer Gender]]="M","Male", orders[[#This Row],[Customer Gender]]="F","Female", orders[[#This Row],[Customer Gender]]="O","Other", TRUE,"Unknown")</f>
        <v>Female</v>
      </c>
    </row>
    <row r="200" spans="1:15">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f t="array" ref="O200">_xlfn.IFS(orders[[#This Row],[Customer Gender]]="M","Male", orders[[#This Row],[Customer Gender]]="F","Female", orders[[#This Row],[Customer Gender]]="O","Other", TRUE,"Unknown")</f>
        <v>Male</v>
      </c>
    </row>
    <row r="201" spans="1:15">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f t="array" ref="O201">_xlfn.IFS(orders[[#This Row],[Customer Gender]]="M","Male", orders[[#This Row],[Customer Gender]]="F","Female", orders[[#This Row],[Customer Gender]]="O","Other", TRUE,"Unknown")</f>
        <v>Male</v>
      </c>
    </row>
    <row r="202" spans="1:15">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f t="array" ref="O202">_xlfn.IFS(orders[[#This Row],[Customer Gender]]="M","Male", orders[[#This Row],[Customer Gender]]="F","Female", orders[[#This Row],[Customer Gender]]="O","Other", TRUE,"Unknown")</f>
        <v>Male</v>
      </c>
    </row>
    <row r="203" spans="1:15">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f t="array" ref="O203">_xlfn.IFS(orders[[#This Row],[Customer Gender]]="M","Male", orders[[#This Row],[Customer Gender]]="F","Female", orders[[#This Row],[Customer Gender]]="O","Other", TRUE,"Unknown")</f>
        <v>Male</v>
      </c>
    </row>
    <row r="204" spans="1:15">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f t="array" ref="O204">_xlfn.IFS(orders[[#This Row],[Customer Gender]]="M","Male", orders[[#This Row],[Customer Gender]]="F","Female", orders[[#This Row],[Customer Gender]]="O","Other", TRUE,"Unknown")</f>
        <v>Female</v>
      </c>
    </row>
    <row r="205" spans="1:15">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f t="array" ref="O205">_xlfn.IFS(orders[[#This Row],[Customer Gender]]="M","Male", orders[[#This Row],[Customer Gender]]="F","Female", orders[[#This Row],[Customer Gender]]="O","Other", TRUE,"Unknown")</f>
        <v>Female</v>
      </c>
    </row>
    <row r="206" spans="1:15">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f t="array" ref="O206">_xlfn.IFS(orders[[#This Row],[Customer Gender]]="M","Male", orders[[#This Row],[Customer Gender]]="F","Female", orders[[#This Row],[Customer Gender]]="O","Other", TRUE,"Unknown")</f>
        <v>Female</v>
      </c>
    </row>
    <row r="207" spans="1:15">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f t="array" ref="O207">_xlfn.IFS(orders[[#This Row],[Customer Gender]]="M","Male", orders[[#This Row],[Customer Gender]]="F","Female", orders[[#This Row],[Customer Gender]]="O","Other", TRUE,"Unknown")</f>
        <v>Female</v>
      </c>
    </row>
    <row r="208" spans="1:15">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f t="array" ref="O208">_xlfn.IFS(orders[[#This Row],[Customer Gender]]="M","Male", orders[[#This Row],[Customer Gender]]="F","Female", orders[[#This Row],[Customer Gender]]="O","Other", TRUE,"Unknown")</f>
        <v>Female</v>
      </c>
    </row>
    <row r="209" spans="1:15">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f t="array" ref="O209">_xlfn.IFS(orders[[#This Row],[Customer Gender]]="M","Male", orders[[#This Row],[Customer Gender]]="F","Female", orders[[#This Row],[Customer Gender]]="O","Other", TRUE,"Unknown")</f>
        <v>Female</v>
      </c>
    </row>
    <row r="210" spans="1:15">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f t="array" ref="O210">_xlfn.IFS(orders[[#This Row],[Customer Gender]]="M","Male", orders[[#This Row],[Customer Gender]]="F","Female", orders[[#This Row],[Customer Gender]]="O","Other", TRUE,"Unknown")</f>
        <v>Female</v>
      </c>
    </row>
    <row r="211" spans="1:15">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f t="array" ref="O211">_xlfn.IFS(orders[[#This Row],[Customer Gender]]="M","Male", orders[[#This Row],[Customer Gender]]="F","Female", orders[[#This Row],[Customer Gender]]="O","Other", TRUE,"Unknown")</f>
        <v>Male</v>
      </c>
    </row>
    <row r="212" spans="1:15">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f t="array" ref="O212">_xlfn.IFS(orders[[#This Row],[Customer Gender]]="M","Male", orders[[#This Row],[Customer Gender]]="F","Female", orders[[#This Row],[Customer Gender]]="O","Other", TRUE,"Unknown")</f>
        <v>Female</v>
      </c>
    </row>
    <row r="213" spans="1:15">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f t="array" ref="O213">_xlfn.IFS(orders[[#This Row],[Customer Gender]]="M","Male", orders[[#This Row],[Customer Gender]]="F","Female", orders[[#This Row],[Customer Gender]]="O","Other", TRUE,"Unknown")</f>
        <v>Female</v>
      </c>
    </row>
    <row r="214" spans="1:15">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f t="array" ref="O214">_xlfn.IFS(orders[[#This Row],[Customer Gender]]="M","Male", orders[[#This Row],[Customer Gender]]="F","Female", orders[[#This Row],[Customer Gender]]="O","Other", TRUE,"Unknown")</f>
        <v>Male</v>
      </c>
    </row>
    <row r="215" spans="1:15">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f t="array" ref="O215">_xlfn.IFS(orders[[#This Row],[Customer Gender]]="M","Male", orders[[#This Row],[Customer Gender]]="F","Female", orders[[#This Row],[Customer Gender]]="O","Other", TRUE,"Unknown")</f>
        <v>Female</v>
      </c>
    </row>
    <row r="216" spans="1:15">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f t="array" ref="O216">_xlfn.IFS(orders[[#This Row],[Customer Gender]]="M","Male", orders[[#This Row],[Customer Gender]]="F","Female", orders[[#This Row],[Customer Gender]]="O","Other", TRUE,"Unknown")</f>
        <v>Female</v>
      </c>
    </row>
    <row r="217" spans="1:15">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f t="array" ref="O217">_xlfn.IFS(orders[[#This Row],[Customer Gender]]="M","Male", orders[[#This Row],[Customer Gender]]="F","Female", orders[[#This Row],[Customer Gender]]="O","Other", TRUE,"Unknown")</f>
        <v>Female</v>
      </c>
    </row>
    <row r="218" spans="1:15">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f t="array" ref="O218">_xlfn.IFS(orders[[#This Row],[Customer Gender]]="M","Male", orders[[#This Row],[Customer Gender]]="F","Female", orders[[#This Row],[Customer Gender]]="O","Other", TRUE,"Unknown")</f>
        <v>Female</v>
      </c>
    </row>
    <row r="219" spans="1:15">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f t="array" ref="O219">_xlfn.IFS(orders[[#This Row],[Customer Gender]]="M","Male", orders[[#This Row],[Customer Gender]]="F","Female", orders[[#This Row],[Customer Gender]]="O","Other", TRUE,"Unknown")</f>
        <v>Male</v>
      </c>
    </row>
    <row r="220" spans="1:15">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f t="array" ref="O220">_xlfn.IFS(orders[[#This Row],[Customer Gender]]="M","Male", orders[[#This Row],[Customer Gender]]="F","Female", orders[[#This Row],[Customer Gender]]="O","Other", TRUE,"Unknown")</f>
        <v>Female</v>
      </c>
    </row>
    <row r="221" spans="1:15">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f t="array" ref="O221">_xlfn.IFS(orders[[#This Row],[Customer Gender]]="M","Male", orders[[#This Row],[Customer Gender]]="F","Female", orders[[#This Row],[Customer Gender]]="O","Other", TRUE,"Unknown")</f>
        <v>Male</v>
      </c>
    </row>
    <row r="222" spans="1:15">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f t="array" ref="O222">_xlfn.IFS(orders[[#This Row],[Customer Gender]]="M","Male", orders[[#This Row],[Customer Gender]]="F","Female", orders[[#This Row],[Customer Gender]]="O","Other", TRUE,"Unknown")</f>
        <v>Unknown</v>
      </c>
    </row>
    <row r="223" spans="1:15">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f t="array" ref="O223">_xlfn.IFS(orders[[#This Row],[Customer Gender]]="M","Male", orders[[#This Row],[Customer Gender]]="F","Female", orders[[#This Row],[Customer Gender]]="O","Other", TRUE,"Unknown")</f>
        <v>Male</v>
      </c>
    </row>
    <row r="224" spans="1:15">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f t="array" ref="O224">_xlfn.IFS(orders[[#This Row],[Customer Gender]]="M","Male", orders[[#This Row],[Customer Gender]]="F","Female", orders[[#This Row],[Customer Gender]]="O","Other", TRUE,"Unknown")</f>
        <v>Female</v>
      </c>
    </row>
    <row r="225" spans="1:15">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f t="array" ref="O225">_xlfn.IFS(orders[[#This Row],[Customer Gender]]="M","Male", orders[[#This Row],[Customer Gender]]="F","Female", orders[[#This Row],[Customer Gender]]="O","Other", TRUE,"Unknown")</f>
        <v>Female</v>
      </c>
    </row>
    <row r="226" spans="1:15">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f t="array" ref="O226">_xlfn.IFS(orders[[#This Row],[Customer Gender]]="M","Male", orders[[#This Row],[Customer Gender]]="F","Female", orders[[#This Row],[Customer Gender]]="O","Other", TRUE,"Unknown")</f>
        <v>Male</v>
      </c>
    </row>
    <row r="227" spans="1:15">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f t="array" ref="O227">_xlfn.IFS(orders[[#This Row],[Customer Gender]]="M","Male", orders[[#This Row],[Customer Gender]]="F","Female", orders[[#This Row],[Customer Gender]]="O","Other", TRUE,"Unknown")</f>
        <v>Female</v>
      </c>
    </row>
    <row r="228" spans="1:15">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f t="array" ref="O228">_xlfn.IFS(orders[[#This Row],[Customer Gender]]="M","Male", orders[[#This Row],[Customer Gender]]="F","Female", orders[[#This Row],[Customer Gender]]="O","Other", TRUE,"Unknown")</f>
        <v>Male</v>
      </c>
    </row>
    <row r="229" spans="1:15">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f t="array" ref="O229">_xlfn.IFS(orders[[#This Row],[Customer Gender]]="M","Male", orders[[#This Row],[Customer Gender]]="F","Female", orders[[#This Row],[Customer Gender]]="O","Other", TRUE,"Unknown")</f>
        <v>Female</v>
      </c>
    </row>
    <row r="230" spans="1:15">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f t="array" ref="O230">_xlfn.IFS(orders[[#This Row],[Customer Gender]]="M","Male", orders[[#This Row],[Customer Gender]]="F","Female", orders[[#This Row],[Customer Gender]]="O","Other", TRUE,"Unknown")</f>
        <v>Female</v>
      </c>
    </row>
    <row r="231" spans="1:15">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f t="array" ref="O231">_xlfn.IFS(orders[[#This Row],[Customer Gender]]="M","Male", orders[[#This Row],[Customer Gender]]="F","Female", orders[[#This Row],[Customer Gender]]="O","Other", TRUE,"Unknown")</f>
        <v>Male</v>
      </c>
    </row>
    <row r="232" spans="1:15">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f t="array" ref="O232">_xlfn.IFS(orders[[#This Row],[Customer Gender]]="M","Male", orders[[#This Row],[Customer Gender]]="F","Female", orders[[#This Row],[Customer Gender]]="O","Other", TRUE,"Unknown")</f>
        <v>Female</v>
      </c>
    </row>
    <row r="233" spans="1:15">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f t="array" ref="O233">_xlfn.IFS(orders[[#This Row],[Customer Gender]]="M","Male", orders[[#This Row],[Customer Gender]]="F","Female", orders[[#This Row],[Customer Gender]]="O","Other", TRUE,"Unknown")</f>
        <v>Female</v>
      </c>
    </row>
    <row r="234" spans="1:15">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f t="array" ref="O234">_xlfn.IFS(orders[[#This Row],[Customer Gender]]="M","Male", orders[[#This Row],[Customer Gender]]="F","Female", orders[[#This Row],[Customer Gender]]="O","Other", TRUE,"Unknown")</f>
        <v>Male</v>
      </c>
    </row>
    <row r="235" spans="1:15">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f t="array" ref="O235">_xlfn.IFS(orders[[#This Row],[Customer Gender]]="M","Male", orders[[#This Row],[Customer Gender]]="F","Female", orders[[#This Row],[Customer Gender]]="O","Other", TRUE,"Unknown")</f>
        <v>Female</v>
      </c>
    </row>
    <row r="236" spans="1:15">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f t="array" ref="O236">_xlfn.IFS(orders[[#This Row],[Customer Gender]]="M","Male", orders[[#This Row],[Customer Gender]]="F","Female", orders[[#This Row],[Customer Gender]]="O","Other", TRUE,"Unknown")</f>
        <v>Male</v>
      </c>
    </row>
    <row r="237" spans="1:15">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f t="array" ref="O237">_xlfn.IFS(orders[[#This Row],[Customer Gender]]="M","Male", orders[[#This Row],[Customer Gender]]="F","Female", orders[[#This Row],[Customer Gender]]="O","Other", TRUE,"Unknown")</f>
        <v>Female</v>
      </c>
    </row>
    <row r="238" spans="1:15">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f t="array" ref="O238">_xlfn.IFS(orders[[#This Row],[Customer Gender]]="M","Male", orders[[#This Row],[Customer Gender]]="F","Female", orders[[#This Row],[Customer Gender]]="O","Other", TRUE,"Unknown")</f>
        <v>Female</v>
      </c>
    </row>
    <row r="239" spans="1:15">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f t="array" ref="O239">_xlfn.IFS(orders[[#This Row],[Customer Gender]]="M","Male", orders[[#This Row],[Customer Gender]]="F","Female", orders[[#This Row],[Customer Gender]]="O","Other", TRUE,"Unknown")</f>
        <v>Female</v>
      </c>
    </row>
    <row r="240" spans="1:15">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f t="array" ref="O240">_xlfn.IFS(orders[[#This Row],[Customer Gender]]="M","Male", orders[[#This Row],[Customer Gender]]="F","Female", orders[[#This Row],[Customer Gender]]="O","Other", TRUE,"Unknown")</f>
        <v>Male</v>
      </c>
    </row>
    <row r="241" spans="1:15">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f t="array" ref="O241">_xlfn.IFS(orders[[#This Row],[Customer Gender]]="M","Male", orders[[#This Row],[Customer Gender]]="F","Female", orders[[#This Row],[Customer Gender]]="O","Other", TRUE,"Unknown")</f>
        <v>Female</v>
      </c>
    </row>
    <row r="242" spans="1:15">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f t="array" ref="O242">_xlfn.IFS(orders[[#This Row],[Customer Gender]]="M","Male", orders[[#This Row],[Customer Gender]]="F","Female", orders[[#This Row],[Customer Gender]]="O","Other", TRUE,"Unknown")</f>
        <v>Female</v>
      </c>
    </row>
    <row r="243" spans="1:15">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f t="array" ref="O243">_xlfn.IFS(orders[[#This Row],[Customer Gender]]="M","Male", orders[[#This Row],[Customer Gender]]="F","Female", orders[[#This Row],[Customer Gender]]="O","Other", TRUE,"Unknown")</f>
        <v>Male</v>
      </c>
    </row>
    <row r="244" spans="1:15">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f t="array" ref="O244">_xlfn.IFS(orders[[#This Row],[Customer Gender]]="M","Male", orders[[#This Row],[Customer Gender]]="F","Female", orders[[#This Row],[Customer Gender]]="O","Other", TRUE,"Unknown")</f>
        <v>Male</v>
      </c>
    </row>
    <row r="245" spans="1:15">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f t="array" ref="O245">_xlfn.IFS(orders[[#This Row],[Customer Gender]]="M","Male", orders[[#This Row],[Customer Gender]]="F","Female", orders[[#This Row],[Customer Gender]]="O","Other", TRUE,"Unknown")</f>
        <v>Male</v>
      </c>
    </row>
    <row r="246" spans="1:15">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f t="array" ref="O246">_xlfn.IFS(orders[[#This Row],[Customer Gender]]="M","Male", orders[[#This Row],[Customer Gender]]="F","Female", orders[[#This Row],[Customer Gender]]="O","Other", TRUE,"Unknown")</f>
        <v>Female</v>
      </c>
    </row>
    <row r="247" spans="1:15">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f t="array" ref="O247">_xlfn.IFS(orders[[#This Row],[Customer Gender]]="M","Male", orders[[#This Row],[Customer Gender]]="F","Female", orders[[#This Row],[Customer Gender]]="O","Other", TRUE,"Unknown")</f>
        <v>Male</v>
      </c>
    </row>
    <row r="248" spans="1:15">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f t="array" ref="O248">_xlfn.IFS(orders[[#This Row],[Customer Gender]]="M","Male", orders[[#This Row],[Customer Gender]]="F","Female", orders[[#This Row],[Customer Gender]]="O","Other", TRUE,"Unknown")</f>
        <v>Male</v>
      </c>
    </row>
    <row r="249" spans="1:15">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f t="array" ref="O249">_xlfn.IFS(orders[[#This Row],[Customer Gender]]="M","Male", orders[[#This Row],[Customer Gender]]="F","Female", orders[[#This Row],[Customer Gender]]="O","Other", TRUE,"Unknown")</f>
        <v>Male</v>
      </c>
    </row>
    <row r="250" spans="1:15">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f t="array" ref="O250">_xlfn.IFS(orders[[#This Row],[Customer Gender]]="M","Male", orders[[#This Row],[Customer Gender]]="F","Female", orders[[#This Row],[Customer Gender]]="O","Other", TRUE,"Unknown")</f>
        <v>Female</v>
      </c>
    </row>
    <row r="251" spans="1:15">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f t="array" ref="O251">_xlfn.IFS(orders[[#This Row],[Customer Gender]]="M","Male", orders[[#This Row],[Customer Gender]]="F","Female", orders[[#This Row],[Customer Gender]]="O","Other", TRUE,"Unknown")</f>
        <v>Female</v>
      </c>
    </row>
    <row r="252" spans="1:15">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f t="array" ref="O252">_xlfn.IFS(orders[[#This Row],[Customer Gender]]="M","Male", orders[[#This Row],[Customer Gender]]="F","Female", orders[[#This Row],[Customer Gender]]="O","Other", TRUE,"Unknown")</f>
        <v>Male</v>
      </c>
    </row>
    <row r="253" spans="1:15">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f t="array" ref="O253">_xlfn.IFS(orders[[#This Row],[Customer Gender]]="M","Male", orders[[#This Row],[Customer Gender]]="F","Female", orders[[#This Row],[Customer Gender]]="O","Other", TRUE,"Unknown")</f>
        <v>Male</v>
      </c>
    </row>
    <row r="254" spans="1:15">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f t="array" ref="O254">_xlfn.IFS(orders[[#This Row],[Customer Gender]]="M","Male", orders[[#This Row],[Customer Gender]]="F","Female", orders[[#This Row],[Customer Gender]]="O","Other", TRUE,"Unknown")</f>
        <v>Other</v>
      </c>
    </row>
    <row r="255" spans="1:15">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f t="array" ref="O255">_xlfn.IFS(orders[[#This Row],[Customer Gender]]="M","Male", orders[[#This Row],[Customer Gender]]="F","Female", orders[[#This Row],[Customer Gender]]="O","Other", TRUE,"Unknown")</f>
        <v>Male</v>
      </c>
    </row>
    <row r="256" spans="1:15">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f t="array" ref="O256">_xlfn.IFS(orders[[#This Row],[Customer Gender]]="M","Male", orders[[#This Row],[Customer Gender]]="F","Female", orders[[#This Row],[Customer Gender]]="O","Other", TRUE,"Unknown")</f>
        <v>Male</v>
      </c>
    </row>
    <row r="257" spans="1:15">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f t="array" ref="O257">_xlfn.IFS(orders[[#This Row],[Customer Gender]]="M","Male", orders[[#This Row],[Customer Gender]]="F","Female", orders[[#This Row],[Customer Gender]]="O","Other", TRUE,"Unknown")</f>
        <v>Female</v>
      </c>
    </row>
    <row r="258" spans="1:15">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f t="array" ref="O258">_xlfn.IFS(orders[[#This Row],[Customer Gender]]="M","Male", orders[[#This Row],[Customer Gender]]="F","Female", orders[[#This Row],[Customer Gender]]="O","Other", TRUE,"Unknown")</f>
        <v>Male</v>
      </c>
    </row>
    <row r="259" spans="1:15">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f t="array" ref="O259">_xlfn.IFS(orders[[#This Row],[Customer Gender]]="M","Male", orders[[#This Row],[Customer Gender]]="F","Female", orders[[#This Row],[Customer Gender]]="O","Other", TRUE,"Unknown")</f>
        <v>Male</v>
      </c>
    </row>
    <row r="260" spans="1:15">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f t="array" ref="O260">_xlfn.IFS(orders[[#This Row],[Customer Gender]]="M","Male", orders[[#This Row],[Customer Gender]]="F","Female", orders[[#This Row],[Customer Gender]]="O","Other", TRUE,"Unknown")</f>
        <v>Female</v>
      </c>
    </row>
    <row r="261" spans="1:15">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f t="array" ref="O261">_xlfn.IFS(orders[[#This Row],[Customer Gender]]="M","Male", orders[[#This Row],[Customer Gender]]="F","Female", orders[[#This Row],[Customer Gender]]="O","Other", TRUE,"Unknown")</f>
        <v>Female</v>
      </c>
    </row>
    <row r="262" spans="1:15">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f t="array" ref="O262">_xlfn.IFS(orders[[#This Row],[Customer Gender]]="M","Male", orders[[#This Row],[Customer Gender]]="F","Female", orders[[#This Row],[Customer Gender]]="O","Other", TRUE,"Unknown")</f>
        <v>Male</v>
      </c>
    </row>
    <row r="263" spans="1:15">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f t="array" ref="O263">_xlfn.IFS(orders[[#This Row],[Customer Gender]]="M","Male", orders[[#This Row],[Customer Gender]]="F","Female", orders[[#This Row],[Customer Gender]]="O","Other", TRUE,"Unknown")</f>
        <v>Female</v>
      </c>
    </row>
    <row r="264" spans="1:15">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f t="array" ref="O264">_xlfn.IFS(orders[[#This Row],[Customer Gender]]="M","Male", orders[[#This Row],[Customer Gender]]="F","Female", orders[[#This Row],[Customer Gender]]="O","Other", TRUE,"Unknown")</f>
        <v>Male</v>
      </c>
    </row>
    <row r="265" spans="1:15">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f t="array" ref="O265">_xlfn.IFS(orders[[#This Row],[Customer Gender]]="M","Male", orders[[#This Row],[Customer Gender]]="F","Female", orders[[#This Row],[Customer Gender]]="O","Other", TRUE,"Unknown")</f>
        <v>Female</v>
      </c>
    </row>
    <row r="266" spans="1:15">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f t="array" ref="O266">_xlfn.IFS(orders[[#This Row],[Customer Gender]]="M","Male", orders[[#This Row],[Customer Gender]]="F","Female", orders[[#This Row],[Customer Gender]]="O","Other", TRUE,"Unknown")</f>
        <v>Male</v>
      </c>
    </row>
    <row r="267" spans="1:15">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f t="array" ref="O267">_xlfn.IFS(orders[[#This Row],[Customer Gender]]="M","Male", orders[[#This Row],[Customer Gender]]="F","Female", orders[[#This Row],[Customer Gender]]="O","Other", TRUE,"Unknown")</f>
        <v>Female</v>
      </c>
    </row>
    <row r="268" spans="1:15">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f t="array" ref="O268">_xlfn.IFS(orders[[#This Row],[Customer Gender]]="M","Male", orders[[#This Row],[Customer Gender]]="F","Female", orders[[#This Row],[Customer Gender]]="O","Other", TRUE,"Unknown")</f>
        <v>Unknown</v>
      </c>
    </row>
    <row r="269" spans="1:15">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f t="array" ref="O269">_xlfn.IFS(orders[[#This Row],[Customer Gender]]="M","Male", orders[[#This Row],[Customer Gender]]="F","Female", orders[[#This Row],[Customer Gender]]="O","Other", TRUE,"Unknown")</f>
        <v>Female</v>
      </c>
    </row>
    <row r="270" spans="1:15">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f t="array" ref="O270">_xlfn.IFS(orders[[#This Row],[Customer Gender]]="M","Male", orders[[#This Row],[Customer Gender]]="F","Female", orders[[#This Row],[Customer Gender]]="O","Other", TRUE,"Unknown")</f>
        <v>Female</v>
      </c>
    </row>
    <row r="271" spans="1:15">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f t="array" ref="O271">_xlfn.IFS(orders[[#This Row],[Customer Gender]]="M","Male", orders[[#This Row],[Customer Gender]]="F","Female", orders[[#This Row],[Customer Gender]]="O","Other", TRUE,"Unknown")</f>
        <v>Female</v>
      </c>
    </row>
    <row r="272" spans="1:15">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f t="array" ref="O272">_xlfn.IFS(orders[[#This Row],[Customer Gender]]="M","Male", orders[[#This Row],[Customer Gender]]="F","Female", orders[[#This Row],[Customer Gender]]="O","Other", TRUE,"Unknown")</f>
        <v>Female</v>
      </c>
    </row>
    <row r="273" spans="1:15">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f t="array" ref="O273">_xlfn.IFS(orders[[#This Row],[Customer Gender]]="M","Male", orders[[#This Row],[Customer Gender]]="F","Female", orders[[#This Row],[Customer Gender]]="O","Other", TRUE,"Unknown")</f>
        <v>Female</v>
      </c>
    </row>
    <row r="274" spans="1:15">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f t="array" ref="O274">_xlfn.IFS(orders[[#This Row],[Customer Gender]]="M","Male", orders[[#This Row],[Customer Gender]]="F","Female", orders[[#This Row],[Customer Gender]]="O","Other", TRUE,"Unknown")</f>
        <v>Female</v>
      </c>
    </row>
    <row r="275" spans="1:15">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f t="array" ref="O275">_xlfn.IFS(orders[[#This Row],[Customer Gender]]="M","Male", orders[[#This Row],[Customer Gender]]="F","Female", orders[[#This Row],[Customer Gender]]="O","Other", TRUE,"Unknown")</f>
        <v>Male</v>
      </c>
    </row>
    <row r="276" spans="1:15">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f t="array" ref="O276">_xlfn.IFS(orders[[#This Row],[Customer Gender]]="M","Male", orders[[#This Row],[Customer Gender]]="F","Female", orders[[#This Row],[Customer Gender]]="O","Other", TRUE,"Unknown")</f>
        <v>Male</v>
      </c>
    </row>
    <row r="277" spans="1:15">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f t="array" ref="O277">_xlfn.IFS(orders[[#This Row],[Customer Gender]]="M","Male", orders[[#This Row],[Customer Gender]]="F","Female", orders[[#This Row],[Customer Gender]]="O","Other", TRUE,"Unknown")</f>
        <v>Female</v>
      </c>
    </row>
    <row r="278" spans="1:15">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f t="array" ref="O278">_xlfn.IFS(orders[[#This Row],[Customer Gender]]="M","Male", orders[[#This Row],[Customer Gender]]="F","Female", orders[[#This Row],[Customer Gender]]="O","Other", TRUE,"Unknown")</f>
        <v>Unknown</v>
      </c>
    </row>
    <row r="279" spans="1:15">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f t="array" ref="O279">_xlfn.IFS(orders[[#This Row],[Customer Gender]]="M","Male", orders[[#This Row],[Customer Gender]]="F","Female", orders[[#This Row],[Customer Gender]]="O","Other", TRUE,"Unknown")</f>
        <v>Female</v>
      </c>
    </row>
    <row r="280" spans="1:15">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f t="array" ref="O280">_xlfn.IFS(orders[[#This Row],[Customer Gender]]="M","Male", orders[[#This Row],[Customer Gender]]="F","Female", orders[[#This Row],[Customer Gender]]="O","Other", TRUE,"Unknown")</f>
        <v>Female</v>
      </c>
    </row>
    <row r="281" spans="1:15">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f t="array" ref="O281">_xlfn.IFS(orders[[#This Row],[Customer Gender]]="M","Male", orders[[#This Row],[Customer Gender]]="F","Female", orders[[#This Row],[Customer Gender]]="O","Other", TRUE,"Unknown")</f>
        <v>Female</v>
      </c>
    </row>
    <row r="282" spans="1:15">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f t="array" ref="O282">_xlfn.IFS(orders[[#This Row],[Customer Gender]]="M","Male", orders[[#This Row],[Customer Gender]]="F","Female", orders[[#This Row],[Customer Gender]]="O","Other", TRUE,"Unknown")</f>
        <v>Male</v>
      </c>
    </row>
    <row r="283" spans="1:15">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f t="array" ref="O283">_xlfn.IFS(orders[[#This Row],[Customer Gender]]="M","Male", orders[[#This Row],[Customer Gender]]="F","Female", orders[[#This Row],[Customer Gender]]="O","Other", TRUE,"Unknown")</f>
        <v>Male</v>
      </c>
    </row>
    <row r="284" spans="1:15">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f t="array" ref="O284">_xlfn.IFS(orders[[#This Row],[Customer Gender]]="M","Male", orders[[#This Row],[Customer Gender]]="F","Female", orders[[#This Row],[Customer Gender]]="O","Other", TRUE,"Unknown")</f>
        <v>Female</v>
      </c>
    </row>
    <row r="285" spans="1:15">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f t="array" ref="O285">_xlfn.IFS(orders[[#This Row],[Customer Gender]]="M","Male", orders[[#This Row],[Customer Gender]]="F","Female", orders[[#This Row],[Customer Gender]]="O","Other", TRUE,"Unknown")</f>
        <v>Male</v>
      </c>
    </row>
    <row r="286" spans="1:15">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f t="array" ref="O286">_xlfn.IFS(orders[[#This Row],[Customer Gender]]="M","Male", orders[[#This Row],[Customer Gender]]="F","Female", orders[[#This Row],[Customer Gender]]="O","Other", TRUE,"Unknown")</f>
        <v>Male</v>
      </c>
    </row>
    <row r="287" spans="1:15">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f t="array" ref="O287">_xlfn.IFS(orders[[#This Row],[Customer Gender]]="M","Male", orders[[#This Row],[Customer Gender]]="F","Female", orders[[#This Row],[Customer Gender]]="O","Other", TRUE,"Unknown")</f>
        <v>Female</v>
      </c>
    </row>
    <row r="288" spans="1:15">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f t="array" ref="O288">_xlfn.IFS(orders[[#This Row],[Customer Gender]]="M","Male", orders[[#This Row],[Customer Gender]]="F","Female", orders[[#This Row],[Customer Gender]]="O","Other", TRUE,"Unknown")</f>
        <v>Female</v>
      </c>
    </row>
    <row r="289" spans="1:15">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f t="array" ref="O289">_xlfn.IFS(orders[[#This Row],[Customer Gender]]="M","Male", orders[[#This Row],[Customer Gender]]="F","Female", orders[[#This Row],[Customer Gender]]="O","Other", TRUE,"Unknown")</f>
        <v>Male</v>
      </c>
    </row>
    <row r="290" spans="1:15">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f t="array" ref="O290">_xlfn.IFS(orders[[#This Row],[Customer Gender]]="M","Male", orders[[#This Row],[Customer Gender]]="F","Female", orders[[#This Row],[Customer Gender]]="O","Other", TRUE,"Unknown")</f>
        <v>Male</v>
      </c>
    </row>
    <row r="291" spans="1:15">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f t="array" ref="O291">_xlfn.IFS(orders[[#This Row],[Customer Gender]]="M","Male", orders[[#This Row],[Customer Gender]]="F","Female", orders[[#This Row],[Customer Gender]]="O","Other", TRUE,"Unknown")</f>
        <v>Male</v>
      </c>
    </row>
    <row r="292" spans="1:15">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f t="array" ref="O292">_xlfn.IFS(orders[[#This Row],[Customer Gender]]="M","Male", orders[[#This Row],[Customer Gender]]="F","Female", orders[[#This Row],[Customer Gender]]="O","Other", TRUE,"Unknown")</f>
        <v>Male</v>
      </c>
    </row>
    <row r="293" spans="1:15">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f t="array" ref="O293">_xlfn.IFS(orders[[#This Row],[Customer Gender]]="M","Male", orders[[#This Row],[Customer Gender]]="F","Female", orders[[#This Row],[Customer Gender]]="O","Other", TRUE,"Unknown")</f>
        <v>Male</v>
      </c>
    </row>
    <row r="294" spans="1:15">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f t="array" ref="O294">_xlfn.IFS(orders[[#This Row],[Customer Gender]]="M","Male", orders[[#This Row],[Customer Gender]]="F","Female", orders[[#This Row],[Customer Gender]]="O","Other", TRUE,"Unknown")</f>
        <v>Female</v>
      </c>
    </row>
    <row r="295" spans="1:15">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f t="array" ref="O295">_xlfn.IFS(orders[[#This Row],[Customer Gender]]="M","Male", orders[[#This Row],[Customer Gender]]="F","Female", orders[[#This Row],[Customer Gender]]="O","Other", TRUE,"Unknown")</f>
        <v>Male</v>
      </c>
    </row>
    <row r="296" spans="1:15">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f t="array" ref="O296">_xlfn.IFS(orders[[#This Row],[Customer Gender]]="M","Male", orders[[#This Row],[Customer Gender]]="F","Female", orders[[#This Row],[Customer Gender]]="O","Other", TRUE,"Unknown")</f>
        <v>Male</v>
      </c>
    </row>
    <row r="297" spans="1:15">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f t="array" ref="O297">_xlfn.IFS(orders[[#This Row],[Customer Gender]]="M","Male", orders[[#This Row],[Customer Gender]]="F","Female", orders[[#This Row],[Customer Gender]]="O","Other", TRUE,"Unknown")</f>
        <v>Female</v>
      </c>
    </row>
    <row r="298" spans="1:15">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f t="array" ref="O298">_xlfn.IFS(orders[[#This Row],[Customer Gender]]="M","Male", orders[[#This Row],[Customer Gender]]="F","Female", orders[[#This Row],[Customer Gender]]="O","Other", TRUE,"Unknown")</f>
        <v>Female</v>
      </c>
    </row>
    <row r="299" spans="1:15">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f t="array" ref="O299">_xlfn.IFS(orders[[#This Row],[Customer Gender]]="M","Male", orders[[#This Row],[Customer Gender]]="F","Female", orders[[#This Row],[Customer Gender]]="O","Other", TRUE,"Unknown")</f>
        <v>Male</v>
      </c>
    </row>
    <row r="300" spans="1:15">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f t="array" ref="O300">_xlfn.IFS(orders[[#This Row],[Customer Gender]]="M","Male", orders[[#This Row],[Customer Gender]]="F","Female", orders[[#This Row],[Customer Gender]]="O","Other", TRUE,"Unknown")</f>
        <v>Female</v>
      </c>
    </row>
    <row r="301" spans="1:15">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f t="array" ref="O301">_xlfn.IFS(orders[[#This Row],[Customer Gender]]="M","Male", orders[[#This Row],[Customer Gender]]="F","Female", orders[[#This Row],[Customer Gender]]="O","Other", TRUE,"Unknown")</f>
        <v>Male</v>
      </c>
    </row>
    <row r="302" spans="1:15">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f t="array" ref="O302">_xlfn.IFS(orders[[#This Row],[Customer Gender]]="M","Male", orders[[#This Row],[Customer Gender]]="F","Female", orders[[#This Row],[Customer Gender]]="O","Other", TRUE,"Unknown")</f>
        <v>Female</v>
      </c>
    </row>
    <row r="303" spans="1:15">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f t="array" ref="O303">_xlfn.IFS(orders[[#This Row],[Customer Gender]]="M","Male", orders[[#This Row],[Customer Gender]]="F","Female", orders[[#This Row],[Customer Gender]]="O","Other", TRUE,"Unknown")</f>
        <v>Female</v>
      </c>
    </row>
    <row r="304" spans="1:15">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f t="array" ref="O304">_xlfn.IFS(orders[[#This Row],[Customer Gender]]="M","Male", orders[[#This Row],[Customer Gender]]="F","Female", orders[[#This Row],[Customer Gender]]="O","Other", TRUE,"Unknown")</f>
        <v>Female</v>
      </c>
    </row>
    <row r="305" spans="1:15">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f t="array" ref="O305">_xlfn.IFS(orders[[#This Row],[Customer Gender]]="M","Male", orders[[#This Row],[Customer Gender]]="F","Female", orders[[#This Row],[Customer Gender]]="O","Other", TRUE,"Unknown")</f>
        <v>Female</v>
      </c>
    </row>
    <row r="306" spans="1:15">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f t="array" ref="O306">_xlfn.IFS(orders[[#This Row],[Customer Gender]]="M","Male", orders[[#This Row],[Customer Gender]]="F","Female", orders[[#This Row],[Customer Gender]]="O","Other", TRUE,"Unknown")</f>
        <v>Male</v>
      </c>
    </row>
    <row r="307" spans="1:15">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f t="array" ref="O307">_xlfn.IFS(orders[[#This Row],[Customer Gender]]="M","Male", orders[[#This Row],[Customer Gender]]="F","Female", orders[[#This Row],[Customer Gender]]="O","Other", TRUE,"Unknown")</f>
        <v>Female</v>
      </c>
    </row>
    <row r="308" spans="1:15">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f t="array" ref="O308">_xlfn.IFS(orders[[#This Row],[Customer Gender]]="M","Male", orders[[#This Row],[Customer Gender]]="F","Female", orders[[#This Row],[Customer Gender]]="O","Other", TRUE,"Unknown")</f>
        <v>Female</v>
      </c>
    </row>
    <row r="309" spans="1:15">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f t="array" ref="O309">_xlfn.IFS(orders[[#This Row],[Customer Gender]]="M","Male", orders[[#This Row],[Customer Gender]]="F","Female", orders[[#This Row],[Customer Gender]]="O","Other", TRUE,"Unknown")</f>
        <v>Female</v>
      </c>
    </row>
    <row r="310" spans="1:15">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f t="array" ref="O310">_xlfn.IFS(orders[[#This Row],[Customer Gender]]="M","Male", orders[[#This Row],[Customer Gender]]="F","Female", orders[[#This Row],[Customer Gender]]="O","Other", TRUE,"Unknown")</f>
        <v>Male</v>
      </c>
    </row>
    <row r="311" spans="1:15">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f t="array" ref="O311">_xlfn.IFS(orders[[#This Row],[Customer Gender]]="M","Male", orders[[#This Row],[Customer Gender]]="F","Female", orders[[#This Row],[Customer Gender]]="O","Other", TRUE,"Unknown")</f>
        <v>Female</v>
      </c>
    </row>
    <row r="312" spans="1:15">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f t="array" ref="O312">_xlfn.IFS(orders[[#This Row],[Customer Gender]]="M","Male", orders[[#This Row],[Customer Gender]]="F","Female", orders[[#This Row],[Customer Gender]]="O","Other", TRUE,"Unknown")</f>
        <v>Male</v>
      </c>
    </row>
    <row r="313" spans="1:15">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f t="array" ref="O313">_xlfn.IFS(orders[[#This Row],[Customer Gender]]="M","Male", orders[[#This Row],[Customer Gender]]="F","Female", orders[[#This Row],[Customer Gender]]="O","Other", TRUE,"Unknown")</f>
        <v>Male</v>
      </c>
    </row>
    <row r="314" spans="1:15">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f t="array" ref="O314">_xlfn.IFS(orders[[#This Row],[Customer Gender]]="M","Male", orders[[#This Row],[Customer Gender]]="F","Female", orders[[#This Row],[Customer Gender]]="O","Other", TRUE,"Unknown")</f>
        <v>Male</v>
      </c>
    </row>
    <row r="315" spans="1:15">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f t="array" ref="O315">_xlfn.IFS(orders[[#This Row],[Customer Gender]]="M","Male", orders[[#This Row],[Customer Gender]]="F","Female", orders[[#This Row],[Customer Gender]]="O","Other", TRUE,"Unknown")</f>
        <v>Female</v>
      </c>
    </row>
    <row r="316" spans="1:15">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f t="array" ref="O316">_xlfn.IFS(orders[[#This Row],[Customer Gender]]="M","Male", orders[[#This Row],[Customer Gender]]="F","Female", orders[[#This Row],[Customer Gender]]="O","Other", TRUE,"Unknown")</f>
        <v>Male</v>
      </c>
    </row>
    <row r="317" spans="1:15">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f t="array" ref="O317">_xlfn.IFS(orders[[#This Row],[Customer Gender]]="M","Male", orders[[#This Row],[Customer Gender]]="F","Female", orders[[#This Row],[Customer Gender]]="O","Other", TRUE,"Unknown")</f>
        <v>Female</v>
      </c>
    </row>
    <row r="318" spans="1:15">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f t="array" ref="O318">_xlfn.IFS(orders[[#This Row],[Customer Gender]]="M","Male", orders[[#This Row],[Customer Gender]]="F","Female", orders[[#This Row],[Customer Gender]]="O","Other", TRUE,"Unknown")</f>
        <v>Unknown</v>
      </c>
    </row>
    <row r="319" spans="1:15">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f t="array" ref="O319">_xlfn.IFS(orders[[#This Row],[Customer Gender]]="M","Male", orders[[#This Row],[Customer Gender]]="F","Female", orders[[#This Row],[Customer Gender]]="O","Other", TRUE,"Unknown")</f>
        <v>Female</v>
      </c>
    </row>
    <row r="320" spans="1:15">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f t="array" ref="O320">_xlfn.IFS(orders[[#This Row],[Customer Gender]]="M","Male", orders[[#This Row],[Customer Gender]]="F","Female", orders[[#This Row],[Customer Gender]]="O","Other", TRUE,"Unknown")</f>
        <v>Female</v>
      </c>
    </row>
    <row r="321" spans="1:15">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f t="array" ref="O321">_xlfn.IFS(orders[[#This Row],[Customer Gender]]="M","Male", orders[[#This Row],[Customer Gender]]="F","Female", orders[[#This Row],[Customer Gender]]="O","Other", TRUE,"Unknown")</f>
        <v>Male</v>
      </c>
    </row>
    <row r="322" spans="1:15">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f t="array" ref="O322">_xlfn.IFS(orders[[#This Row],[Customer Gender]]="M","Male", orders[[#This Row],[Customer Gender]]="F","Female", orders[[#This Row],[Customer Gender]]="O","Other", TRUE,"Unknown")</f>
        <v>Other</v>
      </c>
    </row>
    <row r="323" spans="1:15">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f t="array" ref="O323">_xlfn.IFS(orders[[#This Row],[Customer Gender]]="M","Male", orders[[#This Row],[Customer Gender]]="F","Female", orders[[#This Row],[Customer Gender]]="O","Other", TRUE,"Unknown")</f>
        <v>Unknown</v>
      </c>
    </row>
    <row r="324" spans="1:15">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f t="array" ref="O324">_xlfn.IFS(orders[[#This Row],[Customer Gender]]="M","Male", orders[[#This Row],[Customer Gender]]="F","Female", orders[[#This Row],[Customer Gender]]="O","Other", TRUE,"Unknown")</f>
        <v>Female</v>
      </c>
    </row>
    <row r="325" spans="1:15">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f t="array" ref="O325">_xlfn.IFS(orders[[#This Row],[Customer Gender]]="M","Male", orders[[#This Row],[Customer Gender]]="F","Female", orders[[#This Row],[Customer Gender]]="O","Other", TRUE,"Unknown")</f>
        <v>Male</v>
      </c>
    </row>
    <row r="326" spans="1:15">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f t="array" ref="O326">_xlfn.IFS(orders[[#This Row],[Customer Gender]]="M","Male", orders[[#This Row],[Customer Gender]]="F","Female", orders[[#This Row],[Customer Gender]]="O","Other", TRUE,"Unknown")</f>
        <v>Female</v>
      </c>
    </row>
    <row r="327" spans="1:15">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f t="array" ref="O327">_xlfn.IFS(orders[[#This Row],[Customer Gender]]="M","Male", orders[[#This Row],[Customer Gender]]="F","Female", orders[[#This Row],[Customer Gender]]="O","Other", TRUE,"Unknown")</f>
        <v>Female</v>
      </c>
    </row>
    <row r="328" spans="1:15">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f t="array" ref="O328">_xlfn.IFS(orders[[#This Row],[Customer Gender]]="M","Male", orders[[#This Row],[Customer Gender]]="F","Female", orders[[#This Row],[Customer Gender]]="O","Other", TRUE,"Unknown")</f>
        <v>Male</v>
      </c>
    </row>
    <row r="329" spans="1:15">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f t="array" ref="O329">_xlfn.IFS(orders[[#This Row],[Customer Gender]]="M","Male", orders[[#This Row],[Customer Gender]]="F","Female", orders[[#This Row],[Customer Gender]]="O","Other", TRUE,"Unknown")</f>
        <v>Male</v>
      </c>
    </row>
    <row r="330" spans="1:15">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f t="array" ref="O330">_xlfn.IFS(orders[[#This Row],[Customer Gender]]="M","Male", orders[[#This Row],[Customer Gender]]="F","Female", orders[[#This Row],[Customer Gender]]="O","Other", TRUE,"Unknown")</f>
        <v>Female</v>
      </c>
    </row>
    <row r="331" spans="1:15">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f t="array" ref="O331">_xlfn.IFS(orders[[#This Row],[Customer Gender]]="M","Male", orders[[#This Row],[Customer Gender]]="F","Female", orders[[#This Row],[Customer Gender]]="O","Other", TRUE,"Unknown")</f>
        <v>Female</v>
      </c>
    </row>
    <row r="332" spans="1:15">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f t="array" ref="O332">_xlfn.IFS(orders[[#This Row],[Customer Gender]]="M","Male", orders[[#This Row],[Customer Gender]]="F","Female", orders[[#This Row],[Customer Gender]]="O","Other", TRUE,"Unknown")</f>
        <v>Female</v>
      </c>
    </row>
    <row r="333" spans="1:15">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f t="array" ref="O333">_xlfn.IFS(orders[[#This Row],[Customer Gender]]="M","Male", orders[[#This Row],[Customer Gender]]="F","Female", orders[[#This Row],[Customer Gender]]="O","Other", TRUE,"Unknown")</f>
        <v>Female</v>
      </c>
    </row>
    <row r="334" spans="1:15">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f t="array" ref="O334">_xlfn.IFS(orders[[#This Row],[Customer Gender]]="M","Male", orders[[#This Row],[Customer Gender]]="F","Female", orders[[#This Row],[Customer Gender]]="O","Other", TRUE,"Unknown")</f>
        <v>Male</v>
      </c>
    </row>
    <row r="335" spans="1:15">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f t="array" ref="O335">_xlfn.IFS(orders[[#This Row],[Customer Gender]]="M","Male", orders[[#This Row],[Customer Gender]]="F","Female", orders[[#This Row],[Customer Gender]]="O","Other", TRUE,"Unknown")</f>
        <v>Female</v>
      </c>
    </row>
    <row r="336" spans="1:15">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f t="array" ref="O336">_xlfn.IFS(orders[[#This Row],[Customer Gender]]="M","Male", orders[[#This Row],[Customer Gender]]="F","Female", orders[[#This Row],[Customer Gender]]="O","Other", TRUE,"Unknown")</f>
        <v>Female</v>
      </c>
    </row>
    <row r="337" spans="1:15">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f t="array" ref="O337">_xlfn.IFS(orders[[#This Row],[Customer Gender]]="M","Male", orders[[#This Row],[Customer Gender]]="F","Female", orders[[#This Row],[Customer Gender]]="O","Other", TRUE,"Unknown")</f>
        <v>Male</v>
      </c>
    </row>
    <row r="338" spans="1:15">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f t="array" ref="O338">_xlfn.IFS(orders[[#This Row],[Customer Gender]]="M","Male", orders[[#This Row],[Customer Gender]]="F","Female", orders[[#This Row],[Customer Gender]]="O","Other", TRUE,"Unknown")</f>
        <v>Unknown</v>
      </c>
    </row>
    <row r="339" spans="1:15">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f t="array" ref="O339">_xlfn.IFS(orders[[#This Row],[Customer Gender]]="M","Male", orders[[#This Row],[Customer Gender]]="F","Female", orders[[#This Row],[Customer Gender]]="O","Other", TRUE,"Unknown")</f>
        <v>Female</v>
      </c>
    </row>
    <row r="340" spans="1:15">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f t="array" ref="O340">_xlfn.IFS(orders[[#This Row],[Customer Gender]]="M","Male", orders[[#This Row],[Customer Gender]]="F","Female", orders[[#This Row],[Customer Gender]]="O","Other", TRUE,"Unknown")</f>
        <v>Male</v>
      </c>
    </row>
    <row r="341" spans="1:15">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f t="array" ref="O341">_xlfn.IFS(orders[[#This Row],[Customer Gender]]="M","Male", orders[[#This Row],[Customer Gender]]="F","Female", orders[[#This Row],[Customer Gender]]="O","Other", TRUE,"Unknown")</f>
        <v>Female</v>
      </c>
    </row>
    <row r="342" spans="1:15">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f t="array" ref="O342">_xlfn.IFS(orders[[#This Row],[Customer Gender]]="M","Male", orders[[#This Row],[Customer Gender]]="F","Female", orders[[#This Row],[Customer Gender]]="O","Other", TRUE,"Unknown")</f>
        <v>Female</v>
      </c>
    </row>
    <row r="343" spans="1:15">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f t="array" ref="O343">_xlfn.IFS(orders[[#This Row],[Customer Gender]]="M","Male", orders[[#This Row],[Customer Gender]]="F","Female", orders[[#This Row],[Customer Gender]]="O","Other", TRUE,"Unknown")</f>
        <v>Male</v>
      </c>
    </row>
    <row r="344" spans="1:15">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f t="array" ref="O344">_xlfn.IFS(orders[[#This Row],[Customer Gender]]="M","Male", orders[[#This Row],[Customer Gender]]="F","Female", orders[[#This Row],[Customer Gender]]="O","Other", TRUE,"Unknown")</f>
        <v>Female</v>
      </c>
    </row>
    <row r="345" spans="1:15">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f t="array" ref="O345">_xlfn.IFS(orders[[#This Row],[Customer Gender]]="M","Male", orders[[#This Row],[Customer Gender]]="F","Female", orders[[#This Row],[Customer Gender]]="O","Other", TRUE,"Unknown")</f>
        <v>Female</v>
      </c>
    </row>
    <row r="346" spans="1:15">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f t="array" ref="O346">_xlfn.IFS(orders[[#This Row],[Customer Gender]]="M","Male", orders[[#This Row],[Customer Gender]]="F","Female", orders[[#This Row],[Customer Gender]]="O","Other", TRUE,"Unknown")</f>
        <v>Female</v>
      </c>
    </row>
    <row r="347" spans="1:15">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f t="array" ref="O347">_xlfn.IFS(orders[[#This Row],[Customer Gender]]="M","Male", orders[[#This Row],[Customer Gender]]="F","Female", orders[[#This Row],[Customer Gender]]="O","Other", TRUE,"Unknown")</f>
        <v>Unknown</v>
      </c>
    </row>
    <row r="348" spans="1:15">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f t="array" ref="O348">_xlfn.IFS(orders[[#This Row],[Customer Gender]]="M","Male", orders[[#This Row],[Customer Gender]]="F","Female", orders[[#This Row],[Customer Gender]]="O","Other", TRUE,"Unknown")</f>
        <v>Male</v>
      </c>
    </row>
    <row r="349" spans="1:15">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f t="array" ref="O349">_xlfn.IFS(orders[[#This Row],[Customer Gender]]="M","Male", orders[[#This Row],[Customer Gender]]="F","Female", orders[[#This Row],[Customer Gender]]="O","Other", TRUE,"Unknown")</f>
        <v>Male</v>
      </c>
    </row>
    <row r="350" spans="1:15">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f t="array" ref="O350">_xlfn.IFS(orders[[#This Row],[Customer Gender]]="M","Male", orders[[#This Row],[Customer Gender]]="F","Female", orders[[#This Row],[Customer Gender]]="O","Other", TRUE,"Unknown")</f>
        <v>Male</v>
      </c>
    </row>
    <row r="351" spans="1:15">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f t="array" ref="O351">_xlfn.IFS(orders[[#This Row],[Customer Gender]]="M","Male", orders[[#This Row],[Customer Gender]]="F","Female", orders[[#This Row],[Customer Gender]]="O","Other", TRUE,"Unknown")</f>
        <v>Female</v>
      </c>
    </row>
    <row r="352" spans="1:15">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f t="array" ref="O352">_xlfn.IFS(orders[[#This Row],[Customer Gender]]="M","Male", orders[[#This Row],[Customer Gender]]="F","Female", orders[[#This Row],[Customer Gender]]="O","Other", TRUE,"Unknown")</f>
        <v>Male</v>
      </c>
    </row>
    <row r="353" spans="1:15">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f t="array" ref="O353">_xlfn.IFS(orders[[#This Row],[Customer Gender]]="M","Male", orders[[#This Row],[Customer Gender]]="F","Female", orders[[#This Row],[Customer Gender]]="O","Other", TRUE,"Unknown")</f>
        <v>Female</v>
      </c>
    </row>
    <row r="354" spans="1:15">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f t="array" ref="O354">_xlfn.IFS(orders[[#This Row],[Customer Gender]]="M","Male", orders[[#This Row],[Customer Gender]]="F","Female", orders[[#This Row],[Customer Gender]]="O","Other", TRUE,"Unknown")</f>
        <v>Female</v>
      </c>
    </row>
    <row r="355" spans="1:15">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f t="array" ref="O355">_xlfn.IFS(orders[[#This Row],[Customer Gender]]="M","Male", orders[[#This Row],[Customer Gender]]="F","Female", orders[[#This Row],[Customer Gender]]="O","Other", TRUE,"Unknown")</f>
        <v>Male</v>
      </c>
    </row>
    <row r="356" spans="1:15">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f t="array" ref="O356">_xlfn.IFS(orders[[#This Row],[Customer Gender]]="M","Male", orders[[#This Row],[Customer Gender]]="F","Female", orders[[#This Row],[Customer Gender]]="O","Other", TRUE,"Unknown")</f>
        <v>Male</v>
      </c>
    </row>
    <row r="357" spans="1:15">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f t="array" ref="O357">_xlfn.IFS(orders[[#This Row],[Customer Gender]]="M","Male", orders[[#This Row],[Customer Gender]]="F","Female", orders[[#This Row],[Customer Gender]]="O","Other", TRUE,"Unknown")</f>
        <v>Unknown</v>
      </c>
    </row>
    <row r="358" spans="1:15">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f t="array" ref="O358">_xlfn.IFS(orders[[#This Row],[Customer Gender]]="M","Male", orders[[#This Row],[Customer Gender]]="F","Female", orders[[#This Row],[Customer Gender]]="O","Other", TRUE,"Unknown")</f>
        <v>Female</v>
      </c>
    </row>
    <row r="359" spans="1:15">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f t="array" ref="O359">_xlfn.IFS(orders[[#This Row],[Customer Gender]]="M","Male", orders[[#This Row],[Customer Gender]]="F","Female", orders[[#This Row],[Customer Gender]]="O","Other", TRUE,"Unknown")</f>
        <v>Female</v>
      </c>
    </row>
    <row r="360" spans="1:15">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f t="array" ref="O360">_xlfn.IFS(orders[[#This Row],[Customer Gender]]="M","Male", orders[[#This Row],[Customer Gender]]="F","Female", orders[[#This Row],[Customer Gender]]="O","Other", TRUE,"Unknown")</f>
        <v>Female</v>
      </c>
    </row>
    <row r="361" spans="1:15">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f t="array" ref="O361">_xlfn.IFS(orders[[#This Row],[Customer Gender]]="M","Male", orders[[#This Row],[Customer Gender]]="F","Female", orders[[#This Row],[Customer Gender]]="O","Other", TRUE,"Unknown")</f>
        <v>Male</v>
      </c>
    </row>
    <row r="362" spans="1:15">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f t="array" ref="O362">_xlfn.IFS(orders[[#This Row],[Customer Gender]]="M","Male", orders[[#This Row],[Customer Gender]]="F","Female", orders[[#This Row],[Customer Gender]]="O","Other", TRUE,"Unknown")</f>
        <v>Female</v>
      </c>
    </row>
    <row r="363" spans="1:15">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f t="array" ref="O363">_xlfn.IFS(orders[[#This Row],[Customer Gender]]="M","Male", orders[[#This Row],[Customer Gender]]="F","Female", orders[[#This Row],[Customer Gender]]="O","Other", TRUE,"Unknown")</f>
        <v>Other</v>
      </c>
    </row>
    <row r="364" spans="1:15">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f t="array" ref="O364">_xlfn.IFS(orders[[#This Row],[Customer Gender]]="M","Male", orders[[#This Row],[Customer Gender]]="F","Female", orders[[#This Row],[Customer Gender]]="O","Other", TRUE,"Unknown")</f>
        <v>Male</v>
      </c>
    </row>
    <row r="365" spans="1:15">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f t="array" ref="O365">_xlfn.IFS(orders[[#This Row],[Customer Gender]]="M","Male", orders[[#This Row],[Customer Gender]]="F","Female", orders[[#This Row],[Customer Gender]]="O","Other", TRUE,"Unknown")</f>
        <v>Female</v>
      </c>
    </row>
    <row r="366" spans="1:15">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f t="array" ref="O366">_xlfn.IFS(orders[[#This Row],[Customer Gender]]="M","Male", orders[[#This Row],[Customer Gender]]="F","Female", orders[[#This Row],[Customer Gender]]="O","Other", TRUE,"Unknown")</f>
        <v>Male</v>
      </c>
    </row>
    <row r="367" spans="1:15">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f t="array" ref="O367">_xlfn.IFS(orders[[#This Row],[Customer Gender]]="M","Male", orders[[#This Row],[Customer Gender]]="F","Female", orders[[#This Row],[Customer Gender]]="O","Other", TRUE,"Unknown")</f>
        <v>Female</v>
      </c>
    </row>
    <row r="368" spans="1:15">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f t="array" ref="O368">_xlfn.IFS(orders[[#This Row],[Customer Gender]]="M","Male", orders[[#This Row],[Customer Gender]]="F","Female", orders[[#This Row],[Customer Gender]]="O","Other", TRUE,"Unknown")</f>
        <v>Unknown</v>
      </c>
    </row>
    <row r="369" spans="1:15">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f t="array" ref="O369">_xlfn.IFS(orders[[#This Row],[Customer Gender]]="M","Male", orders[[#This Row],[Customer Gender]]="F","Female", orders[[#This Row],[Customer Gender]]="O","Other", TRUE,"Unknown")</f>
        <v>Female</v>
      </c>
    </row>
    <row r="370" spans="1:15">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f t="array" ref="O370">_xlfn.IFS(orders[[#This Row],[Customer Gender]]="M","Male", orders[[#This Row],[Customer Gender]]="F","Female", orders[[#This Row],[Customer Gender]]="O","Other", TRUE,"Unknown")</f>
        <v>Male</v>
      </c>
    </row>
    <row r="371" spans="1:15">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f t="array" ref="O371">_xlfn.IFS(orders[[#This Row],[Customer Gender]]="M","Male", orders[[#This Row],[Customer Gender]]="F","Female", orders[[#This Row],[Customer Gender]]="O","Other", TRUE,"Unknown")</f>
        <v>Female</v>
      </c>
    </row>
    <row r="372" spans="1:15">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f t="array" ref="O372">_xlfn.IFS(orders[[#This Row],[Customer Gender]]="M","Male", orders[[#This Row],[Customer Gender]]="F","Female", orders[[#This Row],[Customer Gender]]="O","Other", TRUE,"Unknown")</f>
        <v>Female</v>
      </c>
    </row>
    <row r="373" spans="1:15">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f t="array" ref="O373">_xlfn.IFS(orders[[#This Row],[Customer Gender]]="M","Male", orders[[#This Row],[Customer Gender]]="F","Female", orders[[#This Row],[Customer Gender]]="O","Other", TRUE,"Unknown")</f>
        <v>Male</v>
      </c>
    </row>
    <row r="374" spans="1:15">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f t="array" ref="O374">_xlfn.IFS(orders[[#This Row],[Customer Gender]]="M","Male", orders[[#This Row],[Customer Gender]]="F","Female", orders[[#This Row],[Customer Gender]]="O","Other", TRUE,"Unknown")</f>
        <v>Male</v>
      </c>
    </row>
    <row r="375" spans="1:15">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f t="array" ref="O375">_xlfn.IFS(orders[[#This Row],[Customer Gender]]="M","Male", orders[[#This Row],[Customer Gender]]="F","Female", orders[[#This Row],[Customer Gender]]="O","Other", TRUE,"Unknown")</f>
        <v>Unknown</v>
      </c>
    </row>
    <row r="376" spans="1:15">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f t="array" ref="O376">_xlfn.IFS(orders[[#This Row],[Customer Gender]]="M","Male", orders[[#This Row],[Customer Gender]]="F","Female", orders[[#This Row],[Customer Gender]]="O","Other", TRUE,"Unknown")</f>
        <v>Male</v>
      </c>
    </row>
    <row r="377" spans="1:15">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f t="array" ref="O377">_xlfn.IFS(orders[[#This Row],[Customer Gender]]="M","Male", orders[[#This Row],[Customer Gender]]="F","Female", orders[[#This Row],[Customer Gender]]="O","Other", TRUE,"Unknown")</f>
        <v>Female</v>
      </c>
    </row>
    <row r="378" spans="1:15">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f t="array" ref="O378">_xlfn.IFS(orders[[#This Row],[Customer Gender]]="M","Male", orders[[#This Row],[Customer Gender]]="F","Female", orders[[#This Row],[Customer Gender]]="O","Other", TRUE,"Unknown")</f>
        <v>Other</v>
      </c>
    </row>
    <row r="379" spans="1:15">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f t="array" ref="O379">_xlfn.IFS(orders[[#This Row],[Customer Gender]]="M","Male", orders[[#This Row],[Customer Gender]]="F","Female", orders[[#This Row],[Customer Gender]]="O","Other", TRUE,"Unknown")</f>
        <v>Female</v>
      </c>
    </row>
    <row r="380" spans="1:15">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f t="array" ref="O380">_xlfn.IFS(orders[[#This Row],[Customer Gender]]="M","Male", orders[[#This Row],[Customer Gender]]="F","Female", orders[[#This Row],[Customer Gender]]="O","Other", TRUE,"Unknown")</f>
        <v>Female</v>
      </c>
    </row>
    <row r="381" spans="1:15">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f t="array" ref="O381">_xlfn.IFS(orders[[#This Row],[Customer Gender]]="M","Male", orders[[#This Row],[Customer Gender]]="F","Female", orders[[#This Row],[Customer Gender]]="O","Other", TRUE,"Unknown")</f>
        <v>Female</v>
      </c>
    </row>
    <row r="382" spans="1:15">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f t="array" ref="O382">_xlfn.IFS(orders[[#This Row],[Customer Gender]]="M","Male", orders[[#This Row],[Customer Gender]]="F","Female", orders[[#This Row],[Customer Gender]]="O","Other", TRUE,"Unknown")</f>
        <v>Male</v>
      </c>
    </row>
    <row r="383" spans="1:15">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f t="array" ref="O383">_xlfn.IFS(orders[[#This Row],[Customer Gender]]="M","Male", orders[[#This Row],[Customer Gender]]="F","Female", orders[[#This Row],[Customer Gender]]="O","Other", TRUE,"Unknown")</f>
        <v>Other</v>
      </c>
    </row>
    <row r="384" spans="1:15">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f t="array" ref="O384">_xlfn.IFS(orders[[#This Row],[Customer Gender]]="M","Male", orders[[#This Row],[Customer Gender]]="F","Female", orders[[#This Row],[Customer Gender]]="O","Other", TRUE,"Unknown")</f>
        <v>Male</v>
      </c>
    </row>
    <row r="385" spans="1:15">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f t="array" ref="O385">_xlfn.IFS(orders[[#This Row],[Customer Gender]]="M","Male", orders[[#This Row],[Customer Gender]]="F","Female", orders[[#This Row],[Customer Gender]]="O","Other", TRUE,"Unknown")</f>
        <v>Female</v>
      </c>
    </row>
    <row r="386" spans="1:15">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f t="array" ref="O386">_xlfn.IFS(orders[[#This Row],[Customer Gender]]="M","Male", orders[[#This Row],[Customer Gender]]="F","Female", orders[[#This Row],[Customer Gender]]="O","Other", TRUE,"Unknown")</f>
        <v>Female</v>
      </c>
    </row>
    <row r="387" spans="1:15">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f t="array" ref="O387">_xlfn.IFS(orders[[#This Row],[Customer Gender]]="M","Male", orders[[#This Row],[Customer Gender]]="F","Female", orders[[#This Row],[Customer Gender]]="O","Other", TRUE,"Unknown")</f>
        <v>Unknown</v>
      </c>
    </row>
    <row r="388" spans="1:15">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f t="array" ref="O388">_xlfn.IFS(orders[[#This Row],[Customer Gender]]="M","Male", orders[[#This Row],[Customer Gender]]="F","Female", orders[[#This Row],[Customer Gender]]="O","Other", TRUE,"Unknown")</f>
        <v>Male</v>
      </c>
    </row>
    <row r="389" spans="1:15">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f t="array" ref="O389">_xlfn.IFS(orders[[#This Row],[Customer Gender]]="M","Male", orders[[#This Row],[Customer Gender]]="F","Female", orders[[#This Row],[Customer Gender]]="O","Other", TRUE,"Unknown")</f>
        <v>Male</v>
      </c>
    </row>
    <row r="390" spans="1:15">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f t="array" ref="O390">_xlfn.IFS(orders[[#This Row],[Customer Gender]]="M","Male", orders[[#This Row],[Customer Gender]]="F","Female", orders[[#This Row],[Customer Gender]]="O","Other", TRUE,"Unknown")</f>
        <v>Female</v>
      </c>
    </row>
    <row r="391" spans="1:15">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f t="array" ref="O391">_xlfn.IFS(orders[[#This Row],[Customer Gender]]="M","Male", orders[[#This Row],[Customer Gender]]="F","Female", orders[[#This Row],[Customer Gender]]="O","Other", TRUE,"Unknown")</f>
        <v>Male</v>
      </c>
    </row>
    <row r="392" spans="1:15">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f t="array" ref="O392">_xlfn.IFS(orders[[#This Row],[Customer Gender]]="M","Male", orders[[#This Row],[Customer Gender]]="F","Female", orders[[#This Row],[Customer Gender]]="O","Other", TRUE,"Unknown")</f>
        <v>Female</v>
      </c>
    </row>
    <row r="393" spans="1:15">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f t="array" ref="O393">_xlfn.IFS(orders[[#This Row],[Customer Gender]]="M","Male", orders[[#This Row],[Customer Gender]]="F","Female", orders[[#This Row],[Customer Gender]]="O","Other", TRUE,"Unknown")</f>
        <v>Male</v>
      </c>
    </row>
    <row r="394" spans="1:15">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f t="array" ref="O394">_xlfn.IFS(orders[[#This Row],[Customer Gender]]="M","Male", orders[[#This Row],[Customer Gender]]="F","Female", orders[[#This Row],[Customer Gender]]="O","Other", TRUE,"Unknown")</f>
        <v>Female</v>
      </c>
    </row>
    <row r="395" spans="1:15">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f t="array" ref="O395">_xlfn.IFS(orders[[#This Row],[Customer Gender]]="M","Male", orders[[#This Row],[Customer Gender]]="F","Female", orders[[#This Row],[Customer Gender]]="O","Other", TRUE,"Unknown")</f>
        <v>Male</v>
      </c>
    </row>
    <row r="396" spans="1:15">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f t="array" ref="O396">_xlfn.IFS(orders[[#This Row],[Customer Gender]]="M","Male", orders[[#This Row],[Customer Gender]]="F","Female", orders[[#This Row],[Customer Gender]]="O","Other", TRUE,"Unknown")</f>
        <v>Male</v>
      </c>
    </row>
    <row r="397" spans="1:15">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f t="array" ref="O397">_xlfn.IFS(orders[[#This Row],[Customer Gender]]="M","Male", orders[[#This Row],[Customer Gender]]="F","Female", orders[[#This Row],[Customer Gender]]="O","Other", TRUE,"Unknown")</f>
        <v>Other</v>
      </c>
    </row>
    <row r="398" spans="1:15">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f t="array" ref="O398">_xlfn.IFS(orders[[#This Row],[Customer Gender]]="M","Male", orders[[#This Row],[Customer Gender]]="F","Female", orders[[#This Row],[Customer Gender]]="O","Other", TRUE,"Unknown")</f>
        <v>Male</v>
      </c>
    </row>
    <row r="399" spans="1:15">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f t="array" ref="O399">_xlfn.IFS(orders[[#This Row],[Customer Gender]]="M","Male", orders[[#This Row],[Customer Gender]]="F","Female", orders[[#This Row],[Customer Gender]]="O","Other", TRUE,"Unknown")</f>
        <v>Female</v>
      </c>
    </row>
    <row r="400" spans="1:15">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f t="array" ref="O400">_xlfn.IFS(orders[[#This Row],[Customer Gender]]="M","Male", orders[[#This Row],[Customer Gender]]="F","Female", orders[[#This Row],[Customer Gender]]="O","Other", TRUE,"Unknown")</f>
        <v>Male</v>
      </c>
    </row>
    <row r="401" spans="1:15">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f t="array" ref="O401">_xlfn.IFS(orders[[#This Row],[Customer Gender]]="M","Male", orders[[#This Row],[Customer Gender]]="F","Female", orders[[#This Row],[Customer Gender]]="O","Other", TRUE,"Unknown")</f>
        <v>Male</v>
      </c>
    </row>
    <row r="402" spans="1:15">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f t="array" ref="O402">_xlfn.IFS(orders[[#This Row],[Customer Gender]]="M","Male", orders[[#This Row],[Customer Gender]]="F","Female", orders[[#This Row],[Customer Gender]]="O","Other", TRUE,"Unknown")</f>
        <v>Male</v>
      </c>
    </row>
    <row r="403" spans="1:15">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f t="array" ref="O403">_xlfn.IFS(orders[[#This Row],[Customer Gender]]="M","Male", orders[[#This Row],[Customer Gender]]="F","Female", orders[[#This Row],[Customer Gender]]="O","Other", TRUE,"Unknown")</f>
        <v>Female</v>
      </c>
    </row>
    <row r="404" spans="1:15">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f t="array" ref="O404">_xlfn.IFS(orders[[#This Row],[Customer Gender]]="M","Male", orders[[#This Row],[Customer Gender]]="F","Female", orders[[#This Row],[Customer Gender]]="O","Other", TRUE,"Unknown")</f>
        <v>Female</v>
      </c>
    </row>
    <row r="405" spans="1:15">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f t="array" ref="O405">_xlfn.IFS(orders[[#This Row],[Customer Gender]]="M","Male", orders[[#This Row],[Customer Gender]]="F","Female", orders[[#This Row],[Customer Gender]]="O","Other", TRUE,"Unknown")</f>
        <v>Other</v>
      </c>
    </row>
    <row r="406" spans="1:15">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f t="array" ref="O406">_xlfn.IFS(orders[[#This Row],[Customer Gender]]="M","Male", orders[[#This Row],[Customer Gender]]="F","Female", orders[[#This Row],[Customer Gender]]="O","Other", TRUE,"Unknown")</f>
        <v>Female</v>
      </c>
    </row>
    <row r="407" spans="1:15">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f t="array" ref="O407">_xlfn.IFS(orders[[#This Row],[Customer Gender]]="M","Male", orders[[#This Row],[Customer Gender]]="F","Female", orders[[#This Row],[Customer Gender]]="O","Other", TRUE,"Unknown")</f>
        <v>Female</v>
      </c>
    </row>
    <row r="408" spans="1:15">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f t="array" ref="O408">_xlfn.IFS(orders[[#This Row],[Customer Gender]]="M","Male", orders[[#This Row],[Customer Gender]]="F","Female", orders[[#This Row],[Customer Gender]]="O","Other", TRUE,"Unknown")</f>
        <v>Female</v>
      </c>
    </row>
    <row r="409" spans="1:15">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f t="array" ref="O409">_xlfn.IFS(orders[[#This Row],[Customer Gender]]="M","Male", orders[[#This Row],[Customer Gender]]="F","Female", orders[[#This Row],[Customer Gender]]="O","Other", TRUE,"Unknown")</f>
        <v>Male</v>
      </c>
    </row>
    <row r="410" spans="1:15">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f t="array" ref="O410">_xlfn.IFS(orders[[#This Row],[Customer Gender]]="M","Male", orders[[#This Row],[Customer Gender]]="F","Female", orders[[#This Row],[Customer Gender]]="O","Other", TRUE,"Unknown")</f>
        <v>Male</v>
      </c>
    </row>
    <row r="411" spans="1:15">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f t="array" ref="O411">_xlfn.IFS(orders[[#This Row],[Customer Gender]]="M","Male", orders[[#This Row],[Customer Gender]]="F","Female", orders[[#This Row],[Customer Gender]]="O","Other", TRUE,"Unknown")</f>
        <v>Male</v>
      </c>
    </row>
    <row r="412" spans="1:15">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f t="array" ref="O412">_xlfn.IFS(orders[[#This Row],[Customer Gender]]="M","Male", orders[[#This Row],[Customer Gender]]="F","Female", orders[[#This Row],[Customer Gender]]="O","Other", TRUE,"Unknown")</f>
        <v>Female</v>
      </c>
    </row>
    <row r="413" spans="1:15">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f t="array" ref="O413">_xlfn.IFS(orders[[#This Row],[Customer Gender]]="M","Male", orders[[#This Row],[Customer Gender]]="F","Female", orders[[#This Row],[Customer Gender]]="O","Other", TRUE,"Unknown")</f>
        <v>Male</v>
      </c>
    </row>
    <row r="414" spans="1:15">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f t="array" ref="O414">_xlfn.IFS(orders[[#This Row],[Customer Gender]]="M","Male", orders[[#This Row],[Customer Gender]]="F","Female", orders[[#This Row],[Customer Gender]]="O","Other", TRUE,"Unknown")</f>
        <v>Male</v>
      </c>
    </row>
    <row r="415" spans="1:15">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f t="array" ref="O415">_xlfn.IFS(orders[[#This Row],[Customer Gender]]="M","Male", orders[[#This Row],[Customer Gender]]="F","Female", orders[[#This Row],[Customer Gender]]="O","Other", TRUE,"Unknown")</f>
        <v>Female</v>
      </c>
    </row>
    <row r="416" spans="1:15">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f t="array" ref="O416">_xlfn.IFS(orders[[#This Row],[Customer Gender]]="M","Male", orders[[#This Row],[Customer Gender]]="F","Female", orders[[#This Row],[Customer Gender]]="O","Other", TRUE,"Unknown")</f>
        <v>Unknown</v>
      </c>
    </row>
    <row r="417" spans="1:15">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f t="array" ref="O417">_xlfn.IFS(orders[[#This Row],[Customer Gender]]="M","Male", orders[[#This Row],[Customer Gender]]="F","Female", orders[[#This Row],[Customer Gender]]="O","Other", TRUE,"Unknown")</f>
        <v>Female</v>
      </c>
    </row>
    <row r="418" spans="1:15">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f t="array" ref="O418">_xlfn.IFS(orders[[#This Row],[Customer Gender]]="M","Male", orders[[#This Row],[Customer Gender]]="F","Female", orders[[#This Row],[Customer Gender]]="O","Other", TRUE,"Unknown")</f>
        <v>Other</v>
      </c>
    </row>
    <row r="419" spans="1:15">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f t="array" ref="O419">_xlfn.IFS(orders[[#This Row],[Customer Gender]]="M","Male", orders[[#This Row],[Customer Gender]]="F","Female", orders[[#This Row],[Customer Gender]]="O","Other", TRUE,"Unknown")</f>
        <v>Male</v>
      </c>
    </row>
    <row r="420" spans="1:15">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f t="array" ref="O420">_xlfn.IFS(orders[[#This Row],[Customer Gender]]="M","Male", orders[[#This Row],[Customer Gender]]="F","Female", orders[[#This Row],[Customer Gender]]="O","Other", TRUE,"Unknown")</f>
        <v>Female</v>
      </c>
    </row>
    <row r="421" spans="1:15">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f t="array" ref="O421">_xlfn.IFS(orders[[#This Row],[Customer Gender]]="M","Male", orders[[#This Row],[Customer Gender]]="F","Female", orders[[#This Row],[Customer Gender]]="O","Other", TRUE,"Unknown")</f>
        <v>Male</v>
      </c>
    </row>
    <row r="422" spans="1:15">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f t="array" ref="O422">_xlfn.IFS(orders[[#This Row],[Customer Gender]]="M","Male", orders[[#This Row],[Customer Gender]]="F","Female", orders[[#This Row],[Customer Gender]]="O","Other", TRUE,"Unknown")</f>
        <v>Male</v>
      </c>
    </row>
    <row r="423" spans="1:15">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f t="array" ref="O423">_xlfn.IFS(orders[[#This Row],[Customer Gender]]="M","Male", orders[[#This Row],[Customer Gender]]="F","Female", orders[[#This Row],[Customer Gender]]="O","Other", TRUE,"Unknown")</f>
        <v>Female</v>
      </c>
    </row>
    <row r="424" spans="1:15">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f t="array" ref="O424">_xlfn.IFS(orders[[#This Row],[Customer Gender]]="M","Male", orders[[#This Row],[Customer Gender]]="F","Female", orders[[#This Row],[Customer Gender]]="O","Other", TRUE,"Unknown")</f>
        <v>Male</v>
      </c>
    </row>
    <row r="425" spans="1:15">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f t="array" ref="O425">_xlfn.IFS(orders[[#This Row],[Customer Gender]]="M","Male", orders[[#This Row],[Customer Gender]]="F","Female", orders[[#This Row],[Customer Gender]]="O","Other", TRUE,"Unknown")</f>
        <v>Other</v>
      </c>
    </row>
    <row r="426" spans="1:15">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f t="array" ref="O426">_xlfn.IFS(orders[[#This Row],[Customer Gender]]="M","Male", orders[[#This Row],[Customer Gender]]="F","Female", orders[[#This Row],[Customer Gender]]="O","Other", TRUE,"Unknown")</f>
        <v>Female</v>
      </c>
    </row>
    <row r="427" spans="1:15">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f t="array" ref="O427">_xlfn.IFS(orders[[#This Row],[Customer Gender]]="M","Male", orders[[#This Row],[Customer Gender]]="F","Female", orders[[#This Row],[Customer Gender]]="O","Other", TRUE,"Unknown")</f>
        <v>Female</v>
      </c>
    </row>
    <row r="428" spans="1:15">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f t="array" ref="O428">_xlfn.IFS(orders[[#This Row],[Customer Gender]]="M","Male", orders[[#This Row],[Customer Gender]]="F","Female", orders[[#This Row],[Customer Gender]]="O","Other", TRUE,"Unknown")</f>
        <v>Female</v>
      </c>
    </row>
    <row r="429" spans="1:15">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f t="array" ref="O429">_xlfn.IFS(orders[[#This Row],[Customer Gender]]="M","Male", orders[[#This Row],[Customer Gender]]="F","Female", orders[[#This Row],[Customer Gender]]="O","Other", TRUE,"Unknown")</f>
        <v>Male</v>
      </c>
    </row>
    <row r="430" spans="1:15">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f t="array" ref="O430">_xlfn.IFS(orders[[#This Row],[Customer Gender]]="M","Male", orders[[#This Row],[Customer Gender]]="F","Female", orders[[#This Row],[Customer Gender]]="O","Other", TRUE,"Unknown")</f>
        <v>Female</v>
      </c>
    </row>
    <row r="431" spans="1:15">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f t="array" ref="O431">_xlfn.IFS(orders[[#This Row],[Customer Gender]]="M","Male", orders[[#This Row],[Customer Gender]]="F","Female", orders[[#This Row],[Customer Gender]]="O","Other", TRUE,"Unknown")</f>
        <v>Female</v>
      </c>
    </row>
    <row r="432" spans="1:15">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f t="array" ref="O432">_xlfn.IFS(orders[[#This Row],[Customer Gender]]="M","Male", orders[[#This Row],[Customer Gender]]="F","Female", orders[[#This Row],[Customer Gender]]="O","Other", TRUE,"Unknown")</f>
        <v>Female</v>
      </c>
    </row>
    <row r="433" spans="1:15">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f t="array" ref="O433">_xlfn.IFS(orders[[#This Row],[Customer Gender]]="M","Male", orders[[#This Row],[Customer Gender]]="F","Female", orders[[#This Row],[Customer Gender]]="O","Other", TRUE,"Unknown")</f>
        <v>Female</v>
      </c>
    </row>
    <row r="434" spans="1:15">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f t="array" ref="O434">_xlfn.IFS(orders[[#This Row],[Customer Gender]]="M","Male", orders[[#This Row],[Customer Gender]]="F","Female", orders[[#This Row],[Customer Gender]]="O","Other", TRUE,"Unknown")</f>
        <v>Female</v>
      </c>
    </row>
    <row r="435" spans="1:15">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f t="array" ref="O435">_xlfn.IFS(orders[[#This Row],[Customer Gender]]="M","Male", orders[[#This Row],[Customer Gender]]="F","Female", orders[[#This Row],[Customer Gender]]="O","Other", TRUE,"Unknown")</f>
        <v>Male</v>
      </c>
    </row>
    <row r="436" spans="1:15">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f t="array" ref="O436">_xlfn.IFS(orders[[#This Row],[Customer Gender]]="M","Male", orders[[#This Row],[Customer Gender]]="F","Female", orders[[#This Row],[Customer Gender]]="O","Other", TRUE,"Unknown")</f>
        <v>Female</v>
      </c>
    </row>
    <row r="437" spans="1:15">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f t="array" ref="O437">_xlfn.IFS(orders[[#This Row],[Customer Gender]]="M","Male", orders[[#This Row],[Customer Gender]]="F","Female", orders[[#This Row],[Customer Gender]]="O","Other", TRUE,"Unknown")</f>
        <v>Male</v>
      </c>
    </row>
    <row r="438" spans="1:15">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f t="array" ref="O438">_xlfn.IFS(orders[[#This Row],[Customer Gender]]="M","Male", orders[[#This Row],[Customer Gender]]="F","Female", orders[[#This Row],[Customer Gender]]="O","Other", TRUE,"Unknown")</f>
        <v>Female</v>
      </c>
    </row>
    <row r="439" spans="1:15">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f t="array" ref="O439">_xlfn.IFS(orders[[#This Row],[Customer Gender]]="M","Male", orders[[#This Row],[Customer Gender]]="F","Female", orders[[#This Row],[Customer Gender]]="O","Other", TRUE,"Unknown")</f>
        <v>Male</v>
      </c>
    </row>
    <row r="440" spans="1:15">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f t="array" ref="O440">_xlfn.IFS(orders[[#This Row],[Customer Gender]]="M","Male", orders[[#This Row],[Customer Gender]]="F","Female", orders[[#This Row],[Customer Gender]]="O","Other", TRUE,"Unknown")</f>
        <v>Female</v>
      </c>
    </row>
    <row r="441" spans="1:15">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f t="array" ref="O441">_xlfn.IFS(orders[[#This Row],[Customer Gender]]="M","Male", orders[[#This Row],[Customer Gender]]="F","Female", orders[[#This Row],[Customer Gender]]="O","Other", TRUE,"Unknown")</f>
        <v>Female</v>
      </c>
    </row>
    <row r="442" spans="1:15">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f t="array" ref="O442">_xlfn.IFS(orders[[#This Row],[Customer Gender]]="M","Male", orders[[#This Row],[Customer Gender]]="F","Female", orders[[#This Row],[Customer Gender]]="O","Other", TRUE,"Unknown")</f>
        <v>Male</v>
      </c>
    </row>
    <row r="443" spans="1:15">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f t="array" ref="O443">_xlfn.IFS(orders[[#This Row],[Customer Gender]]="M","Male", orders[[#This Row],[Customer Gender]]="F","Female", orders[[#This Row],[Customer Gender]]="O","Other", TRUE,"Unknown")</f>
        <v>Female</v>
      </c>
    </row>
    <row r="444" spans="1:15">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f t="array" ref="O444">_xlfn.IFS(orders[[#This Row],[Customer Gender]]="M","Male", orders[[#This Row],[Customer Gender]]="F","Female", orders[[#This Row],[Customer Gender]]="O","Other", TRUE,"Unknown")</f>
        <v>Other</v>
      </c>
    </row>
    <row r="445" spans="1:15">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f t="array" ref="O445">_xlfn.IFS(orders[[#This Row],[Customer Gender]]="M","Male", orders[[#This Row],[Customer Gender]]="F","Female", orders[[#This Row],[Customer Gender]]="O","Other", TRUE,"Unknown")</f>
        <v>Male</v>
      </c>
    </row>
    <row r="446" spans="1:15">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f t="array" ref="O446">_xlfn.IFS(orders[[#This Row],[Customer Gender]]="M","Male", orders[[#This Row],[Customer Gender]]="F","Female", orders[[#This Row],[Customer Gender]]="O","Other", TRUE,"Unknown")</f>
        <v>Female</v>
      </c>
    </row>
    <row r="447" spans="1:15">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f t="array" ref="O447">_xlfn.IFS(orders[[#This Row],[Customer Gender]]="M","Male", orders[[#This Row],[Customer Gender]]="F","Female", orders[[#This Row],[Customer Gender]]="O","Other", TRUE,"Unknown")</f>
        <v>Female</v>
      </c>
    </row>
    <row r="448" spans="1:15">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f t="array" ref="O448">_xlfn.IFS(orders[[#This Row],[Customer Gender]]="M","Male", orders[[#This Row],[Customer Gender]]="F","Female", orders[[#This Row],[Customer Gender]]="O","Other", TRUE,"Unknown")</f>
        <v>Female</v>
      </c>
    </row>
    <row r="449" spans="1:15">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f t="array" ref="O449">_xlfn.IFS(orders[[#This Row],[Customer Gender]]="M","Male", orders[[#This Row],[Customer Gender]]="F","Female", orders[[#This Row],[Customer Gender]]="O","Other", TRUE,"Unknown")</f>
        <v>Male</v>
      </c>
    </row>
    <row r="450" spans="1:15">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f t="array" ref="O450">_xlfn.IFS(orders[[#This Row],[Customer Gender]]="M","Male", orders[[#This Row],[Customer Gender]]="F","Female", orders[[#This Row],[Customer Gender]]="O","Other", TRUE,"Unknown")</f>
        <v>Female</v>
      </c>
    </row>
    <row r="451" spans="1:15">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f t="array" ref="O451">_xlfn.IFS(orders[[#This Row],[Customer Gender]]="M","Male", orders[[#This Row],[Customer Gender]]="F","Female", orders[[#This Row],[Customer Gender]]="O","Other", TRUE,"Unknown")</f>
        <v>Female</v>
      </c>
    </row>
    <row r="452" spans="1:15">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f t="array" ref="O452">_xlfn.IFS(orders[[#This Row],[Customer Gender]]="M","Male", orders[[#This Row],[Customer Gender]]="F","Female", orders[[#This Row],[Customer Gender]]="O","Other", TRUE,"Unknown")</f>
        <v>Unknown</v>
      </c>
    </row>
    <row r="453" spans="1:15">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f t="array" ref="O453">_xlfn.IFS(orders[[#This Row],[Customer Gender]]="M","Male", orders[[#This Row],[Customer Gender]]="F","Female", orders[[#This Row],[Customer Gender]]="O","Other", TRUE,"Unknown")</f>
        <v>Female</v>
      </c>
    </row>
    <row r="454" spans="1:15">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f t="array" ref="O454">_xlfn.IFS(orders[[#This Row],[Customer Gender]]="M","Male", orders[[#This Row],[Customer Gender]]="F","Female", orders[[#This Row],[Customer Gender]]="O","Other", TRUE,"Unknown")</f>
        <v>Female</v>
      </c>
    </row>
    <row r="455" spans="1:15">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f t="array" ref="O455">_xlfn.IFS(orders[[#This Row],[Customer Gender]]="M","Male", orders[[#This Row],[Customer Gender]]="F","Female", orders[[#This Row],[Customer Gender]]="O","Other", TRUE,"Unknown")</f>
        <v>Female</v>
      </c>
    </row>
    <row r="456" spans="1:15">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f t="array" ref="O456">_xlfn.IFS(orders[[#This Row],[Customer Gender]]="M","Male", orders[[#This Row],[Customer Gender]]="F","Female", orders[[#This Row],[Customer Gender]]="O","Other", TRUE,"Unknown")</f>
        <v>Female</v>
      </c>
    </row>
    <row r="457" spans="1:15">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f t="array" ref="O457">_xlfn.IFS(orders[[#This Row],[Customer Gender]]="M","Male", orders[[#This Row],[Customer Gender]]="F","Female", orders[[#This Row],[Customer Gender]]="O","Other", TRUE,"Unknown")</f>
        <v>Female</v>
      </c>
    </row>
    <row r="458" spans="1:15">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f t="array" ref="O458">_xlfn.IFS(orders[[#This Row],[Customer Gender]]="M","Male", orders[[#This Row],[Customer Gender]]="F","Female", orders[[#This Row],[Customer Gender]]="O","Other", TRUE,"Unknown")</f>
        <v>Female</v>
      </c>
    </row>
    <row r="459" spans="1:15">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f t="array" ref="O459">_xlfn.IFS(orders[[#This Row],[Customer Gender]]="M","Male", orders[[#This Row],[Customer Gender]]="F","Female", orders[[#This Row],[Customer Gender]]="O","Other", TRUE,"Unknown")</f>
        <v>Female</v>
      </c>
    </row>
    <row r="460" spans="1:15">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f t="array" ref="O460">_xlfn.IFS(orders[[#This Row],[Customer Gender]]="M","Male", orders[[#This Row],[Customer Gender]]="F","Female", orders[[#This Row],[Customer Gender]]="O","Other", TRUE,"Unknown")</f>
        <v>Female</v>
      </c>
    </row>
    <row r="461" spans="1:15">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f t="array" ref="O461">_xlfn.IFS(orders[[#This Row],[Customer Gender]]="M","Male", orders[[#This Row],[Customer Gender]]="F","Female", orders[[#This Row],[Customer Gender]]="O","Other", TRUE,"Unknown")</f>
        <v>Male</v>
      </c>
    </row>
    <row r="462" spans="1:15">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f t="array" ref="O462">_xlfn.IFS(orders[[#This Row],[Customer Gender]]="M","Male", orders[[#This Row],[Customer Gender]]="F","Female", orders[[#This Row],[Customer Gender]]="O","Other", TRUE,"Unknown")</f>
        <v>Female</v>
      </c>
    </row>
    <row r="463" spans="1:15">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f t="array" ref="O463">_xlfn.IFS(orders[[#This Row],[Customer Gender]]="M","Male", orders[[#This Row],[Customer Gender]]="F","Female", orders[[#This Row],[Customer Gender]]="O","Other", TRUE,"Unknown")</f>
        <v>Male</v>
      </c>
    </row>
    <row r="464" spans="1:15">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f t="array" ref="O464">_xlfn.IFS(orders[[#This Row],[Customer Gender]]="M","Male", orders[[#This Row],[Customer Gender]]="F","Female", orders[[#This Row],[Customer Gender]]="O","Other", TRUE,"Unknown")</f>
        <v>Male</v>
      </c>
    </row>
    <row r="465" spans="1:15">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f t="array" ref="O465">_xlfn.IFS(orders[[#This Row],[Customer Gender]]="M","Male", orders[[#This Row],[Customer Gender]]="F","Female", orders[[#This Row],[Customer Gender]]="O","Other", TRUE,"Unknown")</f>
        <v>Male</v>
      </c>
    </row>
    <row r="466" spans="1:15">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f t="array" ref="O466">_xlfn.IFS(orders[[#This Row],[Customer Gender]]="M","Male", orders[[#This Row],[Customer Gender]]="F","Female", orders[[#This Row],[Customer Gender]]="O","Other", TRUE,"Unknown")</f>
        <v>Unknown</v>
      </c>
    </row>
    <row r="467" spans="1:15">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f t="array" ref="O467">_xlfn.IFS(orders[[#This Row],[Customer Gender]]="M","Male", orders[[#This Row],[Customer Gender]]="F","Female", orders[[#This Row],[Customer Gender]]="O","Other", TRUE,"Unknown")</f>
        <v>Male</v>
      </c>
    </row>
    <row r="468" spans="1:15">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f t="array" ref="O468">_xlfn.IFS(orders[[#This Row],[Customer Gender]]="M","Male", orders[[#This Row],[Customer Gender]]="F","Female", orders[[#This Row],[Customer Gender]]="O","Other", TRUE,"Unknown")</f>
        <v>Female</v>
      </c>
    </row>
    <row r="469" spans="1:15">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f t="array" ref="O469">_xlfn.IFS(orders[[#This Row],[Customer Gender]]="M","Male", orders[[#This Row],[Customer Gender]]="F","Female", orders[[#This Row],[Customer Gender]]="O","Other", TRUE,"Unknown")</f>
        <v>Female</v>
      </c>
    </row>
    <row r="470" spans="1:15">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f t="array" ref="O470">_xlfn.IFS(orders[[#This Row],[Customer Gender]]="M","Male", orders[[#This Row],[Customer Gender]]="F","Female", orders[[#This Row],[Customer Gender]]="O","Other", TRUE,"Unknown")</f>
        <v>Male</v>
      </c>
    </row>
    <row r="471" spans="1:15">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f t="array" ref="O471">_xlfn.IFS(orders[[#This Row],[Customer Gender]]="M","Male", orders[[#This Row],[Customer Gender]]="F","Female", orders[[#This Row],[Customer Gender]]="O","Other", TRUE,"Unknown")</f>
        <v>Male</v>
      </c>
    </row>
    <row r="472" spans="1:15">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f t="array" ref="O472">_xlfn.IFS(orders[[#This Row],[Customer Gender]]="M","Male", orders[[#This Row],[Customer Gender]]="F","Female", orders[[#This Row],[Customer Gender]]="O","Other", TRUE,"Unknown")</f>
        <v>Female</v>
      </c>
    </row>
    <row r="473" spans="1:15">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f t="array" ref="O473">_xlfn.IFS(orders[[#This Row],[Customer Gender]]="M","Male", orders[[#This Row],[Customer Gender]]="F","Female", orders[[#This Row],[Customer Gender]]="O","Other", TRUE,"Unknown")</f>
        <v>Other</v>
      </c>
    </row>
    <row r="474" spans="1:15">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f t="array" ref="O474">_xlfn.IFS(orders[[#This Row],[Customer Gender]]="M","Male", orders[[#This Row],[Customer Gender]]="F","Female", orders[[#This Row],[Customer Gender]]="O","Other", TRUE,"Unknown")</f>
        <v>Male</v>
      </c>
    </row>
    <row r="475" spans="1:15">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f t="array" ref="O475">_xlfn.IFS(orders[[#This Row],[Customer Gender]]="M","Male", orders[[#This Row],[Customer Gender]]="F","Female", orders[[#This Row],[Customer Gender]]="O","Other", TRUE,"Unknown")</f>
        <v>Unknown</v>
      </c>
    </row>
    <row r="476" spans="1:15">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f t="array" ref="O476">_xlfn.IFS(orders[[#This Row],[Customer Gender]]="M","Male", orders[[#This Row],[Customer Gender]]="F","Female", orders[[#This Row],[Customer Gender]]="O","Other", TRUE,"Unknown")</f>
        <v>Female</v>
      </c>
    </row>
    <row r="477" spans="1:15">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f t="array" ref="O477">_xlfn.IFS(orders[[#This Row],[Customer Gender]]="M","Male", orders[[#This Row],[Customer Gender]]="F","Female", orders[[#This Row],[Customer Gender]]="O","Other", TRUE,"Unknown")</f>
        <v>Male</v>
      </c>
    </row>
    <row r="478" spans="1:15">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f t="array" ref="O478">_xlfn.IFS(orders[[#This Row],[Customer Gender]]="M","Male", orders[[#This Row],[Customer Gender]]="F","Female", orders[[#This Row],[Customer Gender]]="O","Other", TRUE,"Unknown")</f>
        <v>Female</v>
      </c>
    </row>
    <row r="479" spans="1:15">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f t="array" ref="O479">_xlfn.IFS(orders[[#This Row],[Customer Gender]]="M","Male", orders[[#This Row],[Customer Gender]]="F","Female", orders[[#This Row],[Customer Gender]]="O","Other", TRUE,"Unknown")</f>
        <v>Female</v>
      </c>
    </row>
    <row r="480" spans="1:15">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f t="array" ref="O480">_xlfn.IFS(orders[[#This Row],[Customer Gender]]="M","Male", orders[[#This Row],[Customer Gender]]="F","Female", orders[[#This Row],[Customer Gender]]="O","Other", TRUE,"Unknown")</f>
        <v>Female</v>
      </c>
    </row>
    <row r="481" spans="1:15">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f t="array" ref="O481">_xlfn.IFS(orders[[#This Row],[Customer Gender]]="M","Male", orders[[#This Row],[Customer Gender]]="F","Female", orders[[#This Row],[Customer Gender]]="O","Other", TRUE,"Unknown")</f>
        <v>Male</v>
      </c>
    </row>
    <row r="482" spans="1:15">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f t="array" ref="O482">_xlfn.IFS(orders[[#This Row],[Customer Gender]]="M","Male", orders[[#This Row],[Customer Gender]]="F","Female", orders[[#This Row],[Customer Gender]]="O","Other", TRUE,"Unknown")</f>
        <v>Male</v>
      </c>
    </row>
    <row r="483" spans="1:15">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f t="array" ref="O483">_xlfn.IFS(orders[[#This Row],[Customer Gender]]="M","Male", orders[[#This Row],[Customer Gender]]="F","Female", orders[[#This Row],[Customer Gender]]="O","Other", TRUE,"Unknown")</f>
        <v>Male</v>
      </c>
    </row>
    <row r="484" spans="1:15">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f t="array" ref="O484">_xlfn.IFS(orders[[#This Row],[Customer Gender]]="M","Male", orders[[#This Row],[Customer Gender]]="F","Female", orders[[#This Row],[Customer Gender]]="O","Other", TRUE,"Unknown")</f>
        <v>Female</v>
      </c>
    </row>
    <row r="485" spans="1:15">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f t="array" ref="O485">_xlfn.IFS(orders[[#This Row],[Customer Gender]]="M","Male", orders[[#This Row],[Customer Gender]]="F","Female", orders[[#This Row],[Customer Gender]]="O","Other", TRUE,"Unknown")</f>
        <v>Male</v>
      </c>
    </row>
    <row r="486" spans="1:15">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f t="array" ref="O486">_xlfn.IFS(orders[[#This Row],[Customer Gender]]="M","Male", orders[[#This Row],[Customer Gender]]="F","Female", orders[[#This Row],[Customer Gender]]="O","Other", TRUE,"Unknown")</f>
        <v>Female</v>
      </c>
    </row>
    <row r="487" spans="1:15">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f t="array" ref="O487">_xlfn.IFS(orders[[#This Row],[Customer Gender]]="M","Male", orders[[#This Row],[Customer Gender]]="F","Female", orders[[#This Row],[Customer Gender]]="O","Other", TRUE,"Unknown")</f>
        <v>Female</v>
      </c>
    </row>
    <row r="488" spans="1:15">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f t="array" ref="O488">_xlfn.IFS(orders[[#This Row],[Customer Gender]]="M","Male", orders[[#This Row],[Customer Gender]]="F","Female", orders[[#This Row],[Customer Gender]]="O","Other", TRUE,"Unknown")</f>
        <v>Male</v>
      </c>
    </row>
    <row r="489" spans="1:15">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f t="array" ref="O489">_xlfn.IFS(orders[[#This Row],[Customer Gender]]="M","Male", orders[[#This Row],[Customer Gender]]="F","Female", orders[[#This Row],[Customer Gender]]="O","Other", TRUE,"Unknown")</f>
        <v>Male</v>
      </c>
    </row>
    <row r="490" spans="1:15">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f t="array" ref="O490">_xlfn.IFS(orders[[#This Row],[Customer Gender]]="M","Male", orders[[#This Row],[Customer Gender]]="F","Female", orders[[#This Row],[Customer Gender]]="O","Other", TRUE,"Unknown")</f>
        <v>Unknown</v>
      </c>
    </row>
    <row r="491" spans="1:15">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f t="array" ref="O491">_xlfn.IFS(orders[[#This Row],[Customer Gender]]="M","Male", orders[[#This Row],[Customer Gender]]="F","Female", orders[[#This Row],[Customer Gender]]="O","Other", TRUE,"Unknown")</f>
        <v>Female</v>
      </c>
    </row>
    <row r="492" spans="1:15">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f t="array" ref="O492">_xlfn.IFS(orders[[#This Row],[Customer Gender]]="M","Male", orders[[#This Row],[Customer Gender]]="F","Female", orders[[#This Row],[Customer Gender]]="O","Other", TRUE,"Unknown")</f>
        <v>Female</v>
      </c>
    </row>
    <row r="493" spans="1:15">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f t="array" ref="O493">_xlfn.IFS(orders[[#This Row],[Customer Gender]]="M","Male", orders[[#This Row],[Customer Gender]]="F","Female", orders[[#This Row],[Customer Gender]]="O","Other", TRUE,"Unknown")</f>
        <v>Female</v>
      </c>
    </row>
    <row r="494" spans="1:15">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f t="array" ref="O494">_xlfn.IFS(orders[[#This Row],[Customer Gender]]="M","Male", orders[[#This Row],[Customer Gender]]="F","Female", orders[[#This Row],[Customer Gender]]="O","Other", TRUE,"Unknown")</f>
        <v>Female</v>
      </c>
    </row>
    <row r="495" spans="1:15">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f t="array" ref="O495">_xlfn.IFS(orders[[#This Row],[Customer Gender]]="M","Male", orders[[#This Row],[Customer Gender]]="F","Female", orders[[#This Row],[Customer Gender]]="O","Other", TRUE,"Unknown")</f>
        <v>Female</v>
      </c>
    </row>
    <row r="496" spans="1:15">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f t="array" ref="O496">_xlfn.IFS(orders[[#This Row],[Customer Gender]]="M","Male", orders[[#This Row],[Customer Gender]]="F","Female", orders[[#This Row],[Customer Gender]]="O","Other", TRUE,"Unknown")</f>
        <v>Female</v>
      </c>
    </row>
    <row r="497" spans="1:15">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f t="array" ref="O497">_xlfn.IFS(orders[[#This Row],[Customer Gender]]="M","Male", orders[[#This Row],[Customer Gender]]="F","Female", orders[[#This Row],[Customer Gender]]="O","Other", TRUE,"Unknown")</f>
        <v>Female</v>
      </c>
    </row>
    <row r="498" spans="1:15">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f t="array" ref="O498">_xlfn.IFS(orders[[#This Row],[Customer Gender]]="M","Male", orders[[#This Row],[Customer Gender]]="F","Female", orders[[#This Row],[Customer Gender]]="O","Other", TRUE,"Unknown")</f>
        <v>Male</v>
      </c>
    </row>
    <row r="499" spans="1:15">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f t="array" ref="O499">_xlfn.IFS(orders[[#This Row],[Customer Gender]]="M","Male", orders[[#This Row],[Customer Gender]]="F","Female", orders[[#This Row],[Customer Gender]]="O","Other", TRUE,"Unknown")</f>
        <v>Female</v>
      </c>
    </row>
    <row r="500" spans="1:15">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f t="array" ref="O500">_xlfn.IFS(orders[[#This Row],[Customer Gender]]="M","Male", orders[[#This Row],[Customer Gender]]="F","Female", orders[[#This Row],[Customer Gender]]="O","Other", TRUE,"Unknown")</f>
        <v>Male</v>
      </c>
    </row>
    <row r="501" spans="1:15">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f t="array" ref="O501">_xlfn.IFS(orders[[#This Row],[Customer Gender]]="M","Male", orders[[#This Row],[Customer Gender]]="F","Female", orders[[#This Row],[Customer Gender]]="O","Other", TRUE,"Unknown")</f>
        <v>Other</v>
      </c>
    </row>
    <row r="502" spans="1:15">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f t="array" ref="O502">_xlfn.IFS(orders[[#This Row],[Customer Gender]]="M","Male", orders[[#This Row],[Customer Gender]]="F","Female", orders[[#This Row],[Customer Gender]]="O","Other", TRUE,"Unknown")</f>
        <v>Unknown</v>
      </c>
    </row>
    <row r="503" spans="1:15">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f t="array" ref="O503">_xlfn.IFS(orders[[#This Row],[Customer Gender]]="M","Male", orders[[#This Row],[Customer Gender]]="F","Female", orders[[#This Row],[Customer Gender]]="O","Other", TRUE,"Unknown")</f>
        <v>Male</v>
      </c>
    </row>
    <row r="504" spans="1:15">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f t="array" ref="O504">_xlfn.IFS(orders[[#This Row],[Customer Gender]]="M","Male", orders[[#This Row],[Customer Gender]]="F","Female", orders[[#This Row],[Customer Gender]]="O","Other", TRUE,"Unknown")</f>
        <v>Female</v>
      </c>
    </row>
    <row r="505" spans="1:15">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f t="array" ref="O505">_xlfn.IFS(orders[[#This Row],[Customer Gender]]="M","Male", orders[[#This Row],[Customer Gender]]="F","Female", orders[[#This Row],[Customer Gender]]="O","Other", TRUE,"Unknown")</f>
        <v>Female</v>
      </c>
    </row>
    <row r="506" spans="1:15">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f t="array" ref="O506">_xlfn.IFS(orders[[#This Row],[Customer Gender]]="M","Male", orders[[#This Row],[Customer Gender]]="F","Female", orders[[#This Row],[Customer Gender]]="O","Other", TRUE,"Unknown")</f>
        <v>Female</v>
      </c>
    </row>
    <row r="507" spans="1:15">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f t="array" ref="O507">_xlfn.IFS(orders[[#This Row],[Customer Gender]]="M","Male", orders[[#This Row],[Customer Gender]]="F","Female", orders[[#This Row],[Customer Gender]]="O","Other", TRUE,"Unknown")</f>
        <v>Female</v>
      </c>
    </row>
    <row r="508" spans="1:15">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f t="array" ref="O508">_xlfn.IFS(orders[[#This Row],[Customer Gender]]="M","Male", orders[[#This Row],[Customer Gender]]="F","Female", orders[[#This Row],[Customer Gender]]="O","Other", TRUE,"Unknown")</f>
        <v>Female</v>
      </c>
    </row>
    <row r="509" spans="1:15">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f t="array" ref="O509">_xlfn.IFS(orders[[#This Row],[Customer Gender]]="M","Male", orders[[#This Row],[Customer Gender]]="F","Female", orders[[#This Row],[Customer Gender]]="O","Other", TRUE,"Unknown")</f>
        <v>Male</v>
      </c>
    </row>
    <row r="510" spans="1:15">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f t="array" ref="O510">_xlfn.IFS(orders[[#This Row],[Customer Gender]]="M","Male", orders[[#This Row],[Customer Gender]]="F","Female", orders[[#This Row],[Customer Gender]]="O","Other", TRUE,"Unknown")</f>
        <v>Male</v>
      </c>
    </row>
    <row r="511" spans="1:15">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f t="array" ref="O511">_xlfn.IFS(orders[[#This Row],[Customer Gender]]="M","Male", orders[[#This Row],[Customer Gender]]="F","Female", orders[[#This Row],[Customer Gender]]="O","Other", TRUE,"Unknown")</f>
        <v>Female</v>
      </c>
    </row>
    <row r="512" spans="1:15">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f t="array" ref="O512">_xlfn.IFS(orders[[#This Row],[Customer Gender]]="M","Male", orders[[#This Row],[Customer Gender]]="F","Female", orders[[#This Row],[Customer Gender]]="O","Other", TRUE,"Unknown")</f>
        <v>Female</v>
      </c>
    </row>
    <row r="513" spans="1:15">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f t="array" ref="O513">_xlfn.IFS(orders[[#This Row],[Customer Gender]]="M","Male", orders[[#This Row],[Customer Gender]]="F","Female", orders[[#This Row],[Customer Gender]]="O","Other", TRUE,"Unknown")</f>
        <v>Unknown</v>
      </c>
    </row>
    <row r="514" spans="1:15">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f t="array" ref="O514">_xlfn.IFS(orders[[#This Row],[Customer Gender]]="M","Male", orders[[#This Row],[Customer Gender]]="F","Female", orders[[#This Row],[Customer Gender]]="O","Other", TRUE,"Unknown")</f>
        <v>Female</v>
      </c>
    </row>
    <row r="515" spans="1:15">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f t="array" ref="O515">_xlfn.IFS(orders[[#This Row],[Customer Gender]]="M","Male", orders[[#This Row],[Customer Gender]]="F","Female", orders[[#This Row],[Customer Gender]]="O","Other", TRUE,"Unknown")</f>
        <v>Male</v>
      </c>
    </row>
    <row r="516" spans="1:15">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f t="array" ref="O516">_xlfn.IFS(orders[[#This Row],[Customer Gender]]="M","Male", orders[[#This Row],[Customer Gender]]="F","Female", orders[[#This Row],[Customer Gender]]="O","Other", TRUE,"Unknown")</f>
        <v>Male</v>
      </c>
    </row>
    <row r="517" spans="1:15">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f t="array" ref="O517">_xlfn.IFS(orders[[#This Row],[Customer Gender]]="M","Male", orders[[#This Row],[Customer Gender]]="F","Female", orders[[#This Row],[Customer Gender]]="O","Other", TRUE,"Unknown")</f>
        <v>Unknown</v>
      </c>
    </row>
    <row r="518" spans="1:15">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f t="array" ref="O518">_xlfn.IFS(orders[[#This Row],[Customer Gender]]="M","Male", orders[[#This Row],[Customer Gender]]="F","Female", orders[[#This Row],[Customer Gender]]="O","Other", TRUE,"Unknown")</f>
        <v>Female</v>
      </c>
    </row>
    <row r="519" spans="1:15">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f t="array" ref="O519">_xlfn.IFS(orders[[#This Row],[Customer Gender]]="M","Male", orders[[#This Row],[Customer Gender]]="F","Female", orders[[#This Row],[Customer Gender]]="O","Other", TRUE,"Unknown")</f>
        <v>Female</v>
      </c>
    </row>
    <row r="520" spans="1:15">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f t="array" ref="O520">_xlfn.IFS(orders[[#This Row],[Customer Gender]]="M","Male", orders[[#This Row],[Customer Gender]]="F","Female", orders[[#This Row],[Customer Gender]]="O","Other", TRUE,"Unknown")</f>
        <v>Female</v>
      </c>
    </row>
    <row r="521" spans="1:15">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f t="array" ref="O521">_xlfn.IFS(orders[[#This Row],[Customer Gender]]="M","Male", orders[[#This Row],[Customer Gender]]="F","Female", orders[[#This Row],[Customer Gender]]="O","Other", TRUE,"Unknown")</f>
        <v>Female</v>
      </c>
    </row>
    <row r="522" spans="1:15">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f t="array" ref="O522">_xlfn.IFS(orders[[#This Row],[Customer Gender]]="M","Male", orders[[#This Row],[Customer Gender]]="F","Female", orders[[#This Row],[Customer Gender]]="O","Other", TRUE,"Unknown")</f>
        <v>Male</v>
      </c>
    </row>
    <row r="523" spans="1:15">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f t="array" ref="O523">_xlfn.IFS(orders[[#This Row],[Customer Gender]]="M","Male", orders[[#This Row],[Customer Gender]]="F","Female", orders[[#This Row],[Customer Gender]]="O","Other", TRUE,"Unknown")</f>
        <v>Female</v>
      </c>
    </row>
    <row r="524" spans="1:15">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f t="array" ref="O524">_xlfn.IFS(orders[[#This Row],[Customer Gender]]="M","Male", orders[[#This Row],[Customer Gender]]="F","Female", orders[[#This Row],[Customer Gender]]="O","Other", TRUE,"Unknown")</f>
        <v>Unknown</v>
      </c>
    </row>
    <row r="525" spans="1:15">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f t="array" ref="O525">_xlfn.IFS(orders[[#This Row],[Customer Gender]]="M","Male", orders[[#This Row],[Customer Gender]]="F","Female", orders[[#This Row],[Customer Gender]]="O","Other", TRUE,"Unknown")</f>
        <v>Female</v>
      </c>
    </row>
    <row r="526" spans="1:15">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f t="array" ref="O526">_xlfn.IFS(orders[[#This Row],[Customer Gender]]="M","Male", orders[[#This Row],[Customer Gender]]="F","Female", orders[[#This Row],[Customer Gender]]="O","Other", TRUE,"Unknown")</f>
        <v>Female</v>
      </c>
    </row>
    <row r="527" spans="1:15">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f t="array" ref="O527">_xlfn.IFS(orders[[#This Row],[Customer Gender]]="M","Male", orders[[#This Row],[Customer Gender]]="F","Female", orders[[#This Row],[Customer Gender]]="O","Other", TRUE,"Unknown")</f>
        <v>Male</v>
      </c>
    </row>
    <row r="528" spans="1:15">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f t="array" ref="O528">_xlfn.IFS(orders[[#This Row],[Customer Gender]]="M","Male", orders[[#This Row],[Customer Gender]]="F","Female", orders[[#This Row],[Customer Gender]]="O","Other", TRUE,"Unknown")</f>
        <v>Male</v>
      </c>
    </row>
    <row r="529" spans="1:15">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f t="array" ref="O529">_xlfn.IFS(orders[[#This Row],[Customer Gender]]="M","Male", orders[[#This Row],[Customer Gender]]="F","Female", orders[[#This Row],[Customer Gender]]="O","Other", TRUE,"Unknown")</f>
        <v>Female</v>
      </c>
    </row>
    <row r="530" spans="1:15">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f t="array" ref="O530">_xlfn.IFS(orders[[#This Row],[Customer Gender]]="M","Male", orders[[#This Row],[Customer Gender]]="F","Female", orders[[#This Row],[Customer Gender]]="O","Other", TRUE,"Unknown")</f>
        <v>Female</v>
      </c>
    </row>
    <row r="531" spans="1:15">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f t="array" ref="O531">_xlfn.IFS(orders[[#This Row],[Customer Gender]]="M","Male", orders[[#This Row],[Customer Gender]]="F","Female", orders[[#This Row],[Customer Gender]]="O","Other", TRUE,"Unknown")</f>
        <v>Female</v>
      </c>
    </row>
    <row r="532" spans="1:15">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f t="array" ref="O532">_xlfn.IFS(orders[[#This Row],[Customer Gender]]="M","Male", orders[[#This Row],[Customer Gender]]="F","Female", orders[[#This Row],[Customer Gender]]="O","Other", TRUE,"Unknown")</f>
        <v>Female</v>
      </c>
    </row>
    <row r="533" spans="1:15">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f t="array" ref="O533">_xlfn.IFS(orders[[#This Row],[Customer Gender]]="M","Male", orders[[#This Row],[Customer Gender]]="F","Female", orders[[#This Row],[Customer Gender]]="O","Other", TRUE,"Unknown")</f>
        <v>Female</v>
      </c>
    </row>
    <row r="534" spans="1:15">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f t="array" ref="O534">_xlfn.IFS(orders[[#This Row],[Customer Gender]]="M","Male", orders[[#This Row],[Customer Gender]]="F","Female", orders[[#This Row],[Customer Gender]]="O","Other", TRUE,"Unknown")</f>
        <v>Female</v>
      </c>
    </row>
    <row r="535" spans="1:15">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f t="array" ref="O535">_xlfn.IFS(orders[[#This Row],[Customer Gender]]="M","Male", orders[[#This Row],[Customer Gender]]="F","Female", orders[[#This Row],[Customer Gender]]="O","Other", TRUE,"Unknown")</f>
        <v>Female</v>
      </c>
    </row>
    <row r="536" spans="1:15">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f t="array" ref="O536">_xlfn.IFS(orders[[#This Row],[Customer Gender]]="M","Male", orders[[#This Row],[Customer Gender]]="F","Female", orders[[#This Row],[Customer Gender]]="O","Other", TRUE,"Unknown")</f>
        <v>Female</v>
      </c>
    </row>
    <row r="537" spans="1:15">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f t="array" ref="O537">_xlfn.IFS(orders[[#This Row],[Customer Gender]]="M","Male", orders[[#This Row],[Customer Gender]]="F","Female", orders[[#This Row],[Customer Gender]]="O","Other", TRUE,"Unknown")</f>
        <v>Female</v>
      </c>
    </row>
    <row r="538" spans="1:15">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f t="array" ref="O538">_xlfn.IFS(orders[[#This Row],[Customer Gender]]="M","Male", orders[[#This Row],[Customer Gender]]="F","Female", orders[[#This Row],[Customer Gender]]="O","Other", TRUE,"Unknown")</f>
        <v>Male</v>
      </c>
    </row>
    <row r="539" spans="1:15">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f t="array" ref="O539">_xlfn.IFS(orders[[#This Row],[Customer Gender]]="M","Male", orders[[#This Row],[Customer Gender]]="F","Female", orders[[#This Row],[Customer Gender]]="O","Other", TRUE,"Unknown")</f>
        <v>Female</v>
      </c>
    </row>
    <row r="540" spans="1:15">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f t="array" ref="O540">_xlfn.IFS(orders[[#This Row],[Customer Gender]]="M","Male", orders[[#This Row],[Customer Gender]]="F","Female", orders[[#This Row],[Customer Gender]]="O","Other", TRUE,"Unknown")</f>
        <v>Male</v>
      </c>
    </row>
    <row r="541" spans="1:15">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f t="array" ref="O541">_xlfn.IFS(orders[[#This Row],[Customer Gender]]="M","Male", orders[[#This Row],[Customer Gender]]="F","Female", orders[[#This Row],[Customer Gender]]="O","Other", TRUE,"Unknown")</f>
        <v>Female</v>
      </c>
    </row>
    <row r="542" spans="1:15">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f t="array" ref="O542">_xlfn.IFS(orders[[#This Row],[Customer Gender]]="M","Male", orders[[#This Row],[Customer Gender]]="F","Female", orders[[#This Row],[Customer Gender]]="O","Other", TRUE,"Unknown")</f>
        <v>Male</v>
      </c>
    </row>
    <row r="543" spans="1:15">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f t="array" ref="O543">_xlfn.IFS(orders[[#This Row],[Customer Gender]]="M","Male", orders[[#This Row],[Customer Gender]]="F","Female", orders[[#This Row],[Customer Gender]]="O","Other", TRUE,"Unknown")</f>
        <v>Male</v>
      </c>
    </row>
    <row r="544" spans="1:15">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f t="array" ref="O544">_xlfn.IFS(orders[[#This Row],[Customer Gender]]="M","Male", orders[[#This Row],[Customer Gender]]="F","Female", orders[[#This Row],[Customer Gender]]="O","Other", TRUE,"Unknown")</f>
        <v>Female</v>
      </c>
    </row>
    <row r="545" spans="1:15">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f t="array" ref="O545">_xlfn.IFS(orders[[#This Row],[Customer Gender]]="M","Male", orders[[#This Row],[Customer Gender]]="F","Female", orders[[#This Row],[Customer Gender]]="O","Other", TRUE,"Unknown")</f>
        <v>Female</v>
      </c>
    </row>
    <row r="546" spans="1:15">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f t="array" ref="O546">_xlfn.IFS(orders[[#This Row],[Customer Gender]]="M","Male", orders[[#This Row],[Customer Gender]]="F","Female", orders[[#This Row],[Customer Gender]]="O","Other", TRUE,"Unknown")</f>
        <v>Female</v>
      </c>
    </row>
    <row r="547" spans="1:15">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f t="array" ref="O547">_xlfn.IFS(orders[[#This Row],[Customer Gender]]="M","Male", orders[[#This Row],[Customer Gender]]="F","Female", orders[[#This Row],[Customer Gender]]="O","Other", TRUE,"Unknown")</f>
        <v>Female</v>
      </c>
    </row>
    <row r="548" spans="1:15">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f t="array" ref="O548">_xlfn.IFS(orders[[#This Row],[Customer Gender]]="M","Male", orders[[#This Row],[Customer Gender]]="F","Female", orders[[#This Row],[Customer Gender]]="O","Other", TRUE,"Unknown")</f>
        <v>Unknown</v>
      </c>
    </row>
    <row r="549" spans="1:15">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f t="array" ref="O549">_xlfn.IFS(orders[[#This Row],[Customer Gender]]="M","Male", orders[[#This Row],[Customer Gender]]="F","Female", orders[[#This Row],[Customer Gender]]="O","Other", TRUE,"Unknown")</f>
        <v>Male</v>
      </c>
    </row>
    <row r="550" spans="1:15">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f t="array" ref="O550">_xlfn.IFS(orders[[#This Row],[Customer Gender]]="M","Male", orders[[#This Row],[Customer Gender]]="F","Female", orders[[#This Row],[Customer Gender]]="O","Other", TRUE,"Unknown")</f>
        <v>Female</v>
      </c>
    </row>
    <row r="551" spans="1:15">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f t="array" ref="O551">_xlfn.IFS(orders[[#This Row],[Customer Gender]]="M","Male", orders[[#This Row],[Customer Gender]]="F","Female", orders[[#This Row],[Customer Gender]]="O","Other", TRUE,"Unknown")</f>
        <v>Other</v>
      </c>
    </row>
    <row r="552" spans="1:15">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f t="array" ref="O552">_xlfn.IFS(orders[[#This Row],[Customer Gender]]="M","Male", orders[[#This Row],[Customer Gender]]="F","Female", orders[[#This Row],[Customer Gender]]="O","Other", TRUE,"Unknown")</f>
        <v>Male</v>
      </c>
    </row>
    <row r="553" spans="1:15">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f t="array" ref="O553">_xlfn.IFS(orders[[#This Row],[Customer Gender]]="M","Male", orders[[#This Row],[Customer Gender]]="F","Female", orders[[#This Row],[Customer Gender]]="O","Other", TRUE,"Unknown")</f>
        <v>Female</v>
      </c>
    </row>
    <row r="554" spans="1:15">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f t="array" ref="O554">_xlfn.IFS(orders[[#This Row],[Customer Gender]]="M","Male", orders[[#This Row],[Customer Gender]]="F","Female", orders[[#This Row],[Customer Gender]]="O","Other", TRUE,"Unknown")</f>
        <v>Female</v>
      </c>
    </row>
    <row r="555" spans="1:15">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f t="array" ref="O555">_xlfn.IFS(orders[[#This Row],[Customer Gender]]="M","Male", orders[[#This Row],[Customer Gender]]="F","Female", orders[[#This Row],[Customer Gender]]="O","Other", TRUE,"Unknown")</f>
        <v>Female</v>
      </c>
    </row>
    <row r="556" spans="1:15">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f t="array" ref="O556">_xlfn.IFS(orders[[#This Row],[Customer Gender]]="M","Male", orders[[#This Row],[Customer Gender]]="F","Female", orders[[#This Row],[Customer Gender]]="O","Other", TRUE,"Unknown")</f>
        <v>Female</v>
      </c>
    </row>
    <row r="557" spans="1:15">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f t="array" ref="O557">_xlfn.IFS(orders[[#This Row],[Customer Gender]]="M","Male", orders[[#This Row],[Customer Gender]]="F","Female", orders[[#This Row],[Customer Gender]]="O","Other", TRUE,"Unknown")</f>
        <v>Female</v>
      </c>
    </row>
    <row r="558" spans="1:15">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f t="array" ref="O558">_xlfn.IFS(orders[[#This Row],[Customer Gender]]="M","Male", orders[[#This Row],[Customer Gender]]="F","Female", orders[[#This Row],[Customer Gender]]="O","Other", TRUE,"Unknown")</f>
        <v>Female</v>
      </c>
    </row>
    <row r="559" spans="1:15">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f t="array" ref="O559">_xlfn.IFS(orders[[#This Row],[Customer Gender]]="M","Male", orders[[#This Row],[Customer Gender]]="F","Female", orders[[#This Row],[Customer Gender]]="O","Other", TRUE,"Unknown")</f>
        <v>Female</v>
      </c>
    </row>
    <row r="560" spans="1:15">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f t="array" ref="O560">_xlfn.IFS(orders[[#This Row],[Customer Gender]]="M","Male", orders[[#This Row],[Customer Gender]]="F","Female", orders[[#This Row],[Customer Gender]]="O","Other", TRUE,"Unknown")</f>
        <v>Male</v>
      </c>
    </row>
    <row r="561" spans="1:15">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f t="array" ref="O561">_xlfn.IFS(orders[[#This Row],[Customer Gender]]="M","Male", orders[[#This Row],[Customer Gender]]="F","Female", orders[[#This Row],[Customer Gender]]="O","Other", TRUE,"Unknown")</f>
        <v>Male</v>
      </c>
    </row>
    <row r="562" spans="1:15">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f t="array" ref="O562">_xlfn.IFS(orders[[#This Row],[Customer Gender]]="M","Male", orders[[#This Row],[Customer Gender]]="F","Female", orders[[#This Row],[Customer Gender]]="O","Other", TRUE,"Unknown")</f>
        <v>Female</v>
      </c>
    </row>
    <row r="563" spans="1:15">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f t="array" ref="O563">_xlfn.IFS(orders[[#This Row],[Customer Gender]]="M","Male", orders[[#This Row],[Customer Gender]]="F","Female", orders[[#This Row],[Customer Gender]]="O","Other", TRUE,"Unknown")</f>
        <v>Male</v>
      </c>
    </row>
    <row r="564" spans="1:15">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f t="array" ref="O564">_xlfn.IFS(orders[[#This Row],[Customer Gender]]="M","Male", orders[[#This Row],[Customer Gender]]="F","Female", orders[[#This Row],[Customer Gender]]="O","Other", TRUE,"Unknown")</f>
        <v>Male</v>
      </c>
    </row>
    <row r="565" spans="1:15">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f t="array" ref="O565">_xlfn.IFS(orders[[#This Row],[Customer Gender]]="M","Male", orders[[#This Row],[Customer Gender]]="F","Female", orders[[#This Row],[Customer Gender]]="O","Other", TRUE,"Unknown")</f>
        <v>Male</v>
      </c>
    </row>
    <row r="566" spans="1:15">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f t="array" ref="O566">_xlfn.IFS(orders[[#This Row],[Customer Gender]]="M","Male", orders[[#This Row],[Customer Gender]]="F","Female", orders[[#This Row],[Customer Gender]]="O","Other", TRUE,"Unknown")</f>
        <v>Female</v>
      </c>
    </row>
    <row r="567" spans="1:15">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f t="array" ref="O567">_xlfn.IFS(orders[[#This Row],[Customer Gender]]="M","Male", orders[[#This Row],[Customer Gender]]="F","Female", orders[[#This Row],[Customer Gender]]="O","Other", TRUE,"Unknown")</f>
        <v>Male</v>
      </c>
    </row>
    <row r="568" spans="1:15">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f t="array" ref="O568">_xlfn.IFS(orders[[#This Row],[Customer Gender]]="M","Male", orders[[#This Row],[Customer Gender]]="F","Female", orders[[#This Row],[Customer Gender]]="O","Other", TRUE,"Unknown")</f>
        <v>Female</v>
      </c>
    </row>
    <row r="569" spans="1:15">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f t="array" ref="O569">_xlfn.IFS(orders[[#This Row],[Customer Gender]]="M","Male", orders[[#This Row],[Customer Gender]]="F","Female", orders[[#This Row],[Customer Gender]]="O","Other", TRUE,"Unknown")</f>
        <v>Female</v>
      </c>
    </row>
    <row r="570" spans="1:15">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f t="array" ref="O570">_xlfn.IFS(orders[[#This Row],[Customer Gender]]="M","Male", orders[[#This Row],[Customer Gender]]="F","Female", orders[[#This Row],[Customer Gender]]="O","Other", TRUE,"Unknown")</f>
        <v>Female</v>
      </c>
    </row>
    <row r="571" spans="1:15">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f t="array" ref="O571">_xlfn.IFS(orders[[#This Row],[Customer Gender]]="M","Male", orders[[#This Row],[Customer Gender]]="F","Female", orders[[#This Row],[Customer Gender]]="O","Other", TRUE,"Unknown")</f>
        <v>Male</v>
      </c>
    </row>
    <row r="572" spans="1:15">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f t="array" ref="O572">_xlfn.IFS(orders[[#This Row],[Customer Gender]]="M","Male", orders[[#This Row],[Customer Gender]]="F","Female", orders[[#This Row],[Customer Gender]]="O","Other", TRUE,"Unknown")</f>
        <v>Male</v>
      </c>
    </row>
    <row r="573" spans="1:15">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f t="array" ref="O573">_xlfn.IFS(orders[[#This Row],[Customer Gender]]="M","Male", orders[[#This Row],[Customer Gender]]="F","Female", orders[[#This Row],[Customer Gender]]="O","Other", TRUE,"Unknown")</f>
        <v>Female</v>
      </c>
    </row>
    <row r="574" spans="1:15">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f t="array" ref="O574">_xlfn.IFS(orders[[#This Row],[Customer Gender]]="M","Male", orders[[#This Row],[Customer Gender]]="F","Female", orders[[#This Row],[Customer Gender]]="O","Other", TRUE,"Unknown")</f>
        <v>Male</v>
      </c>
    </row>
    <row r="575" spans="1:15">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f t="array" ref="O575">_xlfn.IFS(orders[[#This Row],[Customer Gender]]="M","Male", orders[[#This Row],[Customer Gender]]="F","Female", orders[[#This Row],[Customer Gender]]="O","Other", TRUE,"Unknown")</f>
        <v>Female</v>
      </c>
    </row>
    <row r="576" spans="1:15">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f t="array" ref="O576">_xlfn.IFS(orders[[#This Row],[Customer Gender]]="M","Male", orders[[#This Row],[Customer Gender]]="F","Female", orders[[#This Row],[Customer Gender]]="O","Other", TRUE,"Unknown")</f>
        <v>Female</v>
      </c>
    </row>
    <row r="577" spans="1:15">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f t="array" ref="O577">_xlfn.IFS(orders[[#This Row],[Customer Gender]]="M","Male", orders[[#This Row],[Customer Gender]]="F","Female", orders[[#This Row],[Customer Gender]]="O","Other", TRUE,"Unknown")</f>
        <v>Male</v>
      </c>
    </row>
    <row r="578" spans="1:15">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f t="array" ref="O578">_xlfn.IFS(orders[[#This Row],[Customer Gender]]="M","Male", orders[[#This Row],[Customer Gender]]="F","Female", orders[[#This Row],[Customer Gender]]="O","Other", TRUE,"Unknown")</f>
        <v>Male</v>
      </c>
    </row>
    <row r="579" spans="1:15">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f t="array" ref="O579">_xlfn.IFS(orders[[#This Row],[Customer Gender]]="M","Male", orders[[#This Row],[Customer Gender]]="F","Female", orders[[#This Row],[Customer Gender]]="O","Other", TRUE,"Unknown")</f>
        <v>Female</v>
      </c>
    </row>
    <row r="580" spans="1:15">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f t="array" ref="O580">_xlfn.IFS(orders[[#This Row],[Customer Gender]]="M","Male", orders[[#This Row],[Customer Gender]]="F","Female", orders[[#This Row],[Customer Gender]]="O","Other", TRUE,"Unknown")</f>
        <v>Female</v>
      </c>
    </row>
    <row r="581" spans="1:15">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f t="array" ref="O581">_xlfn.IFS(orders[[#This Row],[Customer Gender]]="M","Male", orders[[#This Row],[Customer Gender]]="F","Female", orders[[#This Row],[Customer Gender]]="O","Other", TRUE,"Unknown")</f>
        <v>Female</v>
      </c>
    </row>
    <row r="582" spans="1:15">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f t="array" ref="O582">_xlfn.IFS(orders[[#This Row],[Customer Gender]]="M","Male", orders[[#This Row],[Customer Gender]]="F","Female", orders[[#This Row],[Customer Gender]]="O","Other", TRUE,"Unknown")</f>
        <v>Female</v>
      </c>
    </row>
    <row r="583" spans="1:15">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f t="array" ref="O583">_xlfn.IFS(orders[[#This Row],[Customer Gender]]="M","Male", orders[[#This Row],[Customer Gender]]="F","Female", orders[[#This Row],[Customer Gender]]="O","Other", TRUE,"Unknown")</f>
        <v>Female</v>
      </c>
    </row>
    <row r="584" spans="1:15">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f t="array" ref="O584">_xlfn.IFS(orders[[#This Row],[Customer Gender]]="M","Male", orders[[#This Row],[Customer Gender]]="F","Female", orders[[#This Row],[Customer Gender]]="O","Other", TRUE,"Unknown")</f>
        <v>Female</v>
      </c>
    </row>
    <row r="585" spans="1:15">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f t="array" ref="O585">_xlfn.IFS(orders[[#This Row],[Customer Gender]]="M","Male", orders[[#This Row],[Customer Gender]]="F","Female", orders[[#This Row],[Customer Gender]]="O","Other", TRUE,"Unknown")</f>
        <v>Male</v>
      </c>
    </row>
    <row r="586" spans="1:15">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f t="array" ref="O586">_xlfn.IFS(orders[[#This Row],[Customer Gender]]="M","Male", orders[[#This Row],[Customer Gender]]="F","Female", orders[[#This Row],[Customer Gender]]="O","Other", TRUE,"Unknown")</f>
        <v>Female</v>
      </c>
    </row>
    <row r="587" spans="1:15">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f t="array" ref="O587">_xlfn.IFS(orders[[#This Row],[Customer Gender]]="M","Male", orders[[#This Row],[Customer Gender]]="F","Female", orders[[#This Row],[Customer Gender]]="O","Other", TRUE,"Unknown")</f>
        <v>Female</v>
      </c>
    </row>
    <row r="588" spans="1:15">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f t="array" ref="O588">_xlfn.IFS(orders[[#This Row],[Customer Gender]]="M","Male", orders[[#This Row],[Customer Gender]]="F","Female", orders[[#This Row],[Customer Gender]]="O","Other", TRUE,"Unknown")</f>
        <v>Female</v>
      </c>
    </row>
    <row r="589" spans="1:15">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f t="array" ref="O589">_xlfn.IFS(orders[[#This Row],[Customer Gender]]="M","Male", orders[[#This Row],[Customer Gender]]="F","Female", orders[[#This Row],[Customer Gender]]="O","Other", TRUE,"Unknown")</f>
        <v>Male</v>
      </c>
    </row>
    <row r="590" spans="1:15">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f t="array" ref="O590">_xlfn.IFS(orders[[#This Row],[Customer Gender]]="M","Male", orders[[#This Row],[Customer Gender]]="F","Female", orders[[#This Row],[Customer Gender]]="O","Other", TRUE,"Unknown")</f>
        <v>Female</v>
      </c>
    </row>
    <row r="591" spans="1:15">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f t="array" ref="O591">_xlfn.IFS(orders[[#This Row],[Customer Gender]]="M","Male", orders[[#This Row],[Customer Gender]]="F","Female", orders[[#This Row],[Customer Gender]]="O","Other", TRUE,"Unknown")</f>
        <v>Female</v>
      </c>
    </row>
    <row r="592" spans="1:15">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f t="array" ref="O592">_xlfn.IFS(orders[[#This Row],[Customer Gender]]="M","Male", orders[[#This Row],[Customer Gender]]="F","Female", orders[[#This Row],[Customer Gender]]="O","Other", TRUE,"Unknown")</f>
        <v>Male</v>
      </c>
    </row>
    <row r="593" spans="1:15">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f t="array" ref="O593">_xlfn.IFS(orders[[#This Row],[Customer Gender]]="M","Male", orders[[#This Row],[Customer Gender]]="F","Female", orders[[#This Row],[Customer Gender]]="O","Other", TRUE,"Unknown")</f>
        <v>Female</v>
      </c>
    </row>
    <row r="594" spans="1:15">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f t="array" ref="O594">_xlfn.IFS(orders[[#This Row],[Customer Gender]]="M","Male", orders[[#This Row],[Customer Gender]]="F","Female", orders[[#This Row],[Customer Gender]]="O","Other", TRUE,"Unknown")</f>
        <v>Female</v>
      </c>
    </row>
    <row r="595" spans="1:15">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f t="array" ref="O595">_xlfn.IFS(orders[[#This Row],[Customer Gender]]="M","Male", orders[[#This Row],[Customer Gender]]="F","Female", orders[[#This Row],[Customer Gender]]="O","Other", TRUE,"Unknown")</f>
        <v>Female</v>
      </c>
    </row>
    <row r="596" spans="1:15">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f t="array" ref="O596">_xlfn.IFS(orders[[#This Row],[Customer Gender]]="M","Male", orders[[#This Row],[Customer Gender]]="F","Female", orders[[#This Row],[Customer Gender]]="O","Other", TRUE,"Unknown")</f>
        <v>Male</v>
      </c>
    </row>
    <row r="597" spans="1:15">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f t="array" ref="O597">_xlfn.IFS(orders[[#This Row],[Customer Gender]]="M","Male", orders[[#This Row],[Customer Gender]]="F","Female", orders[[#This Row],[Customer Gender]]="O","Other", TRUE,"Unknown")</f>
        <v>Male</v>
      </c>
    </row>
    <row r="598" spans="1:15">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f t="array" ref="O598">_xlfn.IFS(orders[[#This Row],[Customer Gender]]="M","Male", orders[[#This Row],[Customer Gender]]="F","Female", orders[[#This Row],[Customer Gender]]="O","Other", TRUE,"Unknown")</f>
        <v>Female</v>
      </c>
    </row>
    <row r="599" spans="1:15">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f t="array" ref="O599">_xlfn.IFS(orders[[#This Row],[Customer Gender]]="M","Male", orders[[#This Row],[Customer Gender]]="F","Female", orders[[#This Row],[Customer Gender]]="O","Other", TRUE,"Unknown")</f>
        <v>Female</v>
      </c>
    </row>
    <row r="600" spans="1:15">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f t="array" ref="O600">_xlfn.IFS(orders[[#This Row],[Customer Gender]]="M","Male", orders[[#This Row],[Customer Gender]]="F","Female", orders[[#This Row],[Customer Gender]]="O","Other", TRUE,"Unknown")</f>
        <v>Male</v>
      </c>
    </row>
    <row r="601" spans="1:15">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f t="array" ref="O601">_xlfn.IFS(orders[[#This Row],[Customer Gender]]="M","Male", orders[[#This Row],[Customer Gender]]="F","Female", orders[[#This Row],[Customer Gender]]="O","Other", TRUE,"Unknown")</f>
        <v>Female</v>
      </c>
    </row>
    <row r="602" spans="1:15">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f t="array" ref="O602">_xlfn.IFS(orders[[#This Row],[Customer Gender]]="M","Male", orders[[#This Row],[Customer Gender]]="F","Female", orders[[#This Row],[Customer Gender]]="O","Other", TRUE,"Unknown")</f>
        <v>Male</v>
      </c>
    </row>
    <row r="603" spans="1:15">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f t="array" ref="O603">_xlfn.IFS(orders[[#This Row],[Customer Gender]]="M","Male", orders[[#This Row],[Customer Gender]]="F","Female", orders[[#This Row],[Customer Gender]]="O","Other", TRUE,"Unknown")</f>
        <v>Female</v>
      </c>
    </row>
    <row r="604" spans="1:15">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f t="array" ref="O604">_xlfn.IFS(orders[[#This Row],[Customer Gender]]="M","Male", orders[[#This Row],[Customer Gender]]="F","Female", orders[[#This Row],[Customer Gender]]="O","Other", TRUE,"Unknown")</f>
        <v>Female</v>
      </c>
    </row>
    <row r="605" spans="1:15">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f t="array" ref="O605">_xlfn.IFS(orders[[#This Row],[Customer Gender]]="M","Male", orders[[#This Row],[Customer Gender]]="F","Female", orders[[#This Row],[Customer Gender]]="O","Other", TRUE,"Unknown")</f>
        <v>Male</v>
      </c>
    </row>
    <row r="606" spans="1:15">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f t="array" ref="O606">_xlfn.IFS(orders[[#This Row],[Customer Gender]]="M","Male", orders[[#This Row],[Customer Gender]]="F","Female", orders[[#This Row],[Customer Gender]]="O","Other", TRUE,"Unknown")</f>
        <v>Male</v>
      </c>
    </row>
    <row r="607" spans="1:15">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f t="array" ref="O607">_xlfn.IFS(orders[[#This Row],[Customer Gender]]="M","Male", orders[[#This Row],[Customer Gender]]="F","Female", orders[[#This Row],[Customer Gender]]="O","Other", TRUE,"Unknown")</f>
        <v>Female</v>
      </c>
    </row>
    <row r="608" spans="1:15">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f t="array" ref="O608">_xlfn.IFS(orders[[#This Row],[Customer Gender]]="M","Male", orders[[#This Row],[Customer Gender]]="F","Female", orders[[#This Row],[Customer Gender]]="O","Other", TRUE,"Unknown")</f>
        <v>Female</v>
      </c>
    </row>
    <row r="609" spans="1:15">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f t="array" ref="O609">_xlfn.IFS(orders[[#This Row],[Customer Gender]]="M","Male", orders[[#This Row],[Customer Gender]]="F","Female", orders[[#This Row],[Customer Gender]]="O","Other", TRUE,"Unknown")</f>
        <v>Male</v>
      </c>
    </row>
    <row r="610" spans="1:15">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f t="array" ref="O610">_xlfn.IFS(orders[[#This Row],[Customer Gender]]="M","Male", orders[[#This Row],[Customer Gender]]="F","Female", orders[[#This Row],[Customer Gender]]="O","Other", TRUE,"Unknown")</f>
        <v>Female</v>
      </c>
    </row>
    <row r="611" spans="1:15">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f t="array" ref="O611">_xlfn.IFS(orders[[#This Row],[Customer Gender]]="M","Male", orders[[#This Row],[Customer Gender]]="F","Female", orders[[#This Row],[Customer Gender]]="O","Other", TRUE,"Unknown")</f>
        <v>Female</v>
      </c>
    </row>
    <row r="612" spans="1:15">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f t="array" ref="O612">_xlfn.IFS(orders[[#This Row],[Customer Gender]]="M","Male", orders[[#This Row],[Customer Gender]]="F","Female", orders[[#This Row],[Customer Gender]]="O","Other", TRUE,"Unknown")</f>
        <v>Female</v>
      </c>
    </row>
    <row r="613" spans="1:15">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f t="array" ref="O613">_xlfn.IFS(orders[[#This Row],[Customer Gender]]="M","Male", orders[[#This Row],[Customer Gender]]="F","Female", orders[[#This Row],[Customer Gender]]="O","Other", TRUE,"Unknown")</f>
        <v>Female</v>
      </c>
    </row>
    <row r="614" spans="1:15">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f t="array" ref="O614">_xlfn.IFS(orders[[#This Row],[Customer Gender]]="M","Male", orders[[#This Row],[Customer Gender]]="F","Female", orders[[#This Row],[Customer Gender]]="O","Other", TRUE,"Unknown")</f>
        <v>Female</v>
      </c>
    </row>
    <row r="615" spans="1:15">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f t="array" ref="O615">_xlfn.IFS(orders[[#This Row],[Customer Gender]]="M","Male", orders[[#This Row],[Customer Gender]]="F","Female", orders[[#This Row],[Customer Gender]]="O","Other", TRUE,"Unknown")</f>
        <v>Female</v>
      </c>
    </row>
    <row r="616" spans="1:15">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f t="array" ref="O616">_xlfn.IFS(orders[[#This Row],[Customer Gender]]="M","Male", orders[[#This Row],[Customer Gender]]="F","Female", orders[[#This Row],[Customer Gender]]="O","Other", TRUE,"Unknown")</f>
        <v>Male</v>
      </c>
    </row>
    <row r="617" spans="1:15">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f t="array" ref="O617">_xlfn.IFS(orders[[#This Row],[Customer Gender]]="M","Male", orders[[#This Row],[Customer Gender]]="F","Female", orders[[#This Row],[Customer Gender]]="O","Other", TRUE,"Unknown")</f>
        <v>Male</v>
      </c>
    </row>
    <row r="618" spans="1:15">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f t="array" ref="O618">_xlfn.IFS(orders[[#This Row],[Customer Gender]]="M","Male", orders[[#This Row],[Customer Gender]]="F","Female", orders[[#This Row],[Customer Gender]]="O","Other", TRUE,"Unknown")</f>
        <v>Male</v>
      </c>
    </row>
    <row r="619" spans="1:15">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f t="array" ref="O619">_xlfn.IFS(orders[[#This Row],[Customer Gender]]="M","Male", orders[[#This Row],[Customer Gender]]="F","Female", orders[[#This Row],[Customer Gender]]="O","Other", TRUE,"Unknown")</f>
        <v>Female</v>
      </c>
    </row>
    <row r="620" spans="1:15">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f t="array" ref="O620">_xlfn.IFS(orders[[#This Row],[Customer Gender]]="M","Male", orders[[#This Row],[Customer Gender]]="F","Female", orders[[#This Row],[Customer Gender]]="O","Other", TRUE,"Unknown")</f>
        <v>Male</v>
      </c>
    </row>
    <row r="621" spans="1:15">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f t="array" ref="O621">_xlfn.IFS(orders[[#This Row],[Customer Gender]]="M","Male", orders[[#This Row],[Customer Gender]]="F","Female", orders[[#This Row],[Customer Gender]]="O","Other", TRUE,"Unknown")</f>
        <v>Male</v>
      </c>
    </row>
    <row r="622" spans="1:15">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f t="array" ref="O622">_xlfn.IFS(orders[[#This Row],[Customer Gender]]="M","Male", orders[[#This Row],[Customer Gender]]="F","Female", orders[[#This Row],[Customer Gender]]="O","Other", TRUE,"Unknown")</f>
        <v>Female</v>
      </c>
    </row>
    <row r="623" spans="1:15">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f t="array" ref="O623">_xlfn.IFS(orders[[#This Row],[Customer Gender]]="M","Male", orders[[#This Row],[Customer Gender]]="F","Female", orders[[#This Row],[Customer Gender]]="O","Other", TRUE,"Unknown")</f>
        <v>Male</v>
      </c>
    </row>
    <row r="624" spans="1:15">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f t="array" ref="O624">_xlfn.IFS(orders[[#This Row],[Customer Gender]]="M","Male", orders[[#This Row],[Customer Gender]]="F","Female", orders[[#This Row],[Customer Gender]]="O","Other", TRUE,"Unknown")</f>
        <v>Female</v>
      </c>
    </row>
    <row r="625" spans="1:15">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f t="array" ref="O625">_xlfn.IFS(orders[[#This Row],[Customer Gender]]="M","Male", orders[[#This Row],[Customer Gender]]="F","Female", orders[[#This Row],[Customer Gender]]="O","Other", TRUE,"Unknown")</f>
        <v>Unknown</v>
      </c>
    </row>
    <row r="626" spans="1:15">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f t="array" ref="O626">_xlfn.IFS(orders[[#This Row],[Customer Gender]]="M","Male", orders[[#This Row],[Customer Gender]]="F","Female", orders[[#This Row],[Customer Gender]]="O","Other", TRUE,"Unknown")</f>
        <v>Female</v>
      </c>
    </row>
    <row r="627" spans="1:15">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f t="array" ref="O627">_xlfn.IFS(orders[[#This Row],[Customer Gender]]="M","Male", orders[[#This Row],[Customer Gender]]="F","Female", orders[[#This Row],[Customer Gender]]="O","Other", TRUE,"Unknown")</f>
        <v>Female</v>
      </c>
    </row>
    <row r="628" spans="1:15">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f t="array" ref="O628">_xlfn.IFS(orders[[#This Row],[Customer Gender]]="M","Male", orders[[#This Row],[Customer Gender]]="F","Female", orders[[#This Row],[Customer Gender]]="O","Other", TRUE,"Unknown")</f>
        <v>Female</v>
      </c>
    </row>
    <row r="629" spans="1:15">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f t="array" ref="O629">_xlfn.IFS(orders[[#This Row],[Customer Gender]]="M","Male", orders[[#This Row],[Customer Gender]]="F","Female", orders[[#This Row],[Customer Gender]]="O","Other", TRUE,"Unknown")</f>
        <v>Female</v>
      </c>
    </row>
    <row r="630" spans="1:15">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f t="array" ref="O630">_xlfn.IFS(orders[[#This Row],[Customer Gender]]="M","Male", orders[[#This Row],[Customer Gender]]="F","Female", orders[[#This Row],[Customer Gender]]="O","Other", TRUE,"Unknown")</f>
        <v>Female</v>
      </c>
    </row>
    <row r="631" spans="1:15">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f t="array" ref="O631">_xlfn.IFS(orders[[#This Row],[Customer Gender]]="M","Male", orders[[#This Row],[Customer Gender]]="F","Female", orders[[#This Row],[Customer Gender]]="O","Other", TRUE,"Unknown")</f>
        <v>Male</v>
      </c>
    </row>
    <row r="632" spans="1:15">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f t="array" ref="O632">_xlfn.IFS(orders[[#This Row],[Customer Gender]]="M","Male", orders[[#This Row],[Customer Gender]]="F","Female", orders[[#This Row],[Customer Gender]]="O","Other", TRUE,"Unknown")</f>
        <v>Female</v>
      </c>
    </row>
    <row r="633" spans="1:15">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f t="array" ref="O633">_xlfn.IFS(orders[[#This Row],[Customer Gender]]="M","Male", orders[[#This Row],[Customer Gender]]="F","Female", orders[[#This Row],[Customer Gender]]="O","Other", TRUE,"Unknown")</f>
        <v>Male</v>
      </c>
    </row>
    <row r="634" spans="1:15">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f t="array" ref="O634">_xlfn.IFS(orders[[#This Row],[Customer Gender]]="M","Male", orders[[#This Row],[Customer Gender]]="F","Female", orders[[#This Row],[Customer Gender]]="O","Other", TRUE,"Unknown")</f>
        <v>Male</v>
      </c>
    </row>
    <row r="635" spans="1:15">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f t="array" ref="O635">_xlfn.IFS(orders[[#This Row],[Customer Gender]]="M","Male", orders[[#This Row],[Customer Gender]]="F","Female", orders[[#This Row],[Customer Gender]]="O","Other", TRUE,"Unknown")</f>
        <v>Female</v>
      </c>
    </row>
    <row r="636" spans="1:15">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f t="array" ref="O636">_xlfn.IFS(orders[[#This Row],[Customer Gender]]="M","Male", orders[[#This Row],[Customer Gender]]="F","Female", orders[[#This Row],[Customer Gender]]="O","Other", TRUE,"Unknown")</f>
        <v>Female</v>
      </c>
    </row>
    <row r="637" spans="1:15">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f t="array" ref="O637">_xlfn.IFS(orders[[#This Row],[Customer Gender]]="M","Male", orders[[#This Row],[Customer Gender]]="F","Female", orders[[#This Row],[Customer Gender]]="O","Other", TRUE,"Unknown")</f>
        <v>Male</v>
      </c>
    </row>
    <row r="638" spans="1:15">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f t="array" ref="O638">_xlfn.IFS(orders[[#This Row],[Customer Gender]]="M","Male", orders[[#This Row],[Customer Gender]]="F","Female", orders[[#This Row],[Customer Gender]]="O","Other", TRUE,"Unknown")</f>
        <v>Male</v>
      </c>
    </row>
    <row r="639" spans="1:15">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f t="array" ref="O639">_xlfn.IFS(orders[[#This Row],[Customer Gender]]="M","Male", orders[[#This Row],[Customer Gender]]="F","Female", orders[[#This Row],[Customer Gender]]="O","Other", TRUE,"Unknown")</f>
        <v>Female</v>
      </c>
    </row>
    <row r="640" spans="1:15">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f t="array" ref="O640">_xlfn.IFS(orders[[#This Row],[Customer Gender]]="M","Male", orders[[#This Row],[Customer Gender]]="F","Female", orders[[#This Row],[Customer Gender]]="O","Other", TRUE,"Unknown")</f>
        <v>Female</v>
      </c>
    </row>
    <row r="641" spans="1:15">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f t="array" ref="O641">_xlfn.IFS(orders[[#This Row],[Customer Gender]]="M","Male", orders[[#This Row],[Customer Gender]]="F","Female", orders[[#This Row],[Customer Gender]]="O","Other", TRUE,"Unknown")</f>
        <v>Female</v>
      </c>
    </row>
    <row r="642" spans="1:15">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f t="array" ref="O642">_xlfn.IFS(orders[[#This Row],[Customer Gender]]="M","Male", orders[[#This Row],[Customer Gender]]="F","Female", orders[[#This Row],[Customer Gender]]="O","Other", TRUE,"Unknown")</f>
        <v>Male</v>
      </c>
    </row>
    <row r="643" spans="1:15">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f t="array" ref="O643">_xlfn.IFS(orders[[#This Row],[Customer Gender]]="M","Male", orders[[#This Row],[Customer Gender]]="F","Female", orders[[#This Row],[Customer Gender]]="O","Other", TRUE,"Unknown")</f>
        <v>Female</v>
      </c>
    </row>
    <row r="644" spans="1:15">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f t="array" ref="O644">_xlfn.IFS(orders[[#This Row],[Customer Gender]]="M","Male", orders[[#This Row],[Customer Gender]]="F","Female", orders[[#This Row],[Customer Gender]]="O","Other", TRUE,"Unknown")</f>
        <v>Male</v>
      </c>
    </row>
    <row r="645" spans="1:15">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f t="array" ref="O645">_xlfn.IFS(orders[[#This Row],[Customer Gender]]="M","Male", orders[[#This Row],[Customer Gender]]="F","Female", orders[[#This Row],[Customer Gender]]="O","Other", TRUE,"Unknown")</f>
        <v>Female</v>
      </c>
    </row>
    <row r="646" spans="1:15">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f t="array" ref="O646">_xlfn.IFS(orders[[#This Row],[Customer Gender]]="M","Male", orders[[#This Row],[Customer Gender]]="F","Female", orders[[#This Row],[Customer Gender]]="O","Other", TRUE,"Unknown")</f>
        <v>Female</v>
      </c>
    </row>
    <row r="647" spans="1:15">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f t="array" ref="O647">_xlfn.IFS(orders[[#This Row],[Customer Gender]]="M","Male", orders[[#This Row],[Customer Gender]]="F","Female", orders[[#This Row],[Customer Gender]]="O","Other", TRUE,"Unknown")</f>
        <v>Female</v>
      </c>
    </row>
    <row r="648" spans="1:15">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f t="array" ref="O648">_xlfn.IFS(orders[[#This Row],[Customer Gender]]="M","Male", orders[[#This Row],[Customer Gender]]="F","Female", orders[[#This Row],[Customer Gender]]="O","Other", TRUE,"Unknown")</f>
        <v>Unknown</v>
      </c>
    </row>
    <row r="649" spans="1:15">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f t="array" ref="O649">_xlfn.IFS(orders[[#This Row],[Customer Gender]]="M","Male", orders[[#This Row],[Customer Gender]]="F","Female", orders[[#This Row],[Customer Gender]]="O","Other", TRUE,"Unknown")</f>
        <v>Female</v>
      </c>
    </row>
    <row r="650" spans="1:15">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f t="array" ref="O650">_xlfn.IFS(orders[[#This Row],[Customer Gender]]="M","Male", orders[[#This Row],[Customer Gender]]="F","Female", orders[[#This Row],[Customer Gender]]="O","Other", TRUE,"Unknown")</f>
        <v>Female</v>
      </c>
    </row>
    <row r="651" spans="1:15">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f t="array" ref="O651">_xlfn.IFS(orders[[#This Row],[Customer Gender]]="M","Male", orders[[#This Row],[Customer Gender]]="F","Female", orders[[#This Row],[Customer Gender]]="O","Other", TRUE,"Unknown")</f>
        <v>Male</v>
      </c>
    </row>
    <row r="652" spans="1:15">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f t="array" ref="O652">_xlfn.IFS(orders[[#This Row],[Customer Gender]]="M","Male", orders[[#This Row],[Customer Gender]]="F","Female", orders[[#This Row],[Customer Gender]]="O","Other", TRUE,"Unknown")</f>
        <v>Female</v>
      </c>
    </row>
    <row r="653" spans="1:15">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f t="array" ref="O653">_xlfn.IFS(orders[[#This Row],[Customer Gender]]="M","Male", orders[[#This Row],[Customer Gender]]="F","Female", orders[[#This Row],[Customer Gender]]="O","Other", TRUE,"Unknown")</f>
        <v>Female</v>
      </c>
    </row>
    <row r="654" spans="1:15">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f t="array" ref="O654">_xlfn.IFS(orders[[#This Row],[Customer Gender]]="M","Male", orders[[#This Row],[Customer Gender]]="F","Female", orders[[#This Row],[Customer Gender]]="O","Other", TRUE,"Unknown")</f>
        <v>Male</v>
      </c>
    </row>
    <row r="655" spans="1:15">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f t="array" ref="O655">_xlfn.IFS(orders[[#This Row],[Customer Gender]]="M","Male", orders[[#This Row],[Customer Gender]]="F","Female", orders[[#This Row],[Customer Gender]]="O","Other", TRUE,"Unknown")</f>
        <v>Female</v>
      </c>
    </row>
    <row r="656" spans="1:15">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f t="array" ref="O656">_xlfn.IFS(orders[[#This Row],[Customer Gender]]="M","Male", orders[[#This Row],[Customer Gender]]="F","Female", orders[[#This Row],[Customer Gender]]="O","Other", TRUE,"Unknown")</f>
        <v>Male</v>
      </c>
    </row>
    <row r="657" spans="1:15">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f t="array" ref="O657">_xlfn.IFS(orders[[#This Row],[Customer Gender]]="M","Male", orders[[#This Row],[Customer Gender]]="F","Female", orders[[#This Row],[Customer Gender]]="O","Other", TRUE,"Unknown")</f>
        <v>Female</v>
      </c>
    </row>
    <row r="658" spans="1:15">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f t="array" ref="O658">_xlfn.IFS(orders[[#This Row],[Customer Gender]]="M","Male", orders[[#This Row],[Customer Gender]]="F","Female", orders[[#This Row],[Customer Gender]]="O","Other", TRUE,"Unknown")</f>
        <v>Male</v>
      </c>
    </row>
    <row r="659" spans="1:15">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f t="array" ref="O659">_xlfn.IFS(orders[[#This Row],[Customer Gender]]="M","Male", orders[[#This Row],[Customer Gender]]="F","Female", orders[[#This Row],[Customer Gender]]="O","Other", TRUE,"Unknown")</f>
        <v>Male</v>
      </c>
    </row>
    <row r="660" spans="1:15">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f t="array" ref="O660">_xlfn.IFS(orders[[#This Row],[Customer Gender]]="M","Male", orders[[#This Row],[Customer Gender]]="F","Female", orders[[#This Row],[Customer Gender]]="O","Other", TRUE,"Unknown")</f>
        <v>Female</v>
      </c>
    </row>
    <row r="661" spans="1:15">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f t="array" ref="O661">_xlfn.IFS(orders[[#This Row],[Customer Gender]]="M","Male", orders[[#This Row],[Customer Gender]]="F","Female", orders[[#This Row],[Customer Gender]]="O","Other", TRUE,"Unknown")</f>
        <v>Female</v>
      </c>
    </row>
    <row r="662" spans="1:15">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f t="array" ref="O662">_xlfn.IFS(orders[[#This Row],[Customer Gender]]="M","Male", orders[[#This Row],[Customer Gender]]="F","Female", orders[[#This Row],[Customer Gender]]="O","Other", TRUE,"Unknown")</f>
        <v>Female</v>
      </c>
    </row>
    <row r="663" spans="1:15">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f t="array" ref="O663">_xlfn.IFS(orders[[#This Row],[Customer Gender]]="M","Male", orders[[#This Row],[Customer Gender]]="F","Female", orders[[#This Row],[Customer Gender]]="O","Other", TRUE,"Unknown")</f>
        <v>Male</v>
      </c>
    </row>
    <row r="664" spans="1:15">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f t="array" ref="O664">_xlfn.IFS(orders[[#This Row],[Customer Gender]]="M","Male", orders[[#This Row],[Customer Gender]]="F","Female", orders[[#This Row],[Customer Gender]]="O","Other", TRUE,"Unknown")</f>
        <v>Female</v>
      </c>
    </row>
    <row r="665" spans="1:15">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f t="array" ref="O665">_xlfn.IFS(orders[[#This Row],[Customer Gender]]="M","Male", orders[[#This Row],[Customer Gender]]="F","Female", orders[[#This Row],[Customer Gender]]="O","Other", TRUE,"Unknown")</f>
        <v>Male</v>
      </c>
    </row>
    <row r="666" spans="1:15">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f t="array" ref="O666">_xlfn.IFS(orders[[#This Row],[Customer Gender]]="M","Male", orders[[#This Row],[Customer Gender]]="F","Female", orders[[#This Row],[Customer Gender]]="O","Other", TRUE,"Unknown")</f>
        <v>Male</v>
      </c>
    </row>
    <row r="667" spans="1:15">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f t="array" ref="O667">_xlfn.IFS(orders[[#This Row],[Customer Gender]]="M","Male", orders[[#This Row],[Customer Gender]]="F","Female", orders[[#This Row],[Customer Gender]]="O","Other", TRUE,"Unknown")</f>
        <v>Female</v>
      </c>
    </row>
    <row r="668" spans="1:15">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f t="array" ref="O668">_xlfn.IFS(orders[[#This Row],[Customer Gender]]="M","Male", orders[[#This Row],[Customer Gender]]="F","Female", orders[[#This Row],[Customer Gender]]="O","Other", TRUE,"Unknown")</f>
        <v>Male</v>
      </c>
    </row>
    <row r="669" spans="1:15">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f t="array" ref="O669">_xlfn.IFS(orders[[#This Row],[Customer Gender]]="M","Male", orders[[#This Row],[Customer Gender]]="F","Female", orders[[#This Row],[Customer Gender]]="O","Other", TRUE,"Unknown")</f>
        <v>Female</v>
      </c>
    </row>
    <row r="670" spans="1:15">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f t="array" ref="O670">_xlfn.IFS(orders[[#This Row],[Customer Gender]]="M","Male", orders[[#This Row],[Customer Gender]]="F","Female", orders[[#This Row],[Customer Gender]]="O","Other", TRUE,"Unknown")</f>
        <v>Female</v>
      </c>
    </row>
    <row r="671" spans="1:15">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f t="array" ref="O671">_xlfn.IFS(orders[[#This Row],[Customer Gender]]="M","Male", orders[[#This Row],[Customer Gender]]="F","Female", orders[[#This Row],[Customer Gender]]="O","Other", TRUE,"Unknown")</f>
        <v>Female</v>
      </c>
    </row>
    <row r="672" spans="1:15">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f t="array" ref="O672">_xlfn.IFS(orders[[#This Row],[Customer Gender]]="M","Male", orders[[#This Row],[Customer Gender]]="F","Female", orders[[#This Row],[Customer Gender]]="O","Other", TRUE,"Unknown")</f>
        <v>Female</v>
      </c>
    </row>
    <row r="673" spans="1:15">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f t="array" ref="O673">_xlfn.IFS(orders[[#This Row],[Customer Gender]]="M","Male", orders[[#This Row],[Customer Gender]]="F","Female", orders[[#This Row],[Customer Gender]]="O","Other", TRUE,"Unknown")</f>
        <v>Female</v>
      </c>
    </row>
    <row r="674" spans="1:15">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f t="array" ref="O674">_xlfn.IFS(orders[[#This Row],[Customer Gender]]="M","Male", orders[[#This Row],[Customer Gender]]="F","Female", orders[[#This Row],[Customer Gender]]="O","Other", TRUE,"Unknown")</f>
        <v>Female</v>
      </c>
    </row>
    <row r="675" spans="1:15">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f t="array" ref="O675">_xlfn.IFS(orders[[#This Row],[Customer Gender]]="M","Male", orders[[#This Row],[Customer Gender]]="F","Female", orders[[#This Row],[Customer Gender]]="O","Other", TRUE,"Unknown")</f>
        <v>Unknown</v>
      </c>
    </row>
    <row r="676" spans="1:15">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f t="array" ref="O676">_xlfn.IFS(orders[[#This Row],[Customer Gender]]="M","Male", orders[[#This Row],[Customer Gender]]="F","Female", orders[[#This Row],[Customer Gender]]="O","Other", TRUE,"Unknown")</f>
        <v>Female</v>
      </c>
    </row>
    <row r="677" spans="1:15">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f t="array" ref="O677">_xlfn.IFS(orders[[#This Row],[Customer Gender]]="M","Male", orders[[#This Row],[Customer Gender]]="F","Female", orders[[#This Row],[Customer Gender]]="O","Other", TRUE,"Unknown")</f>
        <v>Female</v>
      </c>
    </row>
    <row r="678" spans="1:15">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f t="array" ref="O678">_xlfn.IFS(orders[[#This Row],[Customer Gender]]="M","Male", orders[[#This Row],[Customer Gender]]="F","Female", orders[[#This Row],[Customer Gender]]="O","Other", TRUE,"Unknown")</f>
        <v>Male</v>
      </c>
    </row>
    <row r="679" spans="1:15">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f t="array" ref="O679">_xlfn.IFS(orders[[#This Row],[Customer Gender]]="M","Male", orders[[#This Row],[Customer Gender]]="F","Female", orders[[#This Row],[Customer Gender]]="O","Other", TRUE,"Unknown")</f>
        <v>Female</v>
      </c>
    </row>
    <row r="680" spans="1:15">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f t="array" ref="O680">_xlfn.IFS(orders[[#This Row],[Customer Gender]]="M","Male", orders[[#This Row],[Customer Gender]]="F","Female", orders[[#This Row],[Customer Gender]]="O","Other", TRUE,"Unknown")</f>
        <v>Female</v>
      </c>
    </row>
    <row r="681" spans="1:15">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f t="array" ref="O681">_xlfn.IFS(orders[[#This Row],[Customer Gender]]="M","Male", orders[[#This Row],[Customer Gender]]="F","Female", orders[[#This Row],[Customer Gender]]="O","Other", TRUE,"Unknown")</f>
        <v>Female</v>
      </c>
    </row>
    <row r="682" spans="1:15">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f t="array" ref="O682">_xlfn.IFS(orders[[#This Row],[Customer Gender]]="M","Male", orders[[#This Row],[Customer Gender]]="F","Female", orders[[#This Row],[Customer Gender]]="O","Other", TRUE,"Unknown")</f>
        <v>Female</v>
      </c>
    </row>
    <row r="683" spans="1:15">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f t="array" ref="O683">_xlfn.IFS(orders[[#This Row],[Customer Gender]]="M","Male", orders[[#This Row],[Customer Gender]]="F","Female", orders[[#This Row],[Customer Gender]]="O","Other", TRUE,"Unknown")</f>
        <v>Female</v>
      </c>
    </row>
    <row r="684" spans="1:15">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f t="array" ref="O684">_xlfn.IFS(orders[[#This Row],[Customer Gender]]="M","Male", orders[[#This Row],[Customer Gender]]="F","Female", orders[[#This Row],[Customer Gender]]="O","Other", TRUE,"Unknown")</f>
        <v>Male</v>
      </c>
    </row>
    <row r="685" spans="1:15">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f t="array" ref="O685">_xlfn.IFS(orders[[#This Row],[Customer Gender]]="M","Male", orders[[#This Row],[Customer Gender]]="F","Female", orders[[#This Row],[Customer Gender]]="O","Other", TRUE,"Unknown")</f>
        <v>Male</v>
      </c>
    </row>
    <row r="686" spans="1:15">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f t="array" ref="O686">_xlfn.IFS(orders[[#This Row],[Customer Gender]]="M","Male", orders[[#This Row],[Customer Gender]]="F","Female", orders[[#This Row],[Customer Gender]]="O","Other", TRUE,"Unknown")</f>
        <v>Male</v>
      </c>
    </row>
    <row r="687" spans="1:15">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f t="array" ref="O687">_xlfn.IFS(orders[[#This Row],[Customer Gender]]="M","Male", orders[[#This Row],[Customer Gender]]="F","Female", orders[[#This Row],[Customer Gender]]="O","Other", TRUE,"Unknown")</f>
        <v>Female</v>
      </c>
    </row>
    <row r="688" spans="1:15">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f t="array" ref="O688">_xlfn.IFS(orders[[#This Row],[Customer Gender]]="M","Male", orders[[#This Row],[Customer Gender]]="F","Female", orders[[#This Row],[Customer Gender]]="O","Other", TRUE,"Unknown")</f>
        <v>Female</v>
      </c>
    </row>
    <row r="689" spans="1:15">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f t="array" ref="O689">_xlfn.IFS(orders[[#This Row],[Customer Gender]]="M","Male", orders[[#This Row],[Customer Gender]]="F","Female", orders[[#This Row],[Customer Gender]]="O","Other", TRUE,"Unknown")</f>
        <v>Female</v>
      </c>
    </row>
    <row r="690" spans="1:15">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f t="array" ref="O690">_xlfn.IFS(orders[[#This Row],[Customer Gender]]="M","Male", orders[[#This Row],[Customer Gender]]="F","Female", orders[[#This Row],[Customer Gender]]="O","Other", TRUE,"Unknown")</f>
        <v>Female</v>
      </c>
    </row>
    <row r="691" spans="1:15">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f t="array" ref="O691">_xlfn.IFS(orders[[#This Row],[Customer Gender]]="M","Male", orders[[#This Row],[Customer Gender]]="F","Female", orders[[#This Row],[Customer Gender]]="O","Other", TRUE,"Unknown")</f>
        <v>Unknown</v>
      </c>
    </row>
    <row r="692" spans="1:15">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f t="array" ref="O692">_xlfn.IFS(orders[[#This Row],[Customer Gender]]="M","Male", orders[[#This Row],[Customer Gender]]="F","Female", orders[[#This Row],[Customer Gender]]="O","Other", TRUE,"Unknown")</f>
        <v>Male</v>
      </c>
    </row>
    <row r="693" spans="1:15">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f t="array" ref="O693">_xlfn.IFS(orders[[#This Row],[Customer Gender]]="M","Male", orders[[#This Row],[Customer Gender]]="F","Female", orders[[#This Row],[Customer Gender]]="O","Other", TRUE,"Unknown")</f>
        <v>Female</v>
      </c>
    </row>
    <row r="694" spans="1:15">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f t="array" ref="O694">_xlfn.IFS(orders[[#This Row],[Customer Gender]]="M","Male", orders[[#This Row],[Customer Gender]]="F","Female", orders[[#This Row],[Customer Gender]]="O","Other", TRUE,"Unknown")</f>
        <v>Male</v>
      </c>
    </row>
    <row r="695" spans="1:15">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f t="array" ref="O695">_xlfn.IFS(orders[[#This Row],[Customer Gender]]="M","Male", orders[[#This Row],[Customer Gender]]="F","Female", orders[[#This Row],[Customer Gender]]="O","Other", TRUE,"Unknown")</f>
        <v>Male</v>
      </c>
    </row>
    <row r="696" spans="1:15">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f t="array" ref="O696">_xlfn.IFS(orders[[#This Row],[Customer Gender]]="M","Male", orders[[#This Row],[Customer Gender]]="F","Female", orders[[#This Row],[Customer Gender]]="O","Other", TRUE,"Unknown")</f>
        <v>Male</v>
      </c>
    </row>
    <row r="697" spans="1:15">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f t="array" ref="O697">_xlfn.IFS(orders[[#This Row],[Customer Gender]]="M","Male", orders[[#This Row],[Customer Gender]]="F","Female", orders[[#This Row],[Customer Gender]]="O","Other", TRUE,"Unknown")</f>
        <v>Female</v>
      </c>
    </row>
    <row r="698" spans="1:15">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f t="array" ref="O698">_xlfn.IFS(orders[[#This Row],[Customer Gender]]="M","Male", orders[[#This Row],[Customer Gender]]="F","Female", orders[[#This Row],[Customer Gender]]="O","Other", TRUE,"Unknown")</f>
        <v>Female</v>
      </c>
    </row>
    <row r="699" spans="1:15">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f t="array" ref="O699">_xlfn.IFS(orders[[#This Row],[Customer Gender]]="M","Male", orders[[#This Row],[Customer Gender]]="F","Female", orders[[#This Row],[Customer Gender]]="O","Other", TRUE,"Unknown")</f>
        <v>Male</v>
      </c>
    </row>
    <row r="700" spans="1:15">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f t="array" ref="O700">_xlfn.IFS(orders[[#This Row],[Customer Gender]]="M","Male", orders[[#This Row],[Customer Gender]]="F","Female", orders[[#This Row],[Customer Gender]]="O","Other", TRUE,"Unknown")</f>
        <v>Unknown</v>
      </c>
    </row>
    <row r="701" spans="1:15">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f t="array" ref="O701">_xlfn.IFS(orders[[#This Row],[Customer Gender]]="M","Male", orders[[#This Row],[Customer Gender]]="F","Female", orders[[#This Row],[Customer Gender]]="O","Other", TRUE,"Unknown")</f>
        <v>Male</v>
      </c>
    </row>
    <row r="702" spans="1:15">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f t="array" ref="O702">_xlfn.IFS(orders[[#This Row],[Customer Gender]]="M","Male", orders[[#This Row],[Customer Gender]]="F","Female", orders[[#This Row],[Customer Gender]]="O","Other", TRUE,"Unknown")</f>
        <v>Female</v>
      </c>
    </row>
    <row r="703" spans="1:15">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f t="array" ref="O703">_xlfn.IFS(orders[[#This Row],[Customer Gender]]="M","Male", orders[[#This Row],[Customer Gender]]="F","Female", orders[[#This Row],[Customer Gender]]="O","Other", TRUE,"Unknown")</f>
        <v>Male</v>
      </c>
    </row>
    <row r="704" spans="1:15">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f t="array" ref="O704">_xlfn.IFS(orders[[#This Row],[Customer Gender]]="M","Male", orders[[#This Row],[Customer Gender]]="F","Female", orders[[#This Row],[Customer Gender]]="O","Other", TRUE,"Unknown")</f>
        <v>Male</v>
      </c>
    </row>
    <row r="705" spans="1:15">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f t="array" ref="O705">_xlfn.IFS(orders[[#This Row],[Customer Gender]]="M","Male", orders[[#This Row],[Customer Gender]]="F","Female", orders[[#This Row],[Customer Gender]]="O","Other", TRUE,"Unknown")</f>
        <v>Male</v>
      </c>
    </row>
    <row r="706" spans="1:15">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f t="array" ref="O706">_xlfn.IFS(orders[[#This Row],[Customer Gender]]="M","Male", orders[[#This Row],[Customer Gender]]="F","Female", orders[[#This Row],[Customer Gender]]="O","Other", TRUE,"Unknown")</f>
        <v>Male</v>
      </c>
    </row>
    <row r="707" spans="1:15">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f t="array" ref="O707">_xlfn.IFS(orders[[#This Row],[Customer Gender]]="M","Male", orders[[#This Row],[Customer Gender]]="F","Female", orders[[#This Row],[Customer Gender]]="O","Other", TRUE,"Unknown")</f>
        <v>Female</v>
      </c>
    </row>
    <row r="708" spans="1:15">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f t="array" ref="O708">_xlfn.IFS(orders[[#This Row],[Customer Gender]]="M","Male", orders[[#This Row],[Customer Gender]]="F","Female", orders[[#This Row],[Customer Gender]]="O","Other", TRUE,"Unknown")</f>
        <v>Male</v>
      </c>
    </row>
    <row r="709" spans="1:15">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f t="array" ref="O709">_xlfn.IFS(orders[[#This Row],[Customer Gender]]="M","Male", orders[[#This Row],[Customer Gender]]="F","Female", orders[[#This Row],[Customer Gender]]="O","Other", TRUE,"Unknown")</f>
        <v>Male</v>
      </c>
    </row>
    <row r="710" spans="1:15">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f t="array" ref="O710">_xlfn.IFS(orders[[#This Row],[Customer Gender]]="M","Male", orders[[#This Row],[Customer Gender]]="F","Female", orders[[#This Row],[Customer Gender]]="O","Other", TRUE,"Unknown")</f>
        <v>Male</v>
      </c>
    </row>
    <row r="711" spans="1:15">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f t="array" ref="O711">_xlfn.IFS(orders[[#This Row],[Customer Gender]]="M","Male", orders[[#This Row],[Customer Gender]]="F","Female", orders[[#This Row],[Customer Gender]]="O","Other", TRUE,"Unknown")</f>
        <v>Male</v>
      </c>
    </row>
    <row r="712" spans="1:15">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f t="array" ref="O712">_xlfn.IFS(orders[[#This Row],[Customer Gender]]="M","Male", orders[[#This Row],[Customer Gender]]="F","Female", orders[[#This Row],[Customer Gender]]="O","Other", TRUE,"Unknown")</f>
        <v>Unknown</v>
      </c>
    </row>
    <row r="713" spans="1:15">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f t="array" ref="O713">_xlfn.IFS(orders[[#This Row],[Customer Gender]]="M","Male", orders[[#This Row],[Customer Gender]]="F","Female", orders[[#This Row],[Customer Gender]]="O","Other", TRUE,"Unknown")</f>
        <v>Female</v>
      </c>
    </row>
    <row r="714" spans="1:15">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f t="array" ref="O714">_xlfn.IFS(orders[[#This Row],[Customer Gender]]="M","Male", orders[[#This Row],[Customer Gender]]="F","Female", orders[[#This Row],[Customer Gender]]="O","Other", TRUE,"Unknown")</f>
        <v>Male</v>
      </c>
    </row>
    <row r="715" spans="1:15">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f t="array" ref="O715">_xlfn.IFS(orders[[#This Row],[Customer Gender]]="M","Male", orders[[#This Row],[Customer Gender]]="F","Female", orders[[#This Row],[Customer Gender]]="O","Other", TRUE,"Unknown")</f>
        <v>Female</v>
      </c>
    </row>
    <row r="716" spans="1:15">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f t="array" ref="O716">_xlfn.IFS(orders[[#This Row],[Customer Gender]]="M","Male", orders[[#This Row],[Customer Gender]]="F","Female", orders[[#This Row],[Customer Gender]]="O","Other", TRUE,"Unknown")</f>
        <v>Male</v>
      </c>
    </row>
    <row r="717" spans="1:15">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f t="array" ref="O717">_xlfn.IFS(orders[[#This Row],[Customer Gender]]="M","Male", orders[[#This Row],[Customer Gender]]="F","Female", orders[[#This Row],[Customer Gender]]="O","Other", TRUE,"Unknown")</f>
        <v>Male</v>
      </c>
    </row>
    <row r="718" spans="1:15">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f t="array" ref="O718">_xlfn.IFS(orders[[#This Row],[Customer Gender]]="M","Male", orders[[#This Row],[Customer Gender]]="F","Female", orders[[#This Row],[Customer Gender]]="O","Other", TRUE,"Unknown")</f>
        <v>Female</v>
      </c>
    </row>
    <row r="719" spans="1:15">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f t="array" ref="O719">_xlfn.IFS(orders[[#This Row],[Customer Gender]]="M","Male", orders[[#This Row],[Customer Gender]]="F","Female", orders[[#This Row],[Customer Gender]]="O","Other", TRUE,"Unknown")</f>
        <v>Male</v>
      </c>
    </row>
    <row r="720" spans="1:15">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f t="array" ref="O720">_xlfn.IFS(orders[[#This Row],[Customer Gender]]="M","Male", orders[[#This Row],[Customer Gender]]="F","Female", orders[[#This Row],[Customer Gender]]="O","Other", TRUE,"Unknown")</f>
        <v>Female</v>
      </c>
    </row>
    <row r="721" spans="1:15">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f t="array" ref="O721">_xlfn.IFS(orders[[#This Row],[Customer Gender]]="M","Male", orders[[#This Row],[Customer Gender]]="F","Female", orders[[#This Row],[Customer Gender]]="O","Other", TRUE,"Unknown")</f>
        <v>Male</v>
      </c>
    </row>
    <row r="722" spans="1:15">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f t="array" ref="O722">_xlfn.IFS(orders[[#This Row],[Customer Gender]]="M","Male", orders[[#This Row],[Customer Gender]]="F","Female", orders[[#This Row],[Customer Gender]]="O","Other", TRUE,"Unknown")</f>
        <v>Male</v>
      </c>
    </row>
    <row r="723" spans="1:15">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f t="array" ref="O723">_xlfn.IFS(orders[[#This Row],[Customer Gender]]="M","Male", orders[[#This Row],[Customer Gender]]="F","Female", orders[[#This Row],[Customer Gender]]="O","Other", TRUE,"Unknown")</f>
        <v>Female</v>
      </c>
    </row>
    <row r="724" spans="1:15">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f t="array" ref="O724">_xlfn.IFS(orders[[#This Row],[Customer Gender]]="M","Male", orders[[#This Row],[Customer Gender]]="F","Female", orders[[#This Row],[Customer Gender]]="O","Other", TRUE,"Unknown")</f>
        <v>Male</v>
      </c>
    </row>
    <row r="725" spans="1:15">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f t="array" ref="O725">_xlfn.IFS(orders[[#This Row],[Customer Gender]]="M","Male", orders[[#This Row],[Customer Gender]]="F","Female", orders[[#This Row],[Customer Gender]]="O","Other", TRUE,"Unknown")</f>
        <v>Male</v>
      </c>
    </row>
    <row r="726" spans="1:15">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f t="array" ref="O726">_xlfn.IFS(orders[[#This Row],[Customer Gender]]="M","Male", orders[[#This Row],[Customer Gender]]="F","Female", orders[[#This Row],[Customer Gender]]="O","Other", TRUE,"Unknown")</f>
        <v>Male</v>
      </c>
    </row>
    <row r="727" spans="1:15">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f t="array" ref="O727">_xlfn.IFS(orders[[#This Row],[Customer Gender]]="M","Male", orders[[#This Row],[Customer Gender]]="F","Female", orders[[#This Row],[Customer Gender]]="O","Other", TRUE,"Unknown")</f>
        <v>Female</v>
      </c>
    </row>
    <row r="728" spans="1:15">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f t="array" ref="O728">_xlfn.IFS(orders[[#This Row],[Customer Gender]]="M","Male", orders[[#This Row],[Customer Gender]]="F","Female", orders[[#This Row],[Customer Gender]]="O","Other", TRUE,"Unknown")</f>
        <v>Other</v>
      </c>
    </row>
    <row r="729" spans="1:15">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f t="array" ref="O729">_xlfn.IFS(orders[[#This Row],[Customer Gender]]="M","Male", orders[[#This Row],[Customer Gender]]="F","Female", orders[[#This Row],[Customer Gender]]="O","Other", TRUE,"Unknown")</f>
        <v>Female</v>
      </c>
    </row>
    <row r="730" spans="1:15">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f t="array" ref="O730">_xlfn.IFS(orders[[#This Row],[Customer Gender]]="M","Male", orders[[#This Row],[Customer Gender]]="F","Female", orders[[#This Row],[Customer Gender]]="O","Other", TRUE,"Unknown")</f>
        <v>Female</v>
      </c>
    </row>
    <row r="731" spans="1:15">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f t="array" ref="O731">_xlfn.IFS(orders[[#This Row],[Customer Gender]]="M","Male", orders[[#This Row],[Customer Gender]]="F","Female", orders[[#This Row],[Customer Gender]]="O","Other", TRUE,"Unknown")</f>
        <v>Female</v>
      </c>
    </row>
    <row r="732" spans="1:15">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f t="array" ref="O732">_xlfn.IFS(orders[[#This Row],[Customer Gender]]="M","Male", orders[[#This Row],[Customer Gender]]="F","Female", orders[[#This Row],[Customer Gender]]="O","Other", TRUE,"Unknown")</f>
        <v>Female</v>
      </c>
    </row>
    <row r="733" spans="1:15">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f t="array" ref="O733">_xlfn.IFS(orders[[#This Row],[Customer Gender]]="M","Male", orders[[#This Row],[Customer Gender]]="F","Female", orders[[#This Row],[Customer Gender]]="O","Other", TRUE,"Unknown")</f>
        <v>Other</v>
      </c>
    </row>
    <row r="734" spans="1:15">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f t="array" ref="O734">_xlfn.IFS(orders[[#This Row],[Customer Gender]]="M","Male", orders[[#This Row],[Customer Gender]]="F","Female", orders[[#This Row],[Customer Gender]]="O","Other", TRUE,"Unknown")</f>
        <v>Female</v>
      </c>
    </row>
    <row r="735" spans="1:15">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f t="array" ref="O735">_xlfn.IFS(orders[[#This Row],[Customer Gender]]="M","Male", orders[[#This Row],[Customer Gender]]="F","Female", orders[[#This Row],[Customer Gender]]="O","Other", TRUE,"Unknown")</f>
        <v>Female</v>
      </c>
    </row>
    <row r="736" spans="1:15">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f t="array" ref="O736">_xlfn.IFS(orders[[#This Row],[Customer Gender]]="M","Male", orders[[#This Row],[Customer Gender]]="F","Female", orders[[#This Row],[Customer Gender]]="O","Other", TRUE,"Unknown")</f>
        <v>Female</v>
      </c>
    </row>
    <row r="737" spans="1:15">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f t="array" ref="O737">_xlfn.IFS(orders[[#This Row],[Customer Gender]]="M","Male", orders[[#This Row],[Customer Gender]]="F","Female", orders[[#This Row],[Customer Gender]]="O","Other", TRUE,"Unknown")</f>
        <v>Unknown</v>
      </c>
    </row>
    <row r="738" spans="1:15">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f t="array" ref="O738">_xlfn.IFS(orders[[#This Row],[Customer Gender]]="M","Male", orders[[#This Row],[Customer Gender]]="F","Female", orders[[#This Row],[Customer Gender]]="O","Other", TRUE,"Unknown")</f>
        <v>Female</v>
      </c>
    </row>
    <row r="739" spans="1:15">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f t="array" ref="O739">_xlfn.IFS(orders[[#This Row],[Customer Gender]]="M","Male", orders[[#This Row],[Customer Gender]]="F","Female", orders[[#This Row],[Customer Gender]]="O","Other", TRUE,"Unknown")</f>
        <v>Unknown</v>
      </c>
    </row>
    <row r="740" spans="1:15">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f t="array" ref="O740">_xlfn.IFS(orders[[#This Row],[Customer Gender]]="M","Male", orders[[#This Row],[Customer Gender]]="F","Female", orders[[#This Row],[Customer Gender]]="O","Other", TRUE,"Unknown")</f>
        <v>Female</v>
      </c>
    </row>
    <row r="741" spans="1:15">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f t="array" ref="O741">_xlfn.IFS(orders[[#This Row],[Customer Gender]]="M","Male", orders[[#This Row],[Customer Gender]]="F","Female", orders[[#This Row],[Customer Gender]]="O","Other", TRUE,"Unknown")</f>
        <v>Female</v>
      </c>
    </row>
    <row r="742" spans="1:15">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f t="array" ref="O742">_xlfn.IFS(orders[[#This Row],[Customer Gender]]="M","Male", orders[[#This Row],[Customer Gender]]="F","Female", orders[[#This Row],[Customer Gender]]="O","Other", TRUE,"Unknown")</f>
        <v>Female</v>
      </c>
    </row>
    <row r="743" spans="1:15">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f t="array" ref="O743">_xlfn.IFS(orders[[#This Row],[Customer Gender]]="M","Male", orders[[#This Row],[Customer Gender]]="F","Female", orders[[#This Row],[Customer Gender]]="O","Other", TRUE,"Unknown")</f>
        <v>Male</v>
      </c>
    </row>
    <row r="744" spans="1:15">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f t="array" ref="O744">_xlfn.IFS(orders[[#This Row],[Customer Gender]]="M","Male", orders[[#This Row],[Customer Gender]]="F","Female", orders[[#This Row],[Customer Gender]]="O","Other", TRUE,"Unknown")</f>
        <v>Female</v>
      </c>
    </row>
    <row r="745" spans="1:15">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f t="array" ref="O745">_xlfn.IFS(orders[[#This Row],[Customer Gender]]="M","Male", orders[[#This Row],[Customer Gender]]="F","Female", orders[[#This Row],[Customer Gender]]="O","Other", TRUE,"Unknown")</f>
        <v>Unknown</v>
      </c>
    </row>
    <row r="746" spans="1:15">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f t="array" ref="O746">_xlfn.IFS(orders[[#This Row],[Customer Gender]]="M","Male", orders[[#This Row],[Customer Gender]]="F","Female", orders[[#This Row],[Customer Gender]]="O","Other", TRUE,"Unknown")</f>
        <v>Female</v>
      </c>
    </row>
    <row r="747" spans="1:15">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f t="array" ref="O747">_xlfn.IFS(orders[[#This Row],[Customer Gender]]="M","Male", orders[[#This Row],[Customer Gender]]="F","Female", orders[[#This Row],[Customer Gender]]="O","Other", TRUE,"Unknown")</f>
        <v>Female</v>
      </c>
    </row>
    <row r="748" spans="1:15">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f t="array" ref="O748">_xlfn.IFS(orders[[#This Row],[Customer Gender]]="M","Male", orders[[#This Row],[Customer Gender]]="F","Female", orders[[#This Row],[Customer Gender]]="O","Other", TRUE,"Unknown")</f>
        <v>Male</v>
      </c>
    </row>
    <row r="749" spans="1:15">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f t="array" ref="O749">_xlfn.IFS(orders[[#This Row],[Customer Gender]]="M","Male", orders[[#This Row],[Customer Gender]]="F","Female", orders[[#This Row],[Customer Gender]]="O","Other", TRUE,"Unknown")</f>
        <v>Female</v>
      </c>
    </row>
    <row r="750" spans="1:15">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f t="array" ref="O750">_xlfn.IFS(orders[[#This Row],[Customer Gender]]="M","Male", orders[[#This Row],[Customer Gender]]="F","Female", orders[[#This Row],[Customer Gender]]="O","Other", TRUE,"Unknown")</f>
        <v>Male</v>
      </c>
    </row>
    <row r="751" spans="1:15">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f t="array" ref="O751">_xlfn.IFS(orders[[#This Row],[Customer Gender]]="M","Male", orders[[#This Row],[Customer Gender]]="F","Female", orders[[#This Row],[Customer Gender]]="O","Other", TRUE,"Unknown")</f>
        <v>Unknown</v>
      </c>
    </row>
    <row r="752" spans="1:15">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f t="array" ref="O752">_xlfn.IFS(orders[[#This Row],[Customer Gender]]="M","Male", orders[[#This Row],[Customer Gender]]="F","Female", orders[[#This Row],[Customer Gender]]="O","Other", TRUE,"Unknown")</f>
        <v>Male</v>
      </c>
    </row>
    <row r="753" spans="1:15">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f t="array" ref="O753">_xlfn.IFS(orders[[#This Row],[Customer Gender]]="M","Male", orders[[#This Row],[Customer Gender]]="F","Female", orders[[#This Row],[Customer Gender]]="O","Other", TRUE,"Unknown")</f>
        <v>Female</v>
      </c>
    </row>
    <row r="754" spans="1:15">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f t="array" ref="O754">_xlfn.IFS(orders[[#This Row],[Customer Gender]]="M","Male", orders[[#This Row],[Customer Gender]]="F","Female", orders[[#This Row],[Customer Gender]]="O","Other", TRUE,"Unknown")</f>
        <v>Male</v>
      </c>
    </row>
    <row r="755" spans="1:15">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f t="array" ref="O755">_xlfn.IFS(orders[[#This Row],[Customer Gender]]="M","Male", orders[[#This Row],[Customer Gender]]="F","Female", orders[[#This Row],[Customer Gender]]="O","Other", TRUE,"Unknown")</f>
        <v>Male</v>
      </c>
    </row>
    <row r="756" spans="1:15">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f t="array" ref="O756">_xlfn.IFS(orders[[#This Row],[Customer Gender]]="M","Male", orders[[#This Row],[Customer Gender]]="F","Female", orders[[#This Row],[Customer Gender]]="O","Other", TRUE,"Unknown")</f>
        <v>Female</v>
      </c>
    </row>
    <row r="757" spans="1:15">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f t="array" ref="O757">_xlfn.IFS(orders[[#This Row],[Customer Gender]]="M","Male", orders[[#This Row],[Customer Gender]]="F","Female", orders[[#This Row],[Customer Gender]]="O","Other", TRUE,"Unknown")</f>
        <v>Male</v>
      </c>
    </row>
    <row r="758" spans="1:15">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f t="array" ref="O758">_xlfn.IFS(orders[[#This Row],[Customer Gender]]="M","Male", orders[[#This Row],[Customer Gender]]="F","Female", orders[[#This Row],[Customer Gender]]="O","Other", TRUE,"Unknown")</f>
        <v>Female</v>
      </c>
    </row>
    <row r="759" spans="1:15">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f t="array" ref="O759">_xlfn.IFS(orders[[#This Row],[Customer Gender]]="M","Male", orders[[#This Row],[Customer Gender]]="F","Female", orders[[#This Row],[Customer Gender]]="O","Other", TRUE,"Unknown")</f>
        <v>Female</v>
      </c>
    </row>
    <row r="760" spans="1:15">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f t="array" ref="O760">_xlfn.IFS(orders[[#This Row],[Customer Gender]]="M","Male", orders[[#This Row],[Customer Gender]]="F","Female", orders[[#This Row],[Customer Gender]]="O","Other", TRUE,"Unknown")</f>
        <v>Female</v>
      </c>
    </row>
    <row r="761" spans="1:15">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f t="array" ref="O761">_xlfn.IFS(orders[[#This Row],[Customer Gender]]="M","Male", orders[[#This Row],[Customer Gender]]="F","Female", orders[[#This Row],[Customer Gender]]="O","Other", TRUE,"Unknown")</f>
        <v>Male</v>
      </c>
    </row>
    <row r="762" spans="1:15">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f t="array" ref="O762">_xlfn.IFS(orders[[#This Row],[Customer Gender]]="M","Male", orders[[#This Row],[Customer Gender]]="F","Female", orders[[#This Row],[Customer Gender]]="O","Other", TRUE,"Unknown")</f>
        <v>Female</v>
      </c>
    </row>
    <row r="763" spans="1:15">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f t="array" ref="O763">_xlfn.IFS(orders[[#This Row],[Customer Gender]]="M","Male", orders[[#This Row],[Customer Gender]]="F","Female", orders[[#This Row],[Customer Gender]]="O","Other", TRUE,"Unknown")</f>
        <v>Male</v>
      </c>
    </row>
    <row r="764" spans="1:15">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f t="array" ref="O764">_xlfn.IFS(orders[[#This Row],[Customer Gender]]="M","Male", orders[[#This Row],[Customer Gender]]="F","Female", orders[[#This Row],[Customer Gender]]="O","Other", TRUE,"Unknown")</f>
        <v>Male</v>
      </c>
    </row>
    <row r="765" spans="1:15">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f t="array" ref="O765">_xlfn.IFS(orders[[#This Row],[Customer Gender]]="M","Male", orders[[#This Row],[Customer Gender]]="F","Female", orders[[#This Row],[Customer Gender]]="O","Other", TRUE,"Unknown")</f>
        <v>Female</v>
      </c>
    </row>
    <row r="766" spans="1:15">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f t="array" ref="O766">_xlfn.IFS(orders[[#This Row],[Customer Gender]]="M","Male", orders[[#This Row],[Customer Gender]]="F","Female", orders[[#This Row],[Customer Gender]]="O","Other", TRUE,"Unknown")</f>
        <v>Female</v>
      </c>
    </row>
    <row r="767" spans="1:15">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f t="array" ref="O767">_xlfn.IFS(orders[[#This Row],[Customer Gender]]="M","Male", orders[[#This Row],[Customer Gender]]="F","Female", orders[[#This Row],[Customer Gender]]="O","Other", TRUE,"Unknown")</f>
        <v>Male</v>
      </c>
    </row>
    <row r="768" spans="1:15">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f t="array" ref="O768">_xlfn.IFS(orders[[#This Row],[Customer Gender]]="M","Male", orders[[#This Row],[Customer Gender]]="F","Female", orders[[#This Row],[Customer Gender]]="O","Other", TRUE,"Unknown")</f>
        <v>Male</v>
      </c>
    </row>
    <row r="769" spans="1:15">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f t="array" ref="O769">_xlfn.IFS(orders[[#This Row],[Customer Gender]]="M","Male", orders[[#This Row],[Customer Gender]]="F","Female", orders[[#This Row],[Customer Gender]]="O","Other", TRUE,"Unknown")</f>
        <v>Male</v>
      </c>
    </row>
    <row r="770" spans="1:15">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f t="array" ref="O770">_xlfn.IFS(orders[[#This Row],[Customer Gender]]="M","Male", orders[[#This Row],[Customer Gender]]="F","Female", orders[[#This Row],[Customer Gender]]="O","Other", TRUE,"Unknown")</f>
        <v>Female</v>
      </c>
    </row>
    <row r="771" spans="1:15">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f t="array" ref="O771">_xlfn.IFS(orders[[#This Row],[Customer Gender]]="M","Male", orders[[#This Row],[Customer Gender]]="F","Female", orders[[#This Row],[Customer Gender]]="O","Other", TRUE,"Unknown")</f>
        <v>Female</v>
      </c>
    </row>
    <row r="772" spans="1:15">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f t="array" ref="O772">_xlfn.IFS(orders[[#This Row],[Customer Gender]]="M","Male", orders[[#This Row],[Customer Gender]]="F","Female", orders[[#This Row],[Customer Gender]]="O","Other", TRUE,"Unknown")</f>
        <v>Female</v>
      </c>
    </row>
    <row r="773" spans="1:15">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f t="array" ref="O773">_xlfn.IFS(orders[[#This Row],[Customer Gender]]="M","Male", orders[[#This Row],[Customer Gender]]="F","Female", orders[[#This Row],[Customer Gender]]="O","Other", TRUE,"Unknown")</f>
        <v>Male</v>
      </c>
    </row>
    <row r="774" spans="1:15">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f t="array" ref="O774">_xlfn.IFS(orders[[#This Row],[Customer Gender]]="M","Male", orders[[#This Row],[Customer Gender]]="F","Female", orders[[#This Row],[Customer Gender]]="O","Other", TRUE,"Unknown")</f>
        <v>Male</v>
      </c>
    </row>
    <row r="775" spans="1:15">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f t="array" ref="O775">_xlfn.IFS(orders[[#This Row],[Customer Gender]]="M","Male", orders[[#This Row],[Customer Gender]]="F","Female", orders[[#This Row],[Customer Gender]]="O","Other", TRUE,"Unknown")</f>
        <v>Female</v>
      </c>
    </row>
    <row r="776" spans="1:15">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f t="array" ref="O776">_xlfn.IFS(orders[[#This Row],[Customer Gender]]="M","Male", orders[[#This Row],[Customer Gender]]="F","Female", orders[[#This Row],[Customer Gender]]="O","Other", TRUE,"Unknown")</f>
        <v>Male</v>
      </c>
    </row>
    <row r="777" spans="1:15">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f t="array" ref="O777">_xlfn.IFS(orders[[#This Row],[Customer Gender]]="M","Male", orders[[#This Row],[Customer Gender]]="F","Female", orders[[#This Row],[Customer Gender]]="O","Other", TRUE,"Unknown")</f>
        <v>Female</v>
      </c>
    </row>
    <row r="778" spans="1:15">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f t="array" ref="O778">_xlfn.IFS(orders[[#This Row],[Customer Gender]]="M","Male", orders[[#This Row],[Customer Gender]]="F","Female", orders[[#This Row],[Customer Gender]]="O","Other", TRUE,"Unknown")</f>
        <v>Unknown</v>
      </c>
    </row>
    <row r="779" spans="1:15">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f t="array" ref="O779">_xlfn.IFS(orders[[#This Row],[Customer Gender]]="M","Male", orders[[#This Row],[Customer Gender]]="F","Female", orders[[#This Row],[Customer Gender]]="O","Other", TRUE,"Unknown")</f>
        <v>Female</v>
      </c>
    </row>
    <row r="780" spans="1:15">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f t="array" ref="O780">_xlfn.IFS(orders[[#This Row],[Customer Gender]]="M","Male", orders[[#This Row],[Customer Gender]]="F","Female", orders[[#This Row],[Customer Gender]]="O","Other", TRUE,"Unknown")</f>
        <v>Other</v>
      </c>
    </row>
    <row r="781" spans="1:15">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f t="array" ref="O781">_xlfn.IFS(orders[[#This Row],[Customer Gender]]="M","Male", orders[[#This Row],[Customer Gender]]="F","Female", orders[[#This Row],[Customer Gender]]="O","Other", TRUE,"Unknown")</f>
        <v>Female</v>
      </c>
    </row>
    <row r="782" spans="1:15">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f t="array" ref="O782">_xlfn.IFS(orders[[#This Row],[Customer Gender]]="M","Male", orders[[#This Row],[Customer Gender]]="F","Female", orders[[#This Row],[Customer Gender]]="O","Other", TRUE,"Unknown")</f>
        <v>Female</v>
      </c>
    </row>
    <row r="783" spans="1:15">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f t="array" ref="O783">_xlfn.IFS(orders[[#This Row],[Customer Gender]]="M","Male", orders[[#This Row],[Customer Gender]]="F","Female", orders[[#This Row],[Customer Gender]]="O","Other", TRUE,"Unknown")</f>
        <v>Female</v>
      </c>
    </row>
    <row r="784" spans="1:15">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f t="array" ref="O784">_xlfn.IFS(orders[[#This Row],[Customer Gender]]="M","Male", orders[[#This Row],[Customer Gender]]="F","Female", orders[[#This Row],[Customer Gender]]="O","Other", TRUE,"Unknown")</f>
        <v>Male</v>
      </c>
    </row>
    <row r="785" spans="1:15">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f t="array" ref="O785">_xlfn.IFS(orders[[#This Row],[Customer Gender]]="M","Male", orders[[#This Row],[Customer Gender]]="F","Female", orders[[#This Row],[Customer Gender]]="O","Other", TRUE,"Unknown")</f>
        <v>Female</v>
      </c>
    </row>
    <row r="786" spans="1:15">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f t="array" ref="O786">_xlfn.IFS(orders[[#This Row],[Customer Gender]]="M","Male", orders[[#This Row],[Customer Gender]]="F","Female", orders[[#This Row],[Customer Gender]]="O","Other", TRUE,"Unknown")</f>
        <v>Female</v>
      </c>
    </row>
    <row r="787" spans="1:15">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f t="array" ref="O787">_xlfn.IFS(orders[[#This Row],[Customer Gender]]="M","Male", orders[[#This Row],[Customer Gender]]="F","Female", orders[[#This Row],[Customer Gender]]="O","Other", TRUE,"Unknown")</f>
        <v>Female</v>
      </c>
    </row>
    <row r="788" spans="1:15">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f t="array" ref="O788">_xlfn.IFS(orders[[#This Row],[Customer Gender]]="M","Male", orders[[#This Row],[Customer Gender]]="F","Female", orders[[#This Row],[Customer Gender]]="O","Other", TRUE,"Unknown")</f>
        <v>Female</v>
      </c>
    </row>
    <row r="789" spans="1:15">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f t="array" ref="O789">_xlfn.IFS(orders[[#This Row],[Customer Gender]]="M","Male", orders[[#This Row],[Customer Gender]]="F","Female", orders[[#This Row],[Customer Gender]]="O","Other", TRUE,"Unknown")</f>
        <v>Female</v>
      </c>
    </row>
    <row r="790" spans="1:15">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f t="array" ref="O790">_xlfn.IFS(orders[[#This Row],[Customer Gender]]="M","Male", orders[[#This Row],[Customer Gender]]="F","Female", orders[[#This Row],[Customer Gender]]="O","Other", TRUE,"Unknown")</f>
        <v>Male</v>
      </c>
    </row>
    <row r="791" spans="1:15">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f t="array" ref="O791">_xlfn.IFS(orders[[#This Row],[Customer Gender]]="M","Male", orders[[#This Row],[Customer Gender]]="F","Female", orders[[#This Row],[Customer Gender]]="O","Other", TRUE,"Unknown")</f>
        <v>Female</v>
      </c>
    </row>
    <row r="792" spans="1:15">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f t="array" ref="O792">_xlfn.IFS(orders[[#This Row],[Customer Gender]]="M","Male", orders[[#This Row],[Customer Gender]]="F","Female", orders[[#This Row],[Customer Gender]]="O","Other", TRUE,"Unknown")</f>
        <v>Male</v>
      </c>
    </row>
    <row r="793" spans="1:15">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f t="array" ref="O793">_xlfn.IFS(orders[[#This Row],[Customer Gender]]="M","Male", orders[[#This Row],[Customer Gender]]="F","Female", orders[[#This Row],[Customer Gender]]="O","Other", TRUE,"Unknown")</f>
        <v>Male</v>
      </c>
    </row>
    <row r="794" spans="1:15">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f t="array" ref="O794">_xlfn.IFS(orders[[#This Row],[Customer Gender]]="M","Male", orders[[#This Row],[Customer Gender]]="F","Female", orders[[#This Row],[Customer Gender]]="O","Other", TRUE,"Unknown")</f>
        <v>Male</v>
      </c>
    </row>
    <row r="795" spans="1:15">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f t="array" ref="O795">_xlfn.IFS(orders[[#This Row],[Customer Gender]]="M","Male", orders[[#This Row],[Customer Gender]]="F","Female", orders[[#This Row],[Customer Gender]]="O","Other", TRUE,"Unknown")</f>
        <v>Female</v>
      </c>
    </row>
    <row r="796" spans="1:15">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f t="array" ref="O796">_xlfn.IFS(orders[[#This Row],[Customer Gender]]="M","Male", orders[[#This Row],[Customer Gender]]="F","Female", orders[[#This Row],[Customer Gender]]="O","Other", TRUE,"Unknown")</f>
        <v>Male</v>
      </c>
    </row>
    <row r="797" spans="1:15">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f t="array" ref="O797">_xlfn.IFS(orders[[#This Row],[Customer Gender]]="M","Male", orders[[#This Row],[Customer Gender]]="F","Female", orders[[#This Row],[Customer Gender]]="O","Other", TRUE,"Unknown")</f>
        <v>Female</v>
      </c>
    </row>
    <row r="798" spans="1:15">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f t="array" ref="O798">_xlfn.IFS(orders[[#This Row],[Customer Gender]]="M","Male", orders[[#This Row],[Customer Gender]]="F","Female", orders[[#This Row],[Customer Gender]]="O","Other", TRUE,"Unknown")</f>
        <v>Male</v>
      </c>
    </row>
    <row r="799" spans="1:15">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f t="array" ref="O799">_xlfn.IFS(orders[[#This Row],[Customer Gender]]="M","Male", orders[[#This Row],[Customer Gender]]="F","Female", orders[[#This Row],[Customer Gender]]="O","Other", TRUE,"Unknown")</f>
        <v>Female</v>
      </c>
    </row>
    <row r="800" spans="1:15">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f t="array" ref="O800">_xlfn.IFS(orders[[#This Row],[Customer Gender]]="M","Male", orders[[#This Row],[Customer Gender]]="F","Female", orders[[#This Row],[Customer Gender]]="O","Other", TRUE,"Unknown")</f>
        <v>Female</v>
      </c>
    </row>
    <row r="801" spans="1:15">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f t="array" ref="O801">_xlfn.IFS(orders[[#This Row],[Customer Gender]]="M","Male", orders[[#This Row],[Customer Gender]]="F","Female", orders[[#This Row],[Customer Gender]]="O","Other", TRUE,"Unknown")</f>
        <v>Female</v>
      </c>
    </row>
    <row r="802" spans="1:15">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f t="array" ref="O802">_xlfn.IFS(orders[[#This Row],[Customer Gender]]="M","Male", orders[[#This Row],[Customer Gender]]="F","Female", orders[[#This Row],[Customer Gender]]="O","Other", TRUE,"Unknown")</f>
        <v>Male</v>
      </c>
    </row>
    <row r="803" spans="1:15">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f t="array" ref="O803">_xlfn.IFS(orders[[#This Row],[Customer Gender]]="M","Male", orders[[#This Row],[Customer Gender]]="F","Female", orders[[#This Row],[Customer Gender]]="O","Other", TRUE,"Unknown")</f>
        <v>Male</v>
      </c>
    </row>
    <row r="804" spans="1:15">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f t="array" ref="O804">_xlfn.IFS(orders[[#This Row],[Customer Gender]]="M","Male", orders[[#This Row],[Customer Gender]]="F","Female", orders[[#This Row],[Customer Gender]]="O","Other", TRUE,"Unknown")</f>
        <v>Female</v>
      </c>
    </row>
    <row r="805" spans="1:15">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f t="array" ref="O805">_xlfn.IFS(orders[[#This Row],[Customer Gender]]="M","Male", orders[[#This Row],[Customer Gender]]="F","Female", orders[[#This Row],[Customer Gender]]="O","Other", TRUE,"Unknown")</f>
        <v>Male</v>
      </c>
    </row>
    <row r="806" spans="1:15">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f t="array" ref="O806">_xlfn.IFS(orders[[#This Row],[Customer Gender]]="M","Male", orders[[#This Row],[Customer Gender]]="F","Female", orders[[#This Row],[Customer Gender]]="O","Other", TRUE,"Unknown")</f>
        <v>Female</v>
      </c>
    </row>
    <row r="807" spans="1:15">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f t="array" ref="O807">_xlfn.IFS(orders[[#This Row],[Customer Gender]]="M","Male", orders[[#This Row],[Customer Gender]]="F","Female", orders[[#This Row],[Customer Gender]]="O","Other", TRUE,"Unknown")</f>
        <v>Female</v>
      </c>
    </row>
    <row r="808" spans="1:15">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f t="array" ref="O808">_xlfn.IFS(orders[[#This Row],[Customer Gender]]="M","Male", orders[[#This Row],[Customer Gender]]="F","Female", orders[[#This Row],[Customer Gender]]="O","Other", TRUE,"Unknown")</f>
        <v>Female</v>
      </c>
    </row>
    <row r="809" spans="1:15">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f t="array" ref="O809">_xlfn.IFS(orders[[#This Row],[Customer Gender]]="M","Male", orders[[#This Row],[Customer Gender]]="F","Female", orders[[#This Row],[Customer Gender]]="O","Other", TRUE,"Unknown")</f>
        <v>Male</v>
      </c>
    </row>
    <row r="810" spans="1:15">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f t="array" ref="O810">_xlfn.IFS(orders[[#This Row],[Customer Gender]]="M","Male", orders[[#This Row],[Customer Gender]]="F","Female", orders[[#This Row],[Customer Gender]]="O","Other", TRUE,"Unknown")</f>
        <v>Female</v>
      </c>
    </row>
    <row r="811" spans="1:15">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f t="array" ref="O811">_xlfn.IFS(orders[[#This Row],[Customer Gender]]="M","Male", orders[[#This Row],[Customer Gender]]="F","Female", orders[[#This Row],[Customer Gender]]="O","Other", TRUE,"Unknown")</f>
        <v>Unknown</v>
      </c>
    </row>
    <row r="812" spans="1:15">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f t="array" ref="O812">_xlfn.IFS(orders[[#This Row],[Customer Gender]]="M","Male", orders[[#This Row],[Customer Gender]]="F","Female", orders[[#This Row],[Customer Gender]]="O","Other", TRUE,"Unknown")</f>
        <v>Female</v>
      </c>
    </row>
    <row r="813" spans="1:15">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f t="array" ref="O813">_xlfn.IFS(orders[[#This Row],[Customer Gender]]="M","Male", orders[[#This Row],[Customer Gender]]="F","Female", orders[[#This Row],[Customer Gender]]="O","Other", TRUE,"Unknown")</f>
        <v>Female</v>
      </c>
    </row>
    <row r="814" spans="1:15">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f t="array" ref="O814">_xlfn.IFS(orders[[#This Row],[Customer Gender]]="M","Male", orders[[#This Row],[Customer Gender]]="F","Female", orders[[#This Row],[Customer Gender]]="O","Other", TRUE,"Unknown")</f>
        <v>Female</v>
      </c>
    </row>
    <row r="815" spans="1:15">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f t="array" ref="O815">_xlfn.IFS(orders[[#This Row],[Customer Gender]]="M","Male", orders[[#This Row],[Customer Gender]]="F","Female", orders[[#This Row],[Customer Gender]]="O","Other", TRUE,"Unknown")</f>
        <v>Female</v>
      </c>
    </row>
    <row r="816" spans="1:15">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f t="array" ref="O816">_xlfn.IFS(orders[[#This Row],[Customer Gender]]="M","Male", orders[[#This Row],[Customer Gender]]="F","Female", orders[[#This Row],[Customer Gender]]="O","Other", TRUE,"Unknown")</f>
        <v>Male</v>
      </c>
    </row>
    <row r="817" spans="1:15">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f t="array" ref="O817">_xlfn.IFS(orders[[#This Row],[Customer Gender]]="M","Male", orders[[#This Row],[Customer Gender]]="F","Female", orders[[#This Row],[Customer Gender]]="O","Other", TRUE,"Unknown")</f>
        <v>Female</v>
      </c>
    </row>
    <row r="818" spans="1:15">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f t="array" ref="O818">_xlfn.IFS(orders[[#This Row],[Customer Gender]]="M","Male", orders[[#This Row],[Customer Gender]]="F","Female", orders[[#This Row],[Customer Gender]]="O","Other", TRUE,"Unknown")</f>
        <v>Female</v>
      </c>
    </row>
    <row r="819" spans="1:15">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f t="array" ref="O819">_xlfn.IFS(orders[[#This Row],[Customer Gender]]="M","Male", orders[[#This Row],[Customer Gender]]="F","Female", orders[[#This Row],[Customer Gender]]="O","Other", TRUE,"Unknown")</f>
        <v>Female</v>
      </c>
    </row>
    <row r="820" spans="1:15">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f t="array" ref="O820">_xlfn.IFS(orders[[#This Row],[Customer Gender]]="M","Male", orders[[#This Row],[Customer Gender]]="F","Female", orders[[#This Row],[Customer Gender]]="O","Other", TRUE,"Unknown")</f>
        <v>Other</v>
      </c>
    </row>
    <row r="821" spans="1:15">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f t="array" ref="O821">_xlfn.IFS(orders[[#This Row],[Customer Gender]]="M","Male", orders[[#This Row],[Customer Gender]]="F","Female", orders[[#This Row],[Customer Gender]]="O","Other", TRUE,"Unknown")</f>
        <v>Female</v>
      </c>
    </row>
    <row r="822" spans="1:15">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f t="array" ref="O822">_xlfn.IFS(orders[[#This Row],[Customer Gender]]="M","Male", orders[[#This Row],[Customer Gender]]="F","Female", orders[[#This Row],[Customer Gender]]="O","Other", TRUE,"Unknown")</f>
        <v>Female</v>
      </c>
    </row>
    <row r="823" spans="1:15">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f t="array" ref="O823">_xlfn.IFS(orders[[#This Row],[Customer Gender]]="M","Male", orders[[#This Row],[Customer Gender]]="F","Female", orders[[#This Row],[Customer Gender]]="O","Other", TRUE,"Unknown")</f>
        <v>Female</v>
      </c>
    </row>
    <row r="824" spans="1:15">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f t="array" ref="O824">_xlfn.IFS(orders[[#This Row],[Customer Gender]]="M","Male", orders[[#This Row],[Customer Gender]]="F","Female", orders[[#This Row],[Customer Gender]]="O","Other", TRUE,"Unknown")</f>
        <v>Female</v>
      </c>
    </row>
    <row r="825" spans="1:15">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f t="array" ref="O825">_xlfn.IFS(orders[[#This Row],[Customer Gender]]="M","Male", orders[[#This Row],[Customer Gender]]="F","Female", orders[[#This Row],[Customer Gender]]="O","Other", TRUE,"Unknown")</f>
        <v>Female</v>
      </c>
    </row>
    <row r="826" spans="1:15">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f t="array" ref="O826">_xlfn.IFS(orders[[#This Row],[Customer Gender]]="M","Male", orders[[#This Row],[Customer Gender]]="F","Female", orders[[#This Row],[Customer Gender]]="O","Other", TRUE,"Unknown")</f>
        <v>Male</v>
      </c>
    </row>
    <row r="827" spans="1:15">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f t="array" ref="O827">_xlfn.IFS(orders[[#This Row],[Customer Gender]]="M","Male", orders[[#This Row],[Customer Gender]]="F","Female", orders[[#This Row],[Customer Gender]]="O","Other", TRUE,"Unknown")</f>
        <v>Male</v>
      </c>
    </row>
    <row r="828" spans="1:15">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f t="array" ref="O828">_xlfn.IFS(orders[[#This Row],[Customer Gender]]="M","Male", orders[[#This Row],[Customer Gender]]="F","Female", orders[[#This Row],[Customer Gender]]="O","Other", TRUE,"Unknown")</f>
        <v>Unknown</v>
      </c>
    </row>
    <row r="829" spans="1:15">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f t="array" ref="O829">_xlfn.IFS(orders[[#This Row],[Customer Gender]]="M","Male", orders[[#This Row],[Customer Gender]]="F","Female", orders[[#This Row],[Customer Gender]]="O","Other", TRUE,"Unknown")</f>
        <v>Male</v>
      </c>
    </row>
    <row r="830" spans="1:15">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f t="array" ref="O830">_xlfn.IFS(orders[[#This Row],[Customer Gender]]="M","Male", orders[[#This Row],[Customer Gender]]="F","Female", orders[[#This Row],[Customer Gender]]="O","Other", TRUE,"Unknown")</f>
        <v>Female</v>
      </c>
    </row>
    <row r="831" spans="1:15">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f t="array" ref="O831">_xlfn.IFS(orders[[#This Row],[Customer Gender]]="M","Male", orders[[#This Row],[Customer Gender]]="F","Female", orders[[#This Row],[Customer Gender]]="O","Other", TRUE,"Unknown")</f>
        <v>Male</v>
      </c>
    </row>
    <row r="832" spans="1:15">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f t="array" ref="O832">_xlfn.IFS(orders[[#This Row],[Customer Gender]]="M","Male", orders[[#This Row],[Customer Gender]]="F","Female", orders[[#This Row],[Customer Gender]]="O","Other", TRUE,"Unknown")</f>
        <v>Female</v>
      </c>
    </row>
    <row r="833" spans="1:15">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f t="array" ref="O833">_xlfn.IFS(orders[[#This Row],[Customer Gender]]="M","Male", orders[[#This Row],[Customer Gender]]="F","Female", orders[[#This Row],[Customer Gender]]="O","Other", TRUE,"Unknown")</f>
        <v>Unknown</v>
      </c>
    </row>
    <row r="834" spans="1:15">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f t="array" ref="O834">_xlfn.IFS(orders[[#This Row],[Customer Gender]]="M","Male", orders[[#This Row],[Customer Gender]]="F","Female", orders[[#This Row],[Customer Gender]]="O","Other", TRUE,"Unknown")</f>
        <v>Female</v>
      </c>
    </row>
    <row r="835" spans="1:15">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f t="array" ref="O835">_xlfn.IFS(orders[[#This Row],[Customer Gender]]="M","Male", orders[[#This Row],[Customer Gender]]="F","Female", orders[[#This Row],[Customer Gender]]="O","Other", TRUE,"Unknown")</f>
        <v>Female</v>
      </c>
    </row>
    <row r="836" spans="1:15">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f t="array" ref="O836">_xlfn.IFS(orders[[#This Row],[Customer Gender]]="M","Male", orders[[#This Row],[Customer Gender]]="F","Female", orders[[#This Row],[Customer Gender]]="O","Other", TRUE,"Unknown")</f>
        <v>Male</v>
      </c>
    </row>
    <row r="837" spans="1:15">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f t="array" ref="O837">_xlfn.IFS(orders[[#This Row],[Customer Gender]]="M","Male", orders[[#This Row],[Customer Gender]]="F","Female", orders[[#This Row],[Customer Gender]]="O","Other", TRUE,"Unknown")</f>
        <v>Male</v>
      </c>
    </row>
    <row r="838" spans="1:15">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f t="array" ref="O838">_xlfn.IFS(orders[[#This Row],[Customer Gender]]="M","Male", orders[[#This Row],[Customer Gender]]="F","Female", orders[[#This Row],[Customer Gender]]="O","Other", TRUE,"Unknown")</f>
        <v>Unknown</v>
      </c>
    </row>
    <row r="839" spans="1:15">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f t="array" ref="O839">_xlfn.IFS(orders[[#This Row],[Customer Gender]]="M","Male", orders[[#This Row],[Customer Gender]]="F","Female", orders[[#This Row],[Customer Gender]]="O","Other", TRUE,"Unknown")</f>
        <v>Female</v>
      </c>
    </row>
    <row r="840" spans="1:15">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f t="array" ref="O840">_xlfn.IFS(orders[[#This Row],[Customer Gender]]="M","Male", orders[[#This Row],[Customer Gender]]="F","Female", orders[[#This Row],[Customer Gender]]="O","Other", TRUE,"Unknown")</f>
        <v>Female</v>
      </c>
    </row>
    <row r="841" spans="1:15">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f t="array" ref="O841">_xlfn.IFS(orders[[#This Row],[Customer Gender]]="M","Male", orders[[#This Row],[Customer Gender]]="F","Female", orders[[#This Row],[Customer Gender]]="O","Other", TRUE,"Unknown")</f>
        <v>Female</v>
      </c>
    </row>
    <row r="842" spans="1:15">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f t="array" ref="O842">_xlfn.IFS(orders[[#This Row],[Customer Gender]]="M","Male", orders[[#This Row],[Customer Gender]]="F","Female", orders[[#This Row],[Customer Gender]]="O","Other", TRUE,"Unknown")</f>
        <v>Female</v>
      </c>
    </row>
    <row r="843" spans="1:15">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f t="array" ref="O843">_xlfn.IFS(orders[[#This Row],[Customer Gender]]="M","Male", orders[[#This Row],[Customer Gender]]="F","Female", orders[[#This Row],[Customer Gender]]="O","Other", TRUE,"Unknown")</f>
        <v>Female</v>
      </c>
    </row>
    <row r="844" spans="1:15">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f t="array" ref="O844">_xlfn.IFS(orders[[#This Row],[Customer Gender]]="M","Male", orders[[#This Row],[Customer Gender]]="F","Female", orders[[#This Row],[Customer Gender]]="O","Other", TRUE,"Unknown")</f>
        <v>Female</v>
      </c>
    </row>
    <row r="845" spans="1:15">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f t="array" ref="O845">_xlfn.IFS(orders[[#This Row],[Customer Gender]]="M","Male", orders[[#This Row],[Customer Gender]]="F","Female", orders[[#This Row],[Customer Gender]]="O","Other", TRUE,"Unknown")</f>
        <v>Female</v>
      </c>
    </row>
    <row r="846" spans="1:15">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f t="array" ref="O846">_xlfn.IFS(orders[[#This Row],[Customer Gender]]="M","Male", orders[[#This Row],[Customer Gender]]="F","Female", orders[[#This Row],[Customer Gender]]="O","Other", TRUE,"Unknown")</f>
        <v>Female</v>
      </c>
    </row>
    <row r="847" spans="1:15">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f t="array" ref="O847">_xlfn.IFS(orders[[#This Row],[Customer Gender]]="M","Male", orders[[#This Row],[Customer Gender]]="F","Female", orders[[#This Row],[Customer Gender]]="O","Other", TRUE,"Unknown")</f>
        <v>Female</v>
      </c>
    </row>
    <row r="848" spans="1:15">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f t="array" ref="O848">_xlfn.IFS(orders[[#This Row],[Customer Gender]]="M","Male", orders[[#This Row],[Customer Gender]]="F","Female", orders[[#This Row],[Customer Gender]]="O","Other", TRUE,"Unknown")</f>
        <v>Male</v>
      </c>
    </row>
    <row r="849" spans="1:15">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f t="array" ref="O849">_xlfn.IFS(orders[[#This Row],[Customer Gender]]="M","Male", orders[[#This Row],[Customer Gender]]="F","Female", orders[[#This Row],[Customer Gender]]="O","Other", TRUE,"Unknown")</f>
        <v>Female</v>
      </c>
    </row>
    <row r="850" spans="1:15">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f t="array" ref="O850">_xlfn.IFS(orders[[#This Row],[Customer Gender]]="M","Male", orders[[#This Row],[Customer Gender]]="F","Female", orders[[#This Row],[Customer Gender]]="O","Other", TRUE,"Unknown")</f>
        <v>Male</v>
      </c>
    </row>
    <row r="851" spans="1:15">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f t="array" ref="O851">_xlfn.IFS(orders[[#This Row],[Customer Gender]]="M","Male", orders[[#This Row],[Customer Gender]]="F","Female", orders[[#This Row],[Customer Gender]]="O","Other", TRUE,"Unknown")</f>
        <v>Female</v>
      </c>
    </row>
    <row r="852" spans="1:15">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f t="array" ref="O852">_xlfn.IFS(orders[[#This Row],[Customer Gender]]="M","Male", orders[[#This Row],[Customer Gender]]="F","Female", orders[[#This Row],[Customer Gender]]="O","Other", TRUE,"Unknown")</f>
        <v>Male</v>
      </c>
    </row>
    <row r="853" spans="1:15">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f t="array" ref="O853">_xlfn.IFS(orders[[#This Row],[Customer Gender]]="M","Male", orders[[#This Row],[Customer Gender]]="F","Female", orders[[#This Row],[Customer Gender]]="O","Other", TRUE,"Unknown")</f>
        <v>Female</v>
      </c>
    </row>
    <row r="854" spans="1:15">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f t="array" ref="O854">_xlfn.IFS(orders[[#This Row],[Customer Gender]]="M","Male", orders[[#This Row],[Customer Gender]]="F","Female", orders[[#This Row],[Customer Gender]]="O","Other", TRUE,"Unknown")</f>
        <v>Male</v>
      </c>
    </row>
    <row r="855" spans="1:15">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f t="array" ref="O855">_xlfn.IFS(orders[[#This Row],[Customer Gender]]="M","Male", orders[[#This Row],[Customer Gender]]="F","Female", orders[[#This Row],[Customer Gender]]="O","Other", TRUE,"Unknown")</f>
        <v>Female</v>
      </c>
    </row>
    <row r="856" spans="1:15">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f t="array" ref="O856">_xlfn.IFS(orders[[#This Row],[Customer Gender]]="M","Male", orders[[#This Row],[Customer Gender]]="F","Female", orders[[#This Row],[Customer Gender]]="O","Other", TRUE,"Unknown")</f>
        <v>Male</v>
      </c>
    </row>
    <row r="857" spans="1:15">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f t="array" ref="O857">_xlfn.IFS(orders[[#This Row],[Customer Gender]]="M","Male", orders[[#This Row],[Customer Gender]]="F","Female", orders[[#This Row],[Customer Gender]]="O","Other", TRUE,"Unknown")</f>
        <v>Unknown</v>
      </c>
    </row>
    <row r="858" spans="1:15">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f t="array" ref="O858">_xlfn.IFS(orders[[#This Row],[Customer Gender]]="M","Male", orders[[#This Row],[Customer Gender]]="F","Female", orders[[#This Row],[Customer Gender]]="O","Other", TRUE,"Unknown")</f>
        <v>Female</v>
      </c>
    </row>
    <row r="859" spans="1:15">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f t="array" ref="O859">_xlfn.IFS(orders[[#This Row],[Customer Gender]]="M","Male", orders[[#This Row],[Customer Gender]]="F","Female", orders[[#This Row],[Customer Gender]]="O","Other", TRUE,"Unknown")</f>
        <v>Female</v>
      </c>
    </row>
    <row r="860" spans="1:15">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f t="array" ref="O860">_xlfn.IFS(orders[[#This Row],[Customer Gender]]="M","Male", orders[[#This Row],[Customer Gender]]="F","Female", orders[[#This Row],[Customer Gender]]="O","Other", TRUE,"Unknown")</f>
        <v>Male</v>
      </c>
    </row>
    <row r="861" spans="1:15">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f t="array" ref="O861">_xlfn.IFS(orders[[#This Row],[Customer Gender]]="M","Male", orders[[#This Row],[Customer Gender]]="F","Female", orders[[#This Row],[Customer Gender]]="O","Other", TRUE,"Unknown")</f>
        <v>Female</v>
      </c>
    </row>
    <row r="862" spans="1:15">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f t="array" ref="O862">_xlfn.IFS(orders[[#This Row],[Customer Gender]]="M","Male", orders[[#This Row],[Customer Gender]]="F","Female", orders[[#This Row],[Customer Gender]]="O","Other", TRUE,"Unknown")</f>
        <v>Unknown</v>
      </c>
    </row>
    <row r="863" spans="1:15">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f t="array" ref="O863">_xlfn.IFS(orders[[#This Row],[Customer Gender]]="M","Male", orders[[#This Row],[Customer Gender]]="F","Female", orders[[#This Row],[Customer Gender]]="O","Other", TRUE,"Unknown")</f>
        <v>Male</v>
      </c>
    </row>
    <row r="864" spans="1:15">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f t="array" ref="O864">_xlfn.IFS(orders[[#This Row],[Customer Gender]]="M","Male", orders[[#This Row],[Customer Gender]]="F","Female", orders[[#This Row],[Customer Gender]]="O","Other", TRUE,"Unknown")</f>
        <v>Male</v>
      </c>
    </row>
    <row r="865" spans="1:15">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f t="array" ref="O865">_xlfn.IFS(orders[[#This Row],[Customer Gender]]="M","Male", orders[[#This Row],[Customer Gender]]="F","Female", orders[[#This Row],[Customer Gender]]="O","Other", TRUE,"Unknown")</f>
        <v>Female</v>
      </c>
    </row>
    <row r="866" spans="1:15">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f t="array" ref="O866">_xlfn.IFS(orders[[#This Row],[Customer Gender]]="M","Male", orders[[#This Row],[Customer Gender]]="F","Female", orders[[#This Row],[Customer Gender]]="O","Other", TRUE,"Unknown")</f>
        <v>Female</v>
      </c>
    </row>
    <row r="867" spans="1:15">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f t="array" ref="O867">_xlfn.IFS(orders[[#This Row],[Customer Gender]]="M","Male", orders[[#This Row],[Customer Gender]]="F","Female", orders[[#This Row],[Customer Gender]]="O","Other", TRUE,"Unknown")</f>
        <v>Female</v>
      </c>
    </row>
    <row r="868" spans="1:15">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f t="array" ref="O868">_xlfn.IFS(orders[[#This Row],[Customer Gender]]="M","Male", orders[[#This Row],[Customer Gender]]="F","Female", orders[[#This Row],[Customer Gender]]="O","Other", TRUE,"Unknown")</f>
        <v>Male</v>
      </c>
    </row>
    <row r="869" spans="1:15">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f t="array" ref="O869">_xlfn.IFS(orders[[#This Row],[Customer Gender]]="M","Male", orders[[#This Row],[Customer Gender]]="F","Female", orders[[#This Row],[Customer Gender]]="O","Other", TRUE,"Unknown")</f>
        <v>Female</v>
      </c>
    </row>
    <row r="870" spans="1:15">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f t="array" ref="O870">_xlfn.IFS(orders[[#This Row],[Customer Gender]]="M","Male", orders[[#This Row],[Customer Gender]]="F","Female", orders[[#This Row],[Customer Gender]]="O","Other", TRUE,"Unknown")</f>
        <v>Male</v>
      </c>
    </row>
    <row r="871" spans="1:15">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f t="array" ref="O871">_xlfn.IFS(orders[[#This Row],[Customer Gender]]="M","Male", orders[[#This Row],[Customer Gender]]="F","Female", orders[[#This Row],[Customer Gender]]="O","Other", TRUE,"Unknown")</f>
        <v>Female</v>
      </c>
    </row>
    <row r="872" spans="1:15">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f t="array" ref="O872">_xlfn.IFS(orders[[#This Row],[Customer Gender]]="M","Male", orders[[#This Row],[Customer Gender]]="F","Female", orders[[#This Row],[Customer Gender]]="O","Other", TRUE,"Unknown")</f>
        <v>Male</v>
      </c>
    </row>
    <row r="873" spans="1:15">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f t="array" ref="O873">_xlfn.IFS(orders[[#This Row],[Customer Gender]]="M","Male", orders[[#This Row],[Customer Gender]]="F","Female", orders[[#This Row],[Customer Gender]]="O","Other", TRUE,"Unknown")</f>
        <v>Female</v>
      </c>
    </row>
    <row r="874" spans="1:15">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f t="array" ref="O874">_xlfn.IFS(orders[[#This Row],[Customer Gender]]="M","Male", orders[[#This Row],[Customer Gender]]="F","Female", orders[[#This Row],[Customer Gender]]="O","Other", TRUE,"Unknown")</f>
        <v>Female</v>
      </c>
    </row>
    <row r="875" spans="1:15">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f t="array" ref="O875">_xlfn.IFS(orders[[#This Row],[Customer Gender]]="M","Male", orders[[#This Row],[Customer Gender]]="F","Female", orders[[#This Row],[Customer Gender]]="O","Other", TRUE,"Unknown")</f>
        <v>Female</v>
      </c>
    </row>
    <row r="876" spans="1:15">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f t="array" ref="O876">_xlfn.IFS(orders[[#This Row],[Customer Gender]]="M","Male", orders[[#This Row],[Customer Gender]]="F","Female", orders[[#This Row],[Customer Gender]]="O","Other", TRUE,"Unknown")</f>
        <v>Female</v>
      </c>
    </row>
    <row r="877" spans="1:15">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f t="array" ref="O877">_xlfn.IFS(orders[[#This Row],[Customer Gender]]="M","Male", orders[[#This Row],[Customer Gender]]="F","Female", orders[[#This Row],[Customer Gender]]="O","Other", TRUE,"Unknown")</f>
        <v>Female</v>
      </c>
    </row>
    <row r="878" spans="1:15">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f t="array" ref="O878">_xlfn.IFS(orders[[#This Row],[Customer Gender]]="M","Male", orders[[#This Row],[Customer Gender]]="F","Female", orders[[#This Row],[Customer Gender]]="O","Other", TRUE,"Unknown")</f>
        <v>Male</v>
      </c>
    </row>
    <row r="879" spans="1:15">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f t="array" ref="O879">_xlfn.IFS(orders[[#This Row],[Customer Gender]]="M","Male", orders[[#This Row],[Customer Gender]]="F","Female", orders[[#This Row],[Customer Gender]]="O","Other", TRUE,"Unknown")</f>
        <v>Female</v>
      </c>
    </row>
    <row r="880" spans="1:15">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f t="array" ref="O880">_xlfn.IFS(orders[[#This Row],[Customer Gender]]="M","Male", orders[[#This Row],[Customer Gender]]="F","Female", orders[[#This Row],[Customer Gender]]="O","Other", TRUE,"Unknown")</f>
        <v>Male</v>
      </c>
    </row>
    <row r="881" spans="1:15">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f t="array" ref="O881">_xlfn.IFS(orders[[#This Row],[Customer Gender]]="M","Male", orders[[#This Row],[Customer Gender]]="F","Female", orders[[#This Row],[Customer Gender]]="O","Other", TRUE,"Unknown")</f>
        <v>Female</v>
      </c>
    </row>
    <row r="882" spans="1:15">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f t="array" ref="O882">_xlfn.IFS(orders[[#This Row],[Customer Gender]]="M","Male", orders[[#This Row],[Customer Gender]]="F","Female", orders[[#This Row],[Customer Gender]]="O","Other", TRUE,"Unknown")</f>
        <v>Female</v>
      </c>
    </row>
    <row r="883" spans="1:15">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f t="array" ref="O883">_xlfn.IFS(orders[[#This Row],[Customer Gender]]="M","Male", orders[[#This Row],[Customer Gender]]="F","Female", orders[[#This Row],[Customer Gender]]="O","Other", TRUE,"Unknown")</f>
        <v>Female</v>
      </c>
    </row>
    <row r="884" spans="1:15">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f t="array" ref="O884">_xlfn.IFS(orders[[#This Row],[Customer Gender]]="M","Male", orders[[#This Row],[Customer Gender]]="F","Female", orders[[#This Row],[Customer Gender]]="O","Other", TRUE,"Unknown")</f>
        <v>Female</v>
      </c>
    </row>
    <row r="885" spans="1:15">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f t="array" ref="O885">_xlfn.IFS(orders[[#This Row],[Customer Gender]]="M","Male", orders[[#This Row],[Customer Gender]]="F","Female", orders[[#This Row],[Customer Gender]]="O","Other", TRUE,"Unknown")</f>
        <v>Male</v>
      </c>
    </row>
    <row r="886" spans="1:15">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f t="array" ref="O886">_xlfn.IFS(orders[[#This Row],[Customer Gender]]="M","Male", orders[[#This Row],[Customer Gender]]="F","Female", orders[[#This Row],[Customer Gender]]="O","Other", TRUE,"Unknown")</f>
        <v>Female</v>
      </c>
    </row>
    <row r="887" spans="1:15">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f t="array" ref="O887">_xlfn.IFS(orders[[#This Row],[Customer Gender]]="M","Male", orders[[#This Row],[Customer Gender]]="F","Female", orders[[#This Row],[Customer Gender]]="O","Other", TRUE,"Unknown")</f>
        <v>Male</v>
      </c>
    </row>
    <row r="888" spans="1:15">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f t="array" ref="O888">_xlfn.IFS(orders[[#This Row],[Customer Gender]]="M","Male", orders[[#This Row],[Customer Gender]]="F","Female", orders[[#This Row],[Customer Gender]]="O","Other", TRUE,"Unknown")</f>
        <v>Male</v>
      </c>
    </row>
    <row r="889" spans="1:15">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f t="array" ref="O889">_xlfn.IFS(orders[[#This Row],[Customer Gender]]="M","Male", orders[[#This Row],[Customer Gender]]="F","Female", orders[[#This Row],[Customer Gender]]="O","Other", TRUE,"Unknown")</f>
        <v>Female</v>
      </c>
    </row>
    <row r="890" spans="1:15">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f t="array" ref="O890">_xlfn.IFS(orders[[#This Row],[Customer Gender]]="M","Male", orders[[#This Row],[Customer Gender]]="F","Female", orders[[#This Row],[Customer Gender]]="O","Other", TRUE,"Unknown")</f>
        <v>Female</v>
      </c>
    </row>
    <row r="891" spans="1:15">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f t="array" ref="O891">_xlfn.IFS(orders[[#This Row],[Customer Gender]]="M","Male", orders[[#This Row],[Customer Gender]]="F","Female", orders[[#This Row],[Customer Gender]]="O","Other", TRUE,"Unknown")</f>
        <v>Female</v>
      </c>
    </row>
    <row r="892" spans="1:15">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f t="array" ref="O892">_xlfn.IFS(orders[[#This Row],[Customer Gender]]="M","Male", orders[[#This Row],[Customer Gender]]="F","Female", orders[[#This Row],[Customer Gender]]="O","Other", TRUE,"Unknown")</f>
        <v>Female</v>
      </c>
    </row>
    <row r="893" spans="1:15">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f t="array" ref="O893">_xlfn.IFS(orders[[#This Row],[Customer Gender]]="M","Male", orders[[#This Row],[Customer Gender]]="F","Female", orders[[#This Row],[Customer Gender]]="O","Other", TRUE,"Unknown")</f>
        <v>Male</v>
      </c>
    </row>
    <row r="894" spans="1:15">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f t="array" ref="O894">_xlfn.IFS(orders[[#This Row],[Customer Gender]]="M","Male", orders[[#This Row],[Customer Gender]]="F","Female", orders[[#This Row],[Customer Gender]]="O","Other", TRUE,"Unknown")</f>
        <v>Male</v>
      </c>
    </row>
    <row r="895" spans="1:15">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f t="array" ref="O895">_xlfn.IFS(orders[[#This Row],[Customer Gender]]="M","Male", orders[[#This Row],[Customer Gender]]="F","Female", orders[[#This Row],[Customer Gender]]="O","Other", TRUE,"Unknown")</f>
        <v>Female</v>
      </c>
    </row>
    <row r="896" spans="1:15">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f t="array" ref="O896">_xlfn.IFS(orders[[#This Row],[Customer Gender]]="M","Male", orders[[#This Row],[Customer Gender]]="F","Female", orders[[#This Row],[Customer Gender]]="O","Other", TRUE,"Unknown")</f>
        <v>Female</v>
      </c>
    </row>
    <row r="897" spans="1:15">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f t="array" ref="O897">_xlfn.IFS(orders[[#This Row],[Customer Gender]]="M","Male", orders[[#This Row],[Customer Gender]]="F","Female", orders[[#This Row],[Customer Gender]]="O","Other", TRUE,"Unknown")</f>
        <v>Female</v>
      </c>
    </row>
    <row r="898" spans="1:15">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f t="array" ref="O898">_xlfn.IFS(orders[[#This Row],[Customer Gender]]="M","Male", orders[[#This Row],[Customer Gender]]="F","Female", orders[[#This Row],[Customer Gender]]="O","Other", TRUE,"Unknown")</f>
        <v>Female</v>
      </c>
    </row>
    <row r="899" spans="1:15">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f t="array" ref="O899">_xlfn.IFS(orders[[#This Row],[Customer Gender]]="M","Male", orders[[#This Row],[Customer Gender]]="F","Female", orders[[#This Row],[Customer Gender]]="O","Other", TRUE,"Unknown")</f>
        <v>Female</v>
      </c>
    </row>
    <row r="900" spans="1:15">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f t="array" ref="O900">_xlfn.IFS(orders[[#This Row],[Customer Gender]]="M","Male", orders[[#This Row],[Customer Gender]]="F","Female", orders[[#This Row],[Customer Gender]]="O","Other", TRUE,"Unknown")</f>
        <v>Female</v>
      </c>
    </row>
    <row r="901" spans="1:15">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f t="array" ref="O901">_xlfn.IFS(orders[[#This Row],[Customer Gender]]="M","Male", orders[[#This Row],[Customer Gender]]="F","Female", orders[[#This Row],[Customer Gender]]="O","Other", TRUE,"Unknown")</f>
        <v>Unknown</v>
      </c>
    </row>
    <row r="902" spans="1:15">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f t="array" ref="O902">_xlfn.IFS(orders[[#This Row],[Customer Gender]]="M","Male", orders[[#This Row],[Customer Gender]]="F","Female", orders[[#This Row],[Customer Gender]]="O","Other", TRUE,"Unknown")</f>
        <v>Female</v>
      </c>
    </row>
    <row r="903" spans="1:15">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f t="array" ref="O903">_xlfn.IFS(orders[[#This Row],[Customer Gender]]="M","Male", orders[[#This Row],[Customer Gender]]="F","Female", orders[[#This Row],[Customer Gender]]="O","Other", TRUE,"Unknown")</f>
        <v>Female</v>
      </c>
    </row>
    <row r="904" spans="1:15">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f t="array" ref="O904">_xlfn.IFS(orders[[#This Row],[Customer Gender]]="M","Male", orders[[#This Row],[Customer Gender]]="F","Female", orders[[#This Row],[Customer Gender]]="O","Other", TRUE,"Unknown")</f>
        <v>Male</v>
      </c>
    </row>
    <row r="905" spans="1:15">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f t="array" ref="O905">_xlfn.IFS(orders[[#This Row],[Customer Gender]]="M","Male", orders[[#This Row],[Customer Gender]]="F","Female", orders[[#This Row],[Customer Gender]]="O","Other", TRUE,"Unknown")</f>
        <v>Female</v>
      </c>
    </row>
    <row r="906" spans="1:15">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f t="array" ref="O906">_xlfn.IFS(orders[[#This Row],[Customer Gender]]="M","Male", orders[[#This Row],[Customer Gender]]="F","Female", orders[[#This Row],[Customer Gender]]="O","Other", TRUE,"Unknown")</f>
        <v>Other</v>
      </c>
    </row>
    <row r="907" spans="1:15">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f t="array" ref="O907">_xlfn.IFS(orders[[#This Row],[Customer Gender]]="M","Male", orders[[#This Row],[Customer Gender]]="F","Female", orders[[#This Row],[Customer Gender]]="O","Other", TRUE,"Unknown")</f>
        <v>Unknown</v>
      </c>
    </row>
    <row r="908" spans="1:15">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f t="array" ref="O908">_xlfn.IFS(orders[[#This Row],[Customer Gender]]="M","Male", orders[[#This Row],[Customer Gender]]="F","Female", orders[[#This Row],[Customer Gender]]="O","Other", TRUE,"Unknown")</f>
        <v>Female</v>
      </c>
    </row>
    <row r="909" spans="1:15">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f t="array" ref="O909">_xlfn.IFS(orders[[#This Row],[Customer Gender]]="M","Male", orders[[#This Row],[Customer Gender]]="F","Female", orders[[#This Row],[Customer Gender]]="O","Other", TRUE,"Unknown")</f>
        <v>Male</v>
      </c>
    </row>
    <row r="910" spans="1:15">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f t="array" ref="O910">_xlfn.IFS(orders[[#This Row],[Customer Gender]]="M","Male", orders[[#This Row],[Customer Gender]]="F","Female", orders[[#This Row],[Customer Gender]]="O","Other", TRUE,"Unknown")</f>
        <v>Male</v>
      </c>
    </row>
    <row r="911" spans="1:15">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f t="array" ref="O911">_xlfn.IFS(orders[[#This Row],[Customer Gender]]="M","Male", orders[[#This Row],[Customer Gender]]="F","Female", orders[[#This Row],[Customer Gender]]="O","Other", TRUE,"Unknown")</f>
        <v>Unknown</v>
      </c>
    </row>
    <row r="912" spans="1:15">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f t="array" ref="O912">_xlfn.IFS(orders[[#This Row],[Customer Gender]]="M","Male", orders[[#This Row],[Customer Gender]]="F","Female", orders[[#This Row],[Customer Gender]]="O","Other", TRUE,"Unknown")</f>
        <v>Male</v>
      </c>
    </row>
    <row r="913" spans="1:15">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f t="array" ref="O913">_xlfn.IFS(orders[[#This Row],[Customer Gender]]="M","Male", orders[[#This Row],[Customer Gender]]="F","Female", orders[[#This Row],[Customer Gender]]="O","Other", TRUE,"Unknown")</f>
        <v>Male</v>
      </c>
    </row>
    <row r="914" spans="1:15">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f t="array" ref="O914">_xlfn.IFS(orders[[#This Row],[Customer Gender]]="M","Male", orders[[#This Row],[Customer Gender]]="F","Female", orders[[#This Row],[Customer Gender]]="O","Other", TRUE,"Unknown")</f>
        <v>Male</v>
      </c>
    </row>
    <row r="915" spans="1:15">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f t="array" ref="O915">_xlfn.IFS(orders[[#This Row],[Customer Gender]]="M","Male", orders[[#This Row],[Customer Gender]]="F","Female", orders[[#This Row],[Customer Gender]]="O","Other", TRUE,"Unknown")</f>
        <v>Unknown</v>
      </c>
    </row>
    <row r="916" spans="1:15">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f t="array" ref="O916">_xlfn.IFS(orders[[#This Row],[Customer Gender]]="M","Male", orders[[#This Row],[Customer Gender]]="F","Female", orders[[#This Row],[Customer Gender]]="O","Other", TRUE,"Unknown")</f>
        <v>Female</v>
      </c>
    </row>
    <row r="917" spans="1:15">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f t="array" ref="O917">_xlfn.IFS(orders[[#This Row],[Customer Gender]]="M","Male", orders[[#This Row],[Customer Gender]]="F","Female", orders[[#This Row],[Customer Gender]]="O","Other", TRUE,"Unknown")</f>
        <v>Female</v>
      </c>
    </row>
    <row r="918" spans="1:15">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f t="array" ref="O918">_xlfn.IFS(orders[[#This Row],[Customer Gender]]="M","Male", orders[[#This Row],[Customer Gender]]="F","Female", orders[[#This Row],[Customer Gender]]="O","Other", TRUE,"Unknown")</f>
        <v>Male</v>
      </c>
    </row>
    <row r="919" spans="1:15">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f t="array" ref="O919">_xlfn.IFS(orders[[#This Row],[Customer Gender]]="M","Male", orders[[#This Row],[Customer Gender]]="F","Female", orders[[#This Row],[Customer Gender]]="O","Other", TRUE,"Unknown")</f>
        <v>Female</v>
      </c>
    </row>
    <row r="920" spans="1:15">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f t="array" ref="O920">_xlfn.IFS(orders[[#This Row],[Customer Gender]]="M","Male", orders[[#This Row],[Customer Gender]]="F","Female", orders[[#This Row],[Customer Gender]]="O","Other", TRUE,"Unknown")</f>
        <v>Male</v>
      </c>
    </row>
    <row r="921" spans="1:15">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f t="array" ref="O921">_xlfn.IFS(orders[[#This Row],[Customer Gender]]="M","Male", orders[[#This Row],[Customer Gender]]="F","Female", orders[[#This Row],[Customer Gender]]="O","Other", TRUE,"Unknown")</f>
        <v>Female</v>
      </c>
    </row>
    <row r="922" spans="1:15">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f t="array" ref="O922">_xlfn.IFS(orders[[#This Row],[Customer Gender]]="M","Male", orders[[#This Row],[Customer Gender]]="F","Female", orders[[#This Row],[Customer Gender]]="O","Other", TRUE,"Unknown")</f>
        <v>Unknown</v>
      </c>
    </row>
    <row r="923" spans="1:15">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f t="array" ref="O923">_xlfn.IFS(orders[[#This Row],[Customer Gender]]="M","Male", orders[[#This Row],[Customer Gender]]="F","Female", orders[[#This Row],[Customer Gender]]="O","Other", TRUE,"Unknown")</f>
        <v>Other</v>
      </c>
    </row>
    <row r="924" spans="1:15">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f t="array" ref="O924">_xlfn.IFS(orders[[#This Row],[Customer Gender]]="M","Male", orders[[#This Row],[Customer Gender]]="F","Female", orders[[#This Row],[Customer Gender]]="O","Other", TRUE,"Unknown")</f>
        <v>Female</v>
      </c>
    </row>
    <row r="925" spans="1:15">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f t="array" ref="O925">_xlfn.IFS(orders[[#This Row],[Customer Gender]]="M","Male", orders[[#This Row],[Customer Gender]]="F","Female", orders[[#This Row],[Customer Gender]]="O","Other", TRUE,"Unknown")</f>
        <v>Female</v>
      </c>
    </row>
    <row r="926" spans="1:15">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f t="array" ref="O926">_xlfn.IFS(orders[[#This Row],[Customer Gender]]="M","Male", orders[[#This Row],[Customer Gender]]="F","Female", orders[[#This Row],[Customer Gender]]="O","Other", TRUE,"Unknown")</f>
        <v>Male</v>
      </c>
    </row>
    <row r="927" spans="1:15">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f t="array" ref="O927">_xlfn.IFS(orders[[#This Row],[Customer Gender]]="M","Male", orders[[#This Row],[Customer Gender]]="F","Female", orders[[#This Row],[Customer Gender]]="O","Other", TRUE,"Unknown")</f>
        <v>Unknown</v>
      </c>
    </row>
    <row r="928" spans="1:15">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f t="array" ref="O928">_xlfn.IFS(orders[[#This Row],[Customer Gender]]="M","Male", orders[[#This Row],[Customer Gender]]="F","Female", orders[[#This Row],[Customer Gender]]="O","Other", TRUE,"Unknown")</f>
        <v>Female</v>
      </c>
    </row>
    <row r="929" spans="1:15">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f t="array" ref="O929">_xlfn.IFS(orders[[#This Row],[Customer Gender]]="M","Male", orders[[#This Row],[Customer Gender]]="F","Female", orders[[#This Row],[Customer Gender]]="O","Other", TRUE,"Unknown")</f>
        <v>Female</v>
      </c>
    </row>
    <row r="930" spans="1:15">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f t="array" ref="O930">_xlfn.IFS(orders[[#This Row],[Customer Gender]]="M","Male", orders[[#This Row],[Customer Gender]]="F","Female", orders[[#This Row],[Customer Gender]]="O","Other", TRUE,"Unknown")</f>
        <v>Female</v>
      </c>
    </row>
    <row r="931" spans="1:15">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f t="array" ref="O931">_xlfn.IFS(orders[[#This Row],[Customer Gender]]="M","Male", orders[[#This Row],[Customer Gender]]="F","Female", orders[[#This Row],[Customer Gender]]="O","Other", TRUE,"Unknown")</f>
        <v>Female</v>
      </c>
    </row>
    <row r="932" spans="1:15">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f t="array" ref="O932">_xlfn.IFS(orders[[#This Row],[Customer Gender]]="M","Male", orders[[#This Row],[Customer Gender]]="F","Female", orders[[#This Row],[Customer Gender]]="O","Other", TRUE,"Unknown")</f>
        <v>Female</v>
      </c>
    </row>
    <row r="933" spans="1:15">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f t="array" ref="O933">_xlfn.IFS(orders[[#This Row],[Customer Gender]]="M","Male", orders[[#This Row],[Customer Gender]]="F","Female", orders[[#This Row],[Customer Gender]]="O","Other", TRUE,"Unknown")</f>
        <v>Male</v>
      </c>
    </row>
    <row r="934" spans="1:15">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f t="array" ref="O934">_xlfn.IFS(orders[[#This Row],[Customer Gender]]="M","Male", orders[[#This Row],[Customer Gender]]="F","Female", orders[[#This Row],[Customer Gender]]="O","Other", TRUE,"Unknown")</f>
        <v>Female</v>
      </c>
    </row>
    <row r="935" spans="1:15">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f t="array" ref="O935">_xlfn.IFS(orders[[#This Row],[Customer Gender]]="M","Male", orders[[#This Row],[Customer Gender]]="F","Female", orders[[#This Row],[Customer Gender]]="O","Other", TRUE,"Unknown")</f>
        <v>Female</v>
      </c>
    </row>
    <row r="936" spans="1:15">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f t="array" ref="O936">_xlfn.IFS(orders[[#This Row],[Customer Gender]]="M","Male", orders[[#This Row],[Customer Gender]]="F","Female", orders[[#This Row],[Customer Gender]]="O","Other", TRUE,"Unknown")</f>
        <v>Male</v>
      </c>
    </row>
    <row r="937" spans="1:15">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f t="array" ref="O937">_xlfn.IFS(orders[[#This Row],[Customer Gender]]="M","Male", orders[[#This Row],[Customer Gender]]="F","Female", orders[[#This Row],[Customer Gender]]="O","Other", TRUE,"Unknown")</f>
        <v>Female</v>
      </c>
    </row>
    <row r="938" spans="1:15">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f t="array" ref="O938">_xlfn.IFS(orders[[#This Row],[Customer Gender]]="M","Male", orders[[#This Row],[Customer Gender]]="F","Female", orders[[#This Row],[Customer Gender]]="O","Other", TRUE,"Unknown")</f>
        <v>Male</v>
      </c>
    </row>
    <row r="939" spans="1:15">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f t="array" ref="O939">_xlfn.IFS(orders[[#This Row],[Customer Gender]]="M","Male", orders[[#This Row],[Customer Gender]]="F","Female", orders[[#This Row],[Customer Gender]]="O","Other", TRUE,"Unknown")</f>
        <v>Male</v>
      </c>
    </row>
    <row r="940" spans="1:15">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f t="array" ref="O940">_xlfn.IFS(orders[[#This Row],[Customer Gender]]="M","Male", orders[[#This Row],[Customer Gender]]="F","Female", orders[[#This Row],[Customer Gender]]="O","Other", TRUE,"Unknown")</f>
        <v>Female</v>
      </c>
    </row>
    <row r="941" spans="1:15">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f t="array" ref="O941">_xlfn.IFS(orders[[#This Row],[Customer Gender]]="M","Male", orders[[#This Row],[Customer Gender]]="F","Female", orders[[#This Row],[Customer Gender]]="O","Other", TRUE,"Unknown")</f>
        <v>Female</v>
      </c>
    </row>
    <row r="942" spans="1:15">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f t="array" ref="O942">_xlfn.IFS(orders[[#This Row],[Customer Gender]]="M","Male", orders[[#This Row],[Customer Gender]]="F","Female", orders[[#This Row],[Customer Gender]]="O","Other", TRUE,"Unknown")</f>
        <v>Male</v>
      </c>
    </row>
    <row r="943" spans="1:15">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f t="array" ref="O943">_xlfn.IFS(orders[[#This Row],[Customer Gender]]="M","Male", orders[[#This Row],[Customer Gender]]="F","Female", orders[[#This Row],[Customer Gender]]="O","Other", TRUE,"Unknown")</f>
        <v>Male</v>
      </c>
    </row>
    <row r="944" spans="1:15">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f t="array" ref="O944">_xlfn.IFS(orders[[#This Row],[Customer Gender]]="M","Male", orders[[#This Row],[Customer Gender]]="F","Female", orders[[#This Row],[Customer Gender]]="O","Other", TRUE,"Unknown")</f>
        <v>Unknown</v>
      </c>
    </row>
    <row r="945" spans="1:15">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f t="array" ref="O945">_xlfn.IFS(orders[[#This Row],[Customer Gender]]="M","Male", orders[[#This Row],[Customer Gender]]="F","Female", orders[[#This Row],[Customer Gender]]="O","Other", TRUE,"Unknown")</f>
        <v>Male</v>
      </c>
    </row>
    <row r="946" spans="1:15">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f t="array" ref="O946">_xlfn.IFS(orders[[#This Row],[Customer Gender]]="M","Male", orders[[#This Row],[Customer Gender]]="F","Female", orders[[#This Row],[Customer Gender]]="O","Other", TRUE,"Unknown")</f>
        <v>Male</v>
      </c>
    </row>
    <row r="947" spans="1:15">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f t="array" ref="O947">_xlfn.IFS(orders[[#This Row],[Customer Gender]]="M","Male", orders[[#This Row],[Customer Gender]]="F","Female", orders[[#This Row],[Customer Gender]]="O","Other", TRUE,"Unknown")</f>
        <v>Female</v>
      </c>
    </row>
    <row r="948" spans="1:15">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f t="array" ref="O948">_xlfn.IFS(orders[[#This Row],[Customer Gender]]="M","Male", orders[[#This Row],[Customer Gender]]="F","Female", orders[[#This Row],[Customer Gender]]="O","Other", TRUE,"Unknown")</f>
        <v>Female</v>
      </c>
    </row>
    <row r="949" spans="1:15">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f t="array" ref="O949">_xlfn.IFS(orders[[#This Row],[Customer Gender]]="M","Male", orders[[#This Row],[Customer Gender]]="F","Female", orders[[#This Row],[Customer Gender]]="O","Other", TRUE,"Unknown")</f>
        <v>Female</v>
      </c>
    </row>
    <row r="950" spans="1:15">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f t="array" ref="O950">_xlfn.IFS(orders[[#This Row],[Customer Gender]]="M","Male", orders[[#This Row],[Customer Gender]]="F","Female", orders[[#This Row],[Customer Gender]]="O","Other", TRUE,"Unknown")</f>
        <v>Female</v>
      </c>
    </row>
    <row r="951" spans="1:15">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f t="array" ref="O951">_xlfn.IFS(orders[[#This Row],[Customer Gender]]="M","Male", orders[[#This Row],[Customer Gender]]="F","Female", orders[[#This Row],[Customer Gender]]="O","Other", TRUE,"Unknown")</f>
        <v>Female</v>
      </c>
    </row>
    <row r="952" spans="1:15">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f t="array" ref="O952">_xlfn.IFS(orders[[#This Row],[Customer Gender]]="M","Male", orders[[#This Row],[Customer Gender]]="F","Female", orders[[#This Row],[Customer Gender]]="O","Other", TRUE,"Unknown")</f>
        <v>Male</v>
      </c>
    </row>
    <row r="953" spans="1:15">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f t="array" ref="O953">_xlfn.IFS(orders[[#This Row],[Customer Gender]]="M","Male", orders[[#This Row],[Customer Gender]]="F","Female", orders[[#This Row],[Customer Gender]]="O","Other", TRUE,"Unknown")</f>
        <v>Female</v>
      </c>
    </row>
    <row r="954" spans="1:15">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f t="array" ref="O954">_xlfn.IFS(orders[[#This Row],[Customer Gender]]="M","Male", orders[[#This Row],[Customer Gender]]="F","Female", orders[[#This Row],[Customer Gender]]="O","Other", TRUE,"Unknown")</f>
        <v>Male</v>
      </c>
    </row>
    <row r="955" spans="1:15">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f t="array" ref="O955">_xlfn.IFS(orders[[#This Row],[Customer Gender]]="M","Male", orders[[#This Row],[Customer Gender]]="F","Female", orders[[#This Row],[Customer Gender]]="O","Other", TRUE,"Unknown")</f>
        <v>Male</v>
      </c>
    </row>
    <row r="956" spans="1:15">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f t="array" ref="O956">_xlfn.IFS(orders[[#This Row],[Customer Gender]]="M","Male", orders[[#This Row],[Customer Gender]]="F","Female", orders[[#This Row],[Customer Gender]]="O","Other", TRUE,"Unknown")</f>
        <v>Male</v>
      </c>
    </row>
    <row r="957" spans="1:15">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f t="array" ref="O957">_xlfn.IFS(orders[[#This Row],[Customer Gender]]="M","Male", orders[[#This Row],[Customer Gender]]="F","Female", orders[[#This Row],[Customer Gender]]="O","Other", TRUE,"Unknown")</f>
        <v>Male</v>
      </c>
    </row>
    <row r="958" spans="1:15">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f t="array" ref="O958">_xlfn.IFS(orders[[#This Row],[Customer Gender]]="M","Male", orders[[#This Row],[Customer Gender]]="F","Female", orders[[#This Row],[Customer Gender]]="O","Other", TRUE,"Unknown")</f>
        <v>Male</v>
      </c>
    </row>
    <row r="959" spans="1:15">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f t="array" ref="O959">_xlfn.IFS(orders[[#This Row],[Customer Gender]]="M","Male", orders[[#This Row],[Customer Gender]]="F","Female", orders[[#This Row],[Customer Gender]]="O","Other", TRUE,"Unknown")</f>
        <v>Male</v>
      </c>
    </row>
    <row r="960" spans="1:15">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f t="array" ref="O960">_xlfn.IFS(orders[[#This Row],[Customer Gender]]="M","Male", orders[[#This Row],[Customer Gender]]="F","Female", orders[[#This Row],[Customer Gender]]="O","Other", TRUE,"Unknown")</f>
        <v>Female</v>
      </c>
    </row>
    <row r="961" spans="1:15">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f t="array" ref="O961">_xlfn.IFS(orders[[#This Row],[Customer Gender]]="M","Male", orders[[#This Row],[Customer Gender]]="F","Female", orders[[#This Row],[Customer Gender]]="O","Other", TRUE,"Unknown")</f>
        <v>Female</v>
      </c>
    </row>
    <row r="962" spans="1:15">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f t="array" ref="O962">_xlfn.IFS(orders[[#This Row],[Customer Gender]]="M","Male", orders[[#This Row],[Customer Gender]]="F","Female", orders[[#This Row],[Customer Gender]]="O","Other", TRUE,"Unknown")</f>
        <v>Female</v>
      </c>
    </row>
    <row r="963" spans="1:15">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f t="array" ref="O963">_xlfn.IFS(orders[[#This Row],[Customer Gender]]="M","Male", orders[[#This Row],[Customer Gender]]="F","Female", orders[[#This Row],[Customer Gender]]="O","Other", TRUE,"Unknown")</f>
        <v>Male</v>
      </c>
    </row>
    <row r="964" spans="1:15">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f t="array" ref="O964">_xlfn.IFS(orders[[#This Row],[Customer Gender]]="M","Male", orders[[#This Row],[Customer Gender]]="F","Female", orders[[#This Row],[Customer Gender]]="O","Other", TRUE,"Unknown")</f>
        <v>Female</v>
      </c>
    </row>
    <row r="965" spans="1:15">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f t="array" ref="O965">_xlfn.IFS(orders[[#This Row],[Customer Gender]]="M","Male", orders[[#This Row],[Customer Gender]]="F","Female", orders[[#This Row],[Customer Gender]]="O","Other", TRUE,"Unknown")</f>
        <v>Female</v>
      </c>
    </row>
    <row r="966" spans="1:15">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f t="array" ref="O966">_xlfn.IFS(orders[[#This Row],[Customer Gender]]="M","Male", orders[[#This Row],[Customer Gender]]="F","Female", orders[[#This Row],[Customer Gender]]="O","Other", TRUE,"Unknown")</f>
        <v>Female</v>
      </c>
    </row>
    <row r="967" spans="1:15">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f t="array" ref="O967">_xlfn.IFS(orders[[#This Row],[Customer Gender]]="M","Male", orders[[#This Row],[Customer Gender]]="F","Female", orders[[#This Row],[Customer Gender]]="O","Other", TRUE,"Unknown")</f>
        <v>Male</v>
      </c>
    </row>
    <row r="968" spans="1:15">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f t="array" ref="O968">_xlfn.IFS(orders[[#This Row],[Customer Gender]]="M","Male", orders[[#This Row],[Customer Gender]]="F","Female", orders[[#This Row],[Customer Gender]]="O","Other", TRUE,"Unknown")</f>
        <v>Male</v>
      </c>
    </row>
    <row r="969" spans="1:15">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f t="array" ref="O969">_xlfn.IFS(orders[[#This Row],[Customer Gender]]="M","Male", orders[[#This Row],[Customer Gender]]="F","Female", orders[[#This Row],[Customer Gender]]="O","Other", TRUE,"Unknown")</f>
        <v>Female</v>
      </c>
    </row>
    <row r="970" spans="1:15">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f t="array" ref="O970">_xlfn.IFS(orders[[#This Row],[Customer Gender]]="M","Male", orders[[#This Row],[Customer Gender]]="F","Female", orders[[#This Row],[Customer Gender]]="O","Other", TRUE,"Unknown")</f>
        <v>Male</v>
      </c>
    </row>
    <row r="971" spans="1:15">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f t="array" ref="O971">_xlfn.IFS(orders[[#This Row],[Customer Gender]]="M","Male", orders[[#This Row],[Customer Gender]]="F","Female", orders[[#This Row],[Customer Gender]]="O","Other", TRUE,"Unknown")</f>
        <v>Female</v>
      </c>
    </row>
    <row r="972" spans="1:15">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f t="array" ref="O972">_xlfn.IFS(orders[[#This Row],[Customer Gender]]="M","Male", orders[[#This Row],[Customer Gender]]="F","Female", orders[[#This Row],[Customer Gender]]="O","Other", TRUE,"Unknown")</f>
        <v>Female</v>
      </c>
    </row>
    <row r="973" spans="1:15">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f t="array" ref="O973">_xlfn.IFS(orders[[#This Row],[Customer Gender]]="M","Male", orders[[#This Row],[Customer Gender]]="F","Female", orders[[#This Row],[Customer Gender]]="O","Other", TRUE,"Unknown")</f>
        <v>Male</v>
      </c>
    </row>
    <row r="974" spans="1:15">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f t="array" ref="O974">_xlfn.IFS(orders[[#This Row],[Customer Gender]]="M","Male", orders[[#This Row],[Customer Gender]]="F","Female", orders[[#This Row],[Customer Gender]]="O","Other", TRUE,"Unknown")</f>
        <v>Female</v>
      </c>
    </row>
    <row r="975" spans="1:15">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f t="array" ref="O975">_xlfn.IFS(orders[[#This Row],[Customer Gender]]="M","Male", orders[[#This Row],[Customer Gender]]="F","Female", orders[[#This Row],[Customer Gender]]="O","Other", TRUE,"Unknown")</f>
        <v>Male</v>
      </c>
    </row>
    <row r="976" spans="1:15">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f t="array" ref="O976">_xlfn.IFS(orders[[#This Row],[Customer Gender]]="M","Male", orders[[#This Row],[Customer Gender]]="F","Female", orders[[#This Row],[Customer Gender]]="O","Other", TRUE,"Unknown")</f>
        <v>Female</v>
      </c>
    </row>
    <row r="977" spans="1:15">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f t="array" ref="O977">_xlfn.IFS(orders[[#This Row],[Customer Gender]]="M","Male", orders[[#This Row],[Customer Gender]]="F","Female", orders[[#This Row],[Customer Gender]]="O","Other", TRUE,"Unknown")</f>
        <v>Female</v>
      </c>
    </row>
    <row r="978" spans="1:15">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f t="array" ref="O978">_xlfn.IFS(orders[[#This Row],[Customer Gender]]="M","Male", orders[[#This Row],[Customer Gender]]="F","Female", orders[[#This Row],[Customer Gender]]="O","Other", TRUE,"Unknown")</f>
        <v>Female</v>
      </c>
    </row>
    <row r="979" spans="1:15">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f t="array" ref="O979">_xlfn.IFS(orders[[#This Row],[Customer Gender]]="M","Male", orders[[#This Row],[Customer Gender]]="F","Female", orders[[#This Row],[Customer Gender]]="O","Other", TRUE,"Unknown")</f>
        <v>Female</v>
      </c>
    </row>
    <row r="980" spans="1:15">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f t="array" ref="O980">_xlfn.IFS(orders[[#This Row],[Customer Gender]]="M","Male", orders[[#This Row],[Customer Gender]]="F","Female", orders[[#This Row],[Customer Gender]]="O","Other", TRUE,"Unknown")</f>
        <v>Female</v>
      </c>
    </row>
    <row r="981" spans="1:15">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f t="array" ref="O981">_xlfn.IFS(orders[[#This Row],[Customer Gender]]="M","Male", orders[[#This Row],[Customer Gender]]="F","Female", orders[[#This Row],[Customer Gender]]="O","Other", TRUE,"Unknown")</f>
        <v>Female</v>
      </c>
    </row>
    <row r="982" spans="1:15">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f t="array" ref="O982">_xlfn.IFS(orders[[#This Row],[Customer Gender]]="M","Male", orders[[#This Row],[Customer Gender]]="F","Female", orders[[#This Row],[Customer Gender]]="O","Other", TRUE,"Unknown")</f>
        <v>Male</v>
      </c>
    </row>
    <row r="983" spans="1:15">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f t="array" ref="O983">_xlfn.IFS(orders[[#This Row],[Customer Gender]]="M","Male", orders[[#This Row],[Customer Gender]]="F","Female", orders[[#This Row],[Customer Gender]]="O","Other", TRUE,"Unknown")</f>
        <v>Female</v>
      </c>
    </row>
    <row r="984" spans="1:15">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f t="array" ref="O984">_xlfn.IFS(orders[[#This Row],[Customer Gender]]="M","Male", orders[[#This Row],[Customer Gender]]="F","Female", orders[[#This Row],[Customer Gender]]="O","Other", TRUE,"Unknown")</f>
        <v>Female</v>
      </c>
    </row>
    <row r="985" spans="1:15">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f t="array" ref="O985">_xlfn.IFS(orders[[#This Row],[Customer Gender]]="M","Male", orders[[#This Row],[Customer Gender]]="F","Female", orders[[#This Row],[Customer Gender]]="O","Other", TRUE,"Unknown")</f>
        <v>Female</v>
      </c>
    </row>
    <row r="986" spans="1:15">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f t="array" ref="O986">_xlfn.IFS(orders[[#This Row],[Customer Gender]]="M","Male", orders[[#This Row],[Customer Gender]]="F","Female", orders[[#This Row],[Customer Gender]]="O","Other", TRUE,"Unknown")</f>
        <v>Male</v>
      </c>
    </row>
    <row r="987" spans="1:15">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f t="array" ref="O987">_xlfn.IFS(orders[[#This Row],[Customer Gender]]="M","Male", orders[[#This Row],[Customer Gender]]="F","Female", orders[[#This Row],[Customer Gender]]="O","Other", TRUE,"Unknown")</f>
        <v>Male</v>
      </c>
    </row>
    <row r="988" spans="1:15">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f t="array" ref="O988">_xlfn.IFS(orders[[#This Row],[Customer Gender]]="M","Male", orders[[#This Row],[Customer Gender]]="F","Female", orders[[#This Row],[Customer Gender]]="O","Other", TRUE,"Unknown")</f>
        <v>Unknown</v>
      </c>
    </row>
    <row r="989" spans="1:15">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f t="array" ref="O989">_xlfn.IFS(orders[[#This Row],[Customer Gender]]="M","Male", orders[[#This Row],[Customer Gender]]="F","Female", orders[[#This Row],[Customer Gender]]="O","Other", TRUE,"Unknown")</f>
        <v>Male</v>
      </c>
    </row>
    <row r="990" spans="1:15">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f t="array" ref="O990">_xlfn.IFS(orders[[#This Row],[Customer Gender]]="M","Male", orders[[#This Row],[Customer Gender]]="F","Female", orders[[#This Row],[Customer Gender]]="O","Other", TRUE,"Unknown")</f>
        <v>Female</v>
      </c>
    </row>
    <row r="991" spans="1:15">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f t="array" ref="O991">_xlfn.IFS(orders[[#This Row],[Customer Gender]]="M","Male", orders[[#This Row],[Customer Gender]]="F","Female", orders[[#This Row],[Customer Gender]]="O","Other", TRUE,"Unknown")</f>
        <v>Female</v>
      </c>
    </row>
    <row r="992" spans="1:15">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f t="array" ref="O992">_xlfn.IFS(orders[[#This Row],[Customer Gender]]="M","Male", orders[[#This Row],[Customer Gender]]="F","Female", orders[[#This Row],[Customer Gender]]="O","Other", TRUE,"Unknown")</f>
        <v>Unknown</v>
      </c>
    </row>
    <row r="993" spans="1:15">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f t="array" ref="O993">_xlfn.IFS(orders[[#This Row],[Customer Gender]]="M","Male", orders[[#This Row],[Customer Gender]]="F","Female", orders[[#This Row],[Customer Gender]]="O","Other", TRUE,"Unknown")</f>
        <v>Female</v>
      </c>
    </row>
    <row r="994" spans="1:15">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f t="array" ref="O994">_xlfn.IFS(orders[[#This Row],[Customer Gender]]="M","Male", orders[[#This Row],[Customer Gender]]="F","Female", orders[[#This Row],[Customer Gender]]="O","Other", TRUE,"Unknown")</f>
        <v>Other</v>
      </c>
    </row>
    <row r="995" spans="1:15">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f t="array" ref="O995">_xlfn.IFS(orders[[#This Row],[Customer Gender]]="M","Male", orders[[#This Row],[Customer Gender]]="F","Female", orders[[#This Row],[Customer Gender]]="O","Other", TRUE,"Unknown")</f>
        <v>Female</v>
      </c>
    </row>
    <row r="996" spans="1:15">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f t="array" ref="O996">_xlfn.IFS(orders[[#This Row],[Customer Gender]]="M","Male", orders[[#This Row],[Customer Gender]]="F","Female", orders[[#This Row],[Customer Gender]]="O","Other", TRUE,"Unknown")</f>
        <v>Female</v>
      </c>
    </row>
    <row r="997" spans="1:15">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f t="array" ref="O997">_xlfn.IFS(orders[[#This Row],[Customer Gender]]="M","Male", orders[[#This Row],[Customer Gender]]="F","Female", orders[[#This Row],[Customer Gender]]="O","Other", TRUE,"Unknown")</f>
        <v>Female</v>
      </c>
    </row>
    <row r="998" spans="1:15">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f t="array" ref="O998">_xlfn.IFS(orders[[#This Row],[Customer Gender]]="M","Male", orders[[#This Row],[Customer Gender]]="F","Female", orders[[#This Row],[Customer Gender]]="O","Other", TRUE,"Unknown")</f>
        <v>Female</v>
      </c>
    </row>
    <row r="999" spans="1:15">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f t="array" ref="O999">_xlfn.IFS(orders[[#This Row],[Customer Gender]]="M","Male", orders[[#This Row],[Customer Gender]]="F","Female", orders[[#This Row],[Customer Gender]]="O","Other", TRUE,"Unknown")</f>
        <v>Female</v>
      </c>
    </row>
    <row r="1000" spans="1:15">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f t="array" ref="O1000">_xlfn.IFS(orders[[#This Row],[Customer Gender]]="M","Male", orders[[#This Row],[Customer Gender]]="F","Female", orders[[#This Row],[Customer Gender]]="O","Other", TRUE,"Unknown")</f>
        <v>Female</v>
      </c>
    </row>
    <row r="1001" spans="1:15">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f t="array" ref="O1001">_xlfn.IFS(orders[[#This Row],[Customer Gender]]="M","Male", orders[[#This Row],[Customer Gender]]="F","Female", orders[[#This Row],[Customer Gender]]="O","Other", TRUE,"Unknown")</f>
        <v>Female</v>
      </c>
    </row>
    <row r="1002" spans="1:15">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f t="array" ref="O1002">_xlfn.IFS(orders[[#This Row],[Customer Gender]]="M","Male", orders[[#This Row],[Customer Gender]]="F","Female", orders[[#This Row],[Customer Gender]]="O","Other", TRUE,"Unknown")</f>
        <v>Female</v>
      </c>
    </row>
    <row r="1003" spans="1:15">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f t="array" ref="O1003">_xlfn.IFS(orders[[#This Row],[Customer Gender]]="M","Male", orders[[#This Row],[Customer Gender]]="F","Female", orders[[#This Row],[Customer Gender]]="O","Other", TRUE,"Unknown")</f>
        <v>Female</v>
      </c>
    </row>
    <row r="1004" spans="1:15">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f t="array" ref="O1004">_xlfn.IFS(orders[[#This Row],[Customer Gender]]="M","Male", orders[[#This Row],[Customer Gender]]="F","Female", orders[[#This Row],[Customer Gender]]="O","Other", TRUE,"Unknown")</f>
        <v>Female</v>
      </c>
    </row>
    <row r="1005" spans="1:15">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f t="array" ref="O1005">_xlfn.IFS(orders[[#This Row],[Customer Gender]]="M","Male", orders[[#This Row],[Customer Gender]]="F","Female", orders[[#This Row],[Customer Gender]]="O","Other", TRUE,"Unknown")</f>
        <v>Male</v>
      </c>
    </row>
    <row r="1006" spans="1:15">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f t="array" ref="O1006">_xlfn.IFS(orders[[#This Row],[Customer Gender]]="M","Male", orders[[#This Row],[Customer Gender]]="F","Female", orders[[#This Row],[Customer Gender]]="O","Other", TRUE,"Unknown")</f>
        <v>Male</v>
      </c>
    </row>
    <row r="1007" spans="1:15">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f t="array" ref="O1007">_xlfn.IFS(orders[[#This Row],[Customer Gender]]="M","Male", orders[[#This Row],[Customer Gender]]="F","Female", orders[[#This Row],[Customer Gender]]="O","Other", TRUE,"Unknown")</f>
        <v>Female</v>
      </c>
    </row>
    <row r="1008" spans="1:15">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f t="array" ref="O1008">_xlfn.IFS(orders[[#This Row],[Customer Gender]]="M","Male", orders[[#This Row],[Customer Gender]]="F","Female", orders[[#This Row],[Customer Gender]]="O","Other", TRUE,"Unknown")</f>
        <v>Female</v>
      </c>
    </row>
    <row r="1009" spans="1:15">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f t="array" ref="O1009">_xlfn.IFS(orders[[#This Row],[Customer Gender]]="M","Male", orders[[#This Row],[Customer Gender]]="F","Female", orders[[#This Row],[Customer Gender]]="O","Other", TRUE,"Unknown")</f>
        <v>Unknown</v>
      </c>
    </row>
    <row r="1010" spans="1:15">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f t="array" ref="O1010">_xlfn.IFS(orders[[#This Row],[Customer Gender]]="M","Male", orders[[#This Row],[Customer Gender]]="F","Female", orders[[#This Row],[Customer Gender]]="O","Other", TRUE,"Unknown")</f>
        <v>Female</v>
      </c>
    </row>
    <row r="1011" spans="1:15">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f t="array" ref="O1011">_xlfn.IFS(orders[[#This Row],[Customer Gender]]="M","Male", orders[[#This Row],[Customer Gender]]="F","Female", orders[[#This Row],[Customer Gender]]="O","Other", TRUE,"Unknown")</f>
        <v>Other</v>
      </c>
    </row>
    <row r="1012" spans="1:15">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f t="array" ref="O1012">_xlfn.IFS(orders[[#This Row],[Customer Gender]]="M","Male", orders[[#This Row],[Customer Gender]]="F","Female", orders[[#This Row],[Customer Gender]]="O","Other", TRUE,"Unknown")</f>
        <v>Female</v>
      </c>
    </row>
    <row r="1013" spans="1:15">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f t="array" ref="O1013">_xlfn.IFS(orders[[#This Row],[Customer Gender]]="M","Male", orders[[#This Row],[Customer Gender]]="F","Female", orders[[#This Row],[Customer Gender]]="O","Other", TRUE,"Unknown")</f>
        <v>Other</v>
      </c>
    </row>
    <row r="1014" spans="1:15">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f t="array" ref="O1014">_xlfn.IFS(orders[[#This Row],[Customer Gender]]="M","Male", orders[[#This Row],[Customer Gender]]="F","Female", orders[[#This Row],[Customer Gender]]="O","Other", TRUE,"Unknown")</f>
        <v>Unknown</v>
      </c>
    </row>
    <row r="1015" spans="1:15">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f t="array" ref="O1015">_xlfn.IFS(orders[[#This Row],[Customer Gender]]="M","Male", orders[[#This Row],[Customer Gender]]="F","Female", orders[[#This Row],[Customer Gender]]="O","Other", TRUE,"Unknown")</f>
        <v>Female</v>
      </c>
    </row>
    <row r="1016" spans="1:15">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f t="array" ref="O1016">_xlfn.IFS(orders[[#This Row],[Customer Gender]]="M","Male", orders[[#This Row],[Customer Gender]]="F","Female", orders[[#This Row],[Customer Gender]]="O","Other", TRUE,"Unknown")</f>
        <v>Male</v>
      </c>
    </row>
    <row r="1017" spans="1:15">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f t="array" ref="O1017">_xlfn.IFS(orders[[#This Row],[Customer Gender]]="M","Male", orders[[#This Row],[Customer Gender]]="F","Female", orders[[#This Row],[Customer Gender]]="O","Other", TRUE,"Unknown")</f>
        <v>Female</v>
      </c>
    </row>
    <row r="1018" spans="1:15">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f t="array" ref="O1018">_xlfn.IFS(orders[[#This Row],[Customer Gender]]="M","Male", orders[[#This Row],[Customer Gender]]="F","Female", orders[[#This Row],[Customer Gender]]="O","Other", TRUE,"Unknown")</f>
        <v>Female</v>
      </c>
    </row>
    <row r="1019" spans="1:15">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f t="array" ref="O1019">_xlfn.IFS(orders[[#This Row],[Customer Gender]]="M","Male", orders[[#This Row],[Customer Gender]]="F","Female", orders[[#This Row],[Customer Gender]]="O","Other", TRUE,"Unknown")</f>
        <v>Unknown</v>
      </c>
    </row>
    <row r="1020" spans="1:15">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f t="array" ref="O1020">_xlfn.IFS(orders[[#This Row],[Customer Gender]]="M","Male", orders[[#This Row],[Customer Gender]]="F","Female", orders[[#This Row],[Customer Gender]]="O","Other", TRUE,"Unknown")</f>
        <v>Female</v>
      </c>
    </row>
    <row r="1021" spans="1:15">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f t="array" ref="O1021">_xlfn.IFS(orders[[#This Row],[Customer Gender]]="M","Male", orders[[#This Row],[Customer Gender]]="F","Female", orders[[#This Row],[Customer Gender]]="O","Other", TRUE,"Unknown")</f>
        <v>Male</v>
      </c>
    </row>
    <row r="1022" spans="1:15">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f t="array" ref="O1022">_xlfn.IFS(orders[[#This Row],[Customer Gender]]="M","Male", orders[[#This Row],[Customer Gender]]="F","Female", orders[[#This Row],[Customer Gender]]="O","Other", TRUE,"Unknown")</f>
        <v>Female</v>
      </c>
    </row>
    <row r="1023" spans="1:15">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f t="array" ref="O1023">_xlfn.IFS(orders[[#This Row],[Customer Gender]]="M","Male", orders[[#This Row],[Customer Gender]]="F","Female", orders[[#This Row],[Customer Gender]]="O","Other", TRUE,"Unknown")</f>
        <v>Male</v>
      </c>
    </row>
    <row r="1024" spans="1:15">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f t="array" ref="O1024">_xlfn.IFS(orders[[#This Row],[Customer Gender]]="M","Male", orders[[#This Row],[Customer Gender]]="F","Female", orders[[#This Row],[Customer Gender]]="O","Other", TRUE,"Unknown")</f>
        <v>Male</v>
      </c>
    </row>
    <row r="1025" spans="1:15">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f t="array" ref="O1025">_xlfn.IFS(orders[[#This Row],[Customer Gender]]="M","Male", orders[[#This Row],[Customer Gender]]="F","Female", orders[[#This Row],[Customer Gender]]="O","Other", TRUE,"Unknown")</f>
        <v>Male</v>
      </c>
    </row>
    <row r="1026" spans="1:15">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f t="array" ref="O1026">_xlfn.IFS(orders[[#This Row],[Customer Gender]]="M","Male", orders[[#This Row],[Customer Gender]]="F","Female", orders[[#This Row],[Customer Gender]]="O","Other", TRUE,"Unknown")</f>
        <v>Female</v>
      </c>
    </row>
    <row r="1027" spans="1:15">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f t="array" ref="O1027">_xlfn.IFS(orders[[#This Row],[Customer Gender]]="M","Male", orders[[#This Row],[Customer Gender]]="F","Female", orders[[#This Row],[Customer Gender]]="O","Other", TRUE,"Unknown")</f>
        <v>Female</v>
      </c>
    </row>
    <row r="1028" spans="1:15">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f t="array" ref="O1028">_xlfn.IFS(orders[[#This Row],[Customer Gender]]="M","Male", orders[[#This Row],[Customer Gender]]="F","Female", orders[[#This Row],[Customer Gender]]="O","Other", TRUE,"Unknown")</f>
        <v>Female</v>
      </c>
    </row>
    <row r="1029" spans="1:15">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f t="array" ref="O1029">_xlfn.IFS(orders[[#This Row],[Customer Gender]]="M","Male", orders[[#This Row],[Customer Gender]]="F","Female", orders[[#This Row],[Customer Gender]]="O","Other", TRUE,"Unknown")</f>
        <v>Female</v>
      </c>
    </row>
    <row r="1030" spans="1:15">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f t="array" ref="O1030">_xlfn.IFS(orders[[#This Row],[Customer Gender]]="M","Male", orders[[#This Row],[Customer Gender]]="F","Female", orders[[#This Row],[Customer Gender]]="O","Other", TRUE,"Unknown")</f>
        <v>Female</v>
      </c>
    </row>
    <row r="1031" spans="1:15">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f t="array" ref="O1031">_xlfn.IFS(orders[[#This Row],[Customer Gender]]="M","Male", orders[[#This Row],[Customer Gender]]="F","Female", orders[[#This Row],[Customer Gender]]="O","Other", TRUE,"Unknown")</f>
        <v>Male</v>
      </c>
    </row>
    <row r="1032" spans="1:15">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f t="array" ref="O1032">_xlfn.IFS(orders[[#This Row],[Customer Gender]]="M","Male", orders[[#This Row],[Customer Gender]]="F","Female", orders[[#This Row],[Customer Gender]]="O","Other", TRUE,"Unknown")</f>
        <v>Female</v>
      </c>
    </row>
    <row r="1033" spans="1:15">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f t="array" ref="O1033">_xlfn.IFS(orders[[#This Row],[Customer Gender]]="M","Male", orders[[#This Row],[Customer Gender]]="F","Female", orders[[#This Row],[Customer Gender]]="O","Other", TRUE,"Unknown")</f>
        <v>Male</v>
      </c>
    </row>
    <row r="1034" spans="1:15">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f t="array" ref="O1034">_xlfn.IFS(orders[[#This Row],[Customer Gender]]="M","Male", orders[[#This Row],[Customer Gender]]="F","Female", orders[[#This Row],[Customer Gender]]="O","Other", TRUE,"Unknown")</f>
        <v>Female</v>
      </c>
    </row>
    <row r="1035" spans="1:15">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f t="array" ref="O1035">_xlfn.IFS(orders[[#This Row],[Customer Gender]]="M","Male", orders[[#This Row],[Customer Gender]]="F","Female", orders[[#This Row],[Customer Gender]]="O","Other", TRUE,"Unknown")</f>
        <v>Unknown</v>
      </c>
    </row>
    <row r="1036" spans="1:15">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f t="array" ref="O1036">_xlfn.IFS(orders[[#This Row],[Customer Gender]]="M","Male", orders[[#This Row],[Customer Gender]]="F","Female", orders[[#This Row],[Customer Gender]]="O","Other", TRUE,"Unknown")</f>
        <v>Female</v>
      </c>
    </row>
    <row r="1037" spans="1:15">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f t="array" ref="O1037">_xlfn.IFS(orders[[#This Row],[Customer Gender]]="M","Male", orders[[#This Row],[Customer Gender]]="F","Female", orders[[#This Row],[Customer Gender]]="O","Other", TRUE,"Unknown")</f>
        <v>Male</v>
      </c>
    </row>
    <row r="1038" spans="1:15">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f t="array" ref="O1038">_xlfn.IFS(orders[[#This Row],[Customer Gender]]="M","Male", orders[[#This Row],[Customer Gender]]="F","Female", orders[[#This Row],[Customer Gender]]="O","Other", TRUE,"Unknown")</f>
        <v>Male</v>
      </c>
    </row>
    <row r="1039" spans="1:15">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f t="array" ref="O1039">_xlfn.IFS(orders[[#This Row],[Customer Gender]]="M","Male", orders[[#This Row],[Customer Gender]]="F","Female", orders[[#This Row],[Customer Gender]]="O","Other", TRUE,"Unknown")</f>
        <v>Female</v>
      </c>
    </row>
    <row r="1040" spans="1:15">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f t="array" ref="O1040">_xlfn.IFS(orders[[#This Row],[Customer Gender]]="M","Male", orders[[#This Row],[Customer Gender]]="F","Female", orders[[#This Row],[Customer Gender]]="O","Other", TRUE,"Unknown")</f>
        <v>Female</v>
      </c>
    </row>
    <row r="1041" spans="1:15">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f t="array" ref="O1041">_xlfn.IFS(orders[[#This Row],[Customer Gender]]="M","Male", orders[[#This Row],[Customer Gender]]="F","Female", orders[[#This Row],[Customer Gender]]="O","Other", TRUE,"Unknown")</f>
        <v>Male</v>
      </c>
    </row>
    <row r="1042" spans="1:15">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f t="array" ref="O1042">_xlfn.IFS(orders[[#This Row],[Customer Gender]]="M","Male", orders[[#This Row],[Customer Gender]]="F","Female", orders[[#This Row],[Customer Gender]]="O","Other", TRUE,"Unknown")</f>
        <v>Unknown</v>
      </c>
    </row>
    <row r="1043" spans="1:15">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f t="array" ref="O1043">_xlfn.IFS(orders[[#This Row],[Customer Gender]]="M","Male", orders[[#This Row],[Customer Gender]]="F","Female", orders[[#This Row],[Customer Gender]]="O","Other", TRUE,"Unknown")</f>
        <v>Female</v>
      </c>
    </row>
    <row r="1044" spans="1:15">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f t="array" ref="O1044">_xlfn.IFS(orders[[#This Row],[Customer Gender]]="M","Male", orders[[#This Row],[Customer Gender]]="F","Female", orders[[#This Row],[Customer Gender]]="O","Other", TRUE,"Unknown")</f>
        <v>Male</v>
      </c>
    </row>
    <row r="1045" spans="1:15">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f t="array" ref="O1045">_xlfn.IFS(orders[[#This Row],[Customer Gender]]="M","Male", orders[[#This Row],[Customer Gender]]="F","Female", orders[[#This Row],[Customer Gender]]="O","Other", TRUE,"Unknown")</f>
        <v>Female</v>
      </c>
    </row>
    <row r="1046" spans="1:15">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f t="array" ref="O1046">_xlfn.IFS(orders[[#This Row],[Customer Gender]]="M","Male", orders[[#This Row],[Customer Gender]]="F","Female", orders[[#This Row],[Customer Gender]]="O","Other", TRUE,"Unknown")</f>
        <v>Male</v>
      </c>
    </row>
    <row r="1047" spans="1:15">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f t="array" ref="O1047">_xlfn.IFS(orders[[#This Row],[Customer Gender]]="M","Male", orders[[#This Row],[Customer Gender]]="F","Female", orders[[#This Row],[Customer Gender]]="O","Other", TRUE,"Unknown")</f>
        <v>Female</v>
      </c>
    </row>
    <row r="1048" spans="1:15">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f t="array" ref="O1048">_xlfn.IFS(orders[[#This Row],[Customer Gender]]="M","Male", orders[[#This Row],[Customer Gender]]="F","Female", orders[[#This Row],[Customer Gender]]="O","Other", TRUE,"Unknown")</f>
        <v>Female</v>
      </c>
    </row>
    <row r="1049" spans="1:15">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f t="array" ref="O1049">_xlfn.IFS(orders[[#This Row],[Customer Gender]]="M","Male", orders[[#This Row],[Customer Gender]]="F","Female", orders[[#This Row],[Customer Gender]]="O","Other", TRUE,"Unknown")</f>
        <v>Female</v>
      </c>
    </row>
    <row r="1050" spans="1:15">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f t="array" ref="O1050">_xlfn.IFS(orders[[#This Row],[Customer Gender]]="M","Male", orders[[#This Row],[Customer Gender]]="F","Female", orders[[#This Row],[Customer Gender]]="O","Other", TRUE,"Unknown")</f>
        <v>Female</v>
      </c>
    </row>
    <row r="1051" spans="1:15">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f t="array" ref="O1051">_xlfn.IFS(orders[[#This Row],[Customer Gender]]="M","Male", orders[[#This Row],[Customer Gender]]="F","Female", orders[[#This Row],[Customer Gender]]="O","Other", TRUE,"Unknown")</f>
        <v>Male</v>
      </c>
    </row>
    <row r="1052" spans="1:15">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f t="array" ref="O1052">_xlfn.IFS(orders[[#This Row],[Customer Gender]]="M","Male", orders[[#This Row],[Customer Gender]]="F","Female", orders[[#This Row],[Customer Gender]]="O","Other", TRUE,"Unknown")</f>
        <v>Male</v>
      </c>
    </row>
    <row r="1053" spans="1:15">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f t="array" ref="O1053">_xlfn.IFS(orders[[#This Row],[Customer Gender]]="M","Male", orders[[#This Row],[Customer Gender]]="F","Female", orders[[#This Row],[Customer Gender]]="O","Other", TRUE,"Unknown")</f>
        <v>Female</v>
      </c>
    </row>
    <row r="1054" spans="1:15">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f t="array" ref="O1054">_xlfn.IFS(orders[[#This Row],[Customer Gender]]="M","Male", orders[[#This Row],[Customer Gender]]="F","Female", orders[[#This Row],[Customer Gender]]="O","Other", TRUE,"Unknown")</f>
        <v>Male</v>
      </c>
    </row>
    <row r="1055" spans="1:15">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f t="array" ref="O1055">_xlfn.IFS(orders[[#This Row],[Customer Gender]]="M","Male", orders[[#This Row],[Customer Gender]]="F","Female", orders[[#This Row],[Customer Gender]]="O","Other", TRUE,"Unknown")</f>
        <v>Female</v>
      </c>
    </row>
    <row r="1056" spans="1:15">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f t="array" ref="O1056">_xlfn.IFS(orders[[#This Row],[Customer Gender]]="M","Male", orders[[#This Row],[Customer Gender]]="F","Female", orders[[#This Row],[Customer Gender]]="O","Other", TRUE,"Unknown")</f>
        <v>Male</v>
      </c>
    </row>
    <row r="1057" spans="1:15">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f t="array" ref="O1057">_xlfn.IFS(orders[[#This Row],[Customer Gender]]="M","Male", orders[[#This Row],[Customer Gender]]="F","Female", orders[[#This Row],[Customer Gender]]="O","Other", TRUE,"Unknown")</f>
        <v>Male</v>
      </c>
    </row>
    <row r="1058" spans="1:15">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f t="array" ref="O1058">_xlfn.IFS(orders[[#This Row],[Customer Gender]]="M","Male", orders[[#This Row],[Customer Gender]]="F","Female", orders[[#This Row],[Customer Gender]]="O","Other", TRUE,"Unknown")</f>
        <v>Female</v>
      </c>
    </row>
    <row r="1059" spans="1:15">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f t="array" ref="O1059">_xlfn.IFS(orders[[#This Row],[Customer Gender]]="M","Male", orders[[#This Row],[Customer Gender]]="F","Female", orders[[#This Row],[Customer Gender]]="O","Other", TRUE,"Unknown")</f>
        <v>Female</v>
      </c>
    </row>
    <row r="1060" spans="1:15">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f t="array" ref="O1060">_xlfn.IFS(orders[[#This Row],[Customer Gender]]="M","Male", orders[[#This Row],[Customer Gender]]="F","Female", orders[[#This Row],[Customer Gender]]="O","Other", TRUE,"Unknown")</f>
        <v>Female</v>
      </c>
    </row>
    <row r="1061" spans="1:15">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f t="array" ref="O1061">_xlfn.IFS(orders[[#This Row],[Customer Gender]]="M","Male", orders[[#This Row],[Customer Gender]]="F","Female", orders[[#This Row],[Customer Gender]]="O","Other", TRUE,"Unknown")</f>
        <v>Male</v>
      </c>
    </row>
    <row r="1062" spans="1:15">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f t="array" ref="O1062">_xlfn.IFS(orders[[#This Row],[Customer Gender]]="M","Male", orders[[#This Row],[Customer Gender]]="F","Female", orders[[#This Row],[Customer Gender]]="O","Other", TRUE,"Unknown")</f>
        <v>Unknown</v>
      </c>
    </row>
    <row r="1063" spans="1:15">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f t="array" ref="O1063">_xlfn.IFS(orders[[#This Row],[Customer Gender]]="M","Male", orders[[#This Row],[Customer Gender]]="F","Female", orders[[#This Row],[Customer Gender]]="O","Other", TRUE,"Unknown")</f>
        <v>Male</v>
      </c>
    </row>
    <row r="1064" spans="1:15">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f t="array" ref="O1064">_xlfn.IFS(orders[[#This Row],[Customer Gender]]="M","Male", orders[[#This Row],[Customer Gender]]="F","Female", orders[[#This Row],[Customer Gender]]="O","Other", TRUE,"Unknown")</f>
        <v>Male</v>
      </c>
    </row>
    <row r="1065" spans="1:15">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f t="array" ref="O1065">_xlfn.IFS(orders[[#This Row],[Customer Gender]]="M","Male", orders[[#This Row],[Customer Gender]]="F","Female", orders[[#This Row],[Customer Gender]]="O","Other", TRUE,"Unknown")</f>
        <v>Female</v>
      </c>
    </row>
    <row r="1066" spans="1:15">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f t="array" ref="O1066">_xlfn.IFS(orders[[#This Row],[Customer Gender]]="M","Male", orders[[#This Row],[Customer Gender]]="F","Female", orders[[#This Row],[Customer Gender]]="O","Other", TRUE,"Unknown")</f>
        <v>Male</v>
      </c>
    </row>
    <row r="1067" spans="1:15">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f t="array" ref="O1067">_xlfn.IFS(orders[[#This Row],[Customer Gender]]="M","Male", orders[[#This Row],[Customer Gender]]="F","Female", orders[[#This Row],[Customer Gender]]="O","Other", TRUE,"Unknown")</f>
        <v>Male</v>
      </c>
    </row>
    <row r="1068" spans="1:15">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f t="array" ref="O1068">_xlfn.IFS(orders[[#This Row],[Customer Gender]]="M","Male", orders[[#This Row],[Customer Gender]]="F","Female", orders[[#This Row],[Customer Gender]]="O","Other", TRUE,"Unknown")</f>
        <v>Female</v>
      </c>
    </row>
    <row r="1069" spans="1:15">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f t="array" ref="O1069">_xlfn.IFS(orders[[#This Row],[Customer Gender]]="M","Male", orders[[#This Row],[Customer Gender]]="F","Female", orders[[#This Row],[Customer Gender]]="O","Other", TRUE,"Unknown")</f>
        <v>Male</v>
      </c>
    </row>
    <row r="1070" spans="1:15">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f t="array" ref="O1070">_xlfn.IFS(orders[[#This Row],[Customer Gender]]="M","Male", orders[[#This Row],[Customer Gender]]="F","Female", orders[[#This Row],[Customer Gender]]="O","Other", TRUE,"Unknown")</f>
        <v>Female</v>
      </c>
    </row>
    <row r="1071" spans="1:15">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f t="array" ref="O1071">_xlfn.IFS(orders[[#This Row],[Customer Gender]]="M","Male", orders[[#This Row],[Customer Gender]]="F","Female", orders[[#This Row],[Customer Gender]]="O","Other", TRUE,"Unknown")</f>
        <v>Female</v>
      </c>
    </row>
    <row r="1072" spans="1:15">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f t="array" ref="O1072">_xlfn.IFS(orders[[#This Row],[Customer Gender]]="M","Male", orders[[#This Row],[Customer Gender]]="F","Female", orders[[#This Row],[Customer Gender]]="O","Other", TRUE,"Unknown")</f>
        <v>Male</v>
      </c>
    </row>
    <row r="1073" spans="1:15">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f t="array" ref="O1073">_xlfn.IFS(orders[[#This Row],[Customer Gender]]="M","Male", orders[[#This Row],[Customer Gender]]="F","Female", orders[[#This Row],[Customer Gender]]="O","Other", TRUE,"Unknown")</f>
        <v>Female</v>
      </c>
    </row>
    <row r="1074" spans="1:15">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f t="array" ref="O1074">_xlfn.IFS(orders[[#This Row],[Customer Gender]]="M","Male", orders[[#This Row],[Customer Gender]]="F","Female", orders[[#This Row],[Customer Gender]]="O","Other", TRUE,"Unknown")</f>
        <v>Male</v>
      </c>
    </row>
    <row r="1075" spans="1:15">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f t="array" ref="O1075">_xlfn.IFS(orders[[#This Row],[Customer Gender]]="M","Male", orders[[#This Row],[Customer Gender]]="F","Female", orders[[#This Row],[Customer Gender]]="O","Other", TRUE,"Unknown")</f>
        <v>Male</v>
      </c>
    </row>
    <row r="1076" spans="1:15">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f t="array" ref="O1076">_xlfn.IFS(orders[[#This Row],[Customer Gender]]="M","Male", orders[[#This Row],[Customer Gender]]="F","Female", orders[[#This Row],[Customer Gender]]="O","Other", TRUE,"Unknown")</f>
        <v>Male</v>
      </c>
    </row>
    <row r="1077" spans="1:15">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f t="array" ref="O1077">_xlfn.IFS(orders[[#This Row],[Customer Gender]]="M","Male", orders[[#This Row],[Customer Gender]]="F","Female", orders[[#This Row],[Customer Gender]]="O","Other", TRUE,"Unknown")</f>
        <v>Male</v>
      </c>
    </row>
    <row r="1078" spans="1:15">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f t="array" ref="O1078">_xlfn.IFS(orders[[#This Row],[Customer Gender]]="M","Male", orders[[#This Row],[Customer Gender]]="F","Female", orders[[#This Row],[Customer Gender]]="O","Other", TRUE,"Unknown")</f>
        <v>Male</v>
      </c>
    </row>
    <row r="1079" spans="1:15">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f t="array" ref="O1079">_xlfn.IFS(orders[[#This Row],[Customer Gender]]="M","Male", orders[[#This Row],[Customer Gender]]="F","Female", orders[[#This Row],[Customer Gender]]="O","Other", TRUE,"Unknown")</f>
        <v>Male</v>
      </c>
    </row>
    <row r="1080" spans="1:15">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f t="array" ref="O1080">_xlfn.IFS(orders[[#This Row],[Customer Gender]]="M","Male", orders[[#This Row],[Customer Gender]]="F","Female", orders[[#This Row],[Customer Gender]]="O","Other", TRUE,"Unknown")</f>
        <v>Male</v>
      </c>
    </row>
    <row r="1081" spans="1:15">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f t="array" ref="O1081">_xlfn.IFS(orders[[#This Row],[Customer Gender]]="M","Male", orders[[#This Row],[Customer Gender]]="F","Female", orders[[#This Row],[Customer Gender]]="O","Other", TRUE,"Unknown")</f>
        <v>Male</v>
      </c>
    </row>
    <row r="1082" spans="1:15">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f t="array" ref="O1082">_xlfn.IFS(orders[[#This Row],[Customer Gender]]="M","Male", orders[[#This Row],[Customer Gender]]="F","Female", orders[[#This Row],[Customer Gender]]="O","Other", TRUE,"Unknown")</f>
        <v>Female</v>
      </c>
    </row>
    <row r="1083" spans="1:15">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f t="array" ref="O1083">_xlfn.IFS(orders[[#This Row],[Customer Gender]]="M","Male", orders[[#This Row],[Customer Gender]]="F","Female", orders[[#This Row],[Customer Gender]]="O","Other", TRUE,"Unknown")</f>
        <v>Female</v>
      </c>
    </row>
    <row r="1084" spans="1:15">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f t="array" ref="O1084">_xlfn.IFS(orders[[#This Row],[Customer Gender]]="M","Male", orders[[#This Row],[Customer Gender]]="F","Female", orders[[#This Row],[Customer Gender]]="O","Other", TRUE,"Unknown")</f>
        <v>Female</v>
      </c>
    </row>
    <row r="1085" spans="1:15">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f t="array" ref="O1085">_xlfn.IFS(orders[[#This Row],[Customer Gender]]="M","Male", orders[[#This Row],[Customer Gender]]="F","Female", orders[[#This Row],[Customer Gender]]="O","Other", TRUE,"Unknown")</f>
        <v>Female</v>
      </c>
    </row>
    <row r="1086" spans="1:15">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f t="array" ref="O1086">_xlfn.IFS(orders[[#This Row],[Customer Gender]]="M","Male", orders[[#This Row],[Customer Gender]]="F","Female", orders[[#This Row],[Customer Gender]]="O","Other", TRUE,"Unknown")</f>
        <v>Female</v>
      </c>
    </row>
    <row r="1087" spans="1:15">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f t="array" ref="O1087">_xlfn.IFS(orders[[#This Row],[Customer Gender]]="M","Male", orders[[#This Row],[Customer Gender]]="F","Female", orders[[#This Row],[Customer Gender]]="O","Other", TRUE,"Unknown")</f>
        <v>Female</v>
      </c>
    </row>
    <row r="1088" spans="1:15">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f t="array" ref="O1088">_xlfn.IFS(orders[[#This Row],[Customer Gender]]="M","Male", orders[[#This Row],[Customer Gender]]="F","Female", orders[[#This Row],[Customer Gender]]="O","Other", TRUE,"Unknown")</f>
        <v>Female</v>
      </c>
    </row>
    <row r="1089" spans="1:15">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f t="array" ref="O1089">_xlfn.IFS(orders[[#This Row],[Customer Gender]]="M","Male", orders[[#This Row],[Customer Gender]]="F","Female", orders[[#This Row],[Customer Gender]]="O","Other", TRUE,"Unknown")</f>
        <v>Male</v>
      </c>
    </row>
    <row r="1090" spans="1:15">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f t="array" ref="O1090">_xlfn.IFS(orders[[#This Row],[Customer Gender]]="M","Male", orders[[#This Row],[Customer Gender]]="F","Female", orders[[#This Row],[Customer Gender]]="O","Other", TRUE,"Unknown")</f>
        <v>Female</v>
      </c>
    </row>
    <row r="1091" spans="1:15">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f t="array" ref="O1091">_xlfn.IFS(orders[[#This Row],[Customer Gender]]="M","Male", orders[[#This Row],[Customer Gender]]="F","Female", orders[[#This Row],[Customer Gender]]="O","Other", TRUE,"Unknown")</f>
        <v>Male</v>
      </c>
    </row>
    <row r="1092" spans="1:15">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f t="array" ref="O1092">_xlfn.IFS(orders[[#This Row],[Customer Gender]]="M","Male", orders[[#This Row],[Customer Gender]]="F","Female", orders[[#This Row],[Customer Gender]]="O","Other", TRUE,"Unknown")</f>
        <v>Unknown</v>
      </c>
    </row>
    <row r="1093" spans="1:15">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f t="array" ref="O1093">_xlfn.IFS(orders[[#This Row],[Customer Gender]]="M","Male", orders[[#This Row],[Customer Gender]]="F","Female", orders[[#This Row],[Customer Gender]]="O","Other", TRUE,"Unknown")</f>
        <v>Female</v>
      </c>
    </row>
    <row r="1094" spans="1:15">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f t="array" ref="O1094">_xlfn.IFS(orders[[#This Row],[Customer Gender]]="M","Male", orders[[#This Row],[Customer Gender]]="F","Female", orders[[#This Row],[Customer Gender]]="O","Other", TRUE,"Unknown")</f>
        <v>Female</v>
      </c>
    </row>
    <row r="1095" spans="1:15">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f t="array" ref="O1095">_xlfn.IFS(orders[[#This Row],[Customer Gender]]="M","Male", orders[[#This Row],[Customer Gender]]="F","Female", orders[[#This Row],[Customer Gender]]="O","Other", TRUE,"Unknown")</f>
        <v>Male</v>
      </c>
    </row>
    <row r="1096" spans="1:15">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f t="array" ref="O1096">_xlfn.IFS(orders[[#This Row],[Customer Gender]]="M","Male", orders[[#This Row],[Customer Gender]]="F","Female", orders[[#This Row],[Customer Gender]]="O","Other", TRUE,"Unknown")</f>
        <v>Female</v>
      </c>
    </row>
    <row r="1097" spans="1:15">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f t="array" ref="O1097">_xlfn.IFS(orders[[#This Row],[Customer Gender]]="M","Male", orders[[#This Row],[Customer Gender]]="F","Female", orders[[#This Row],[Customer Gender]]="O","Other", TRUE,"Unknown")</f>
        <v>Female</v>
      </c>
    </row>
    <row r="1098" spans="1:15">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f t="array" ref="O1098">_xlfn.IFS(orders[[#This Row],[Customer Gender]]="M","Male", orders[[#This Row],[Customer Gender]]="F","Female", orders[[#This Row],[Customer Gender]]="O","Other", TRUE,"Unknown")</f>
        <v>Female</v>
      </c>
    </row>
    <row r="1099" spans="1:15">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f t="array" ref="O1099">_xlfn.IFS(orders[[#This Row],[Customer Gender]]="M","Male", orders[[#This Row],[Customer Gender]]="F","Female", orders[[#This Row],[Customer Gender]]="O","Other", TRUE,"Unknown")</f>
        <v>Male</v>
      </c>
    </row>
    <row r="1100" spans="1:15">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f t="array" ref="O1100">_xlfn.IFS(orders[[#This Row],[Customer Gender]]="M","Male", orders[[#This Row],[Customer Gender]]="F","Female", orders[[#This Row],[Customer Gender]]="O","Other", TRUE,"Unknown")</f>
        <v>Female</v>
      </c>
    </row>
    <row r="1101" spans="1:15">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f t="array" ref="O1101">_xlfn.IFS(orders[[#This Row],[Customer Gender]]="M","Male", orders[[#This Row],[Customer Gender]]="F","Female", orders[[#This Row],[Customer Gender]]="O","Other", TRUE,"Unknown")</f>
        <v>Female</v>
      </c>
    </row>
    <row r="1102" spans="1:15">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f t="array" ref="O1102">_xlfn.IFS(orders[[#This Row],[Customer Gender]]="M","Male", orders[[#This Row],[Customer Gender]]="F","Female", orders[[#This Row],[Customer Gender]]="O","Other", TRUE,"Unknown")</f>
        <v>Female</v>
      </c>
    </row>
    <row r="1103" spans="1:15">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f t="array" ref="O1103">_xlfn.IFS(orders[[#This Row],[Customer Gender]]="M","Male", orders[[#This Row],[Customer Gender]]="F","Female", orders[[#This Row],[Customer Gender]]="O","Other", TRUE,"Unknown")</f>
        <v>Male</v>
      </c>
    </row>
    <row r="1104" spans="1:15">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f t="array" ref="O1104">_xlfn.IFS(orders[[#This Row],[Customer Gender]]="M","Male", orders[[#This Row],[Customer Gender]]="F","Female", orders[[#This Row],[Customer Gender]]="O","Other", TRUE,"Unknown")</f>
        <v>Unknown</v>
      </c>
    </row>
    <row r="1105" spans="1:15">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f t="array" ref="O1105">_xlfn.IFS(orders[[#This Row],[Customer Gender]]="M","Male", orders[[#This Row],[Customer Gender]]="F","Female", orders[[#This Row],[Customer Gender]]="O","Other", TRUE,"Unknown")</f>
        <v>Female</v>
      </c>
    </row>
    <row r="1106" spans="1:15">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f t="array" ref="O1106">_xlfn.IFS(orders[[#This Row],[Customer Gender]]="M","Male", orders[[#This Row],[Customer Gender]]="F","Female", orders[[#This Row],[Customer Gender]]="O","Other", TRUE,"Unknown")</f>
        <v>Male</v>
      </c>
    </row>
    <row r="1107" spans="1:15">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f t="array" ref="O1107">_xlfn.IFS(orders[[#This Row],[Customer Gender]]="M","Male", orders[[#This Row],[Customer Gender]]="F","Female", orders[[#This Row],[Customer Gender]]="O","Other", TRUE,"Unknown")</f>
        <v>Other</v>
      </c>
    </row>
    <row r="1108" spans="1:15">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f t="array" ref="O1108">_xlfn.IFS(orders[[#This Row],[Customer Gender]]="M","Male", orders[[#This Row],[Customer Gender]]="F","Female", orders[[#This Row],[Customer Gender]]="O","Other", TRUE,"Unknown")</f>
        <v>Male</v>
      </c>
    </row>
    <row r="1109" spans="1:15">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f t="array" ref="O1109">_xlfn.IFS(orders[[#This Row],[Customer Gender]]="M","Male", orders[[#This Row],[Customer Gender]]="F","Female", orders[[#This Row],[Customer Gender]]="O","Other", TRUE,"Unknown")</f>
        <v>Female</v>
      </c>
    </row>
    <row r="1110" spans="1:15">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f t="array" ref="O1110">_xlfn.IFS(orders[[#This Row],[Customer Gender]]="M","Male", orders[[#This Row],[Customer Gender]]="F","Female", orders[[#This Row],[Customer Gender]]="O","Other", TRUE,"Unknown")</f>
        <v>Female</v>
      </c>
    </row>
    <row r="1111" spans="1:15">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f t="array" ref="O1111">_xlfn.IFS(orders[[#This Row],[Customer Gender]]="M","Male", orders[[#This Row],[Customer Gender]]="F","Female", orders[[#This Row],[Customer Gender]]="O","Other", TRUE,"Unknown")</f>
        <v>Female</v>
      </c>
    </row>
    <row r="1112" spans="1:15">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f t="array" ref="O1112">_xlfn.IFS(orders[[#This Row],[Customer Gender]]="M","Male", orders[[#This Row],[Customer Gender]]="F","Female", orders[[#This Row],[Customer Gender]]="O","Other", TRUE,"Unknown")</f>
        <v>Male</v>
      </c>
    </row>
    <row r="1113" spans="1:15">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f t="array" ref="O1113">_xlfn.IFS(orders[[#This Row],[Customer Gender]]="M","Male", orders[[#This Row],[Customer Gender]]="F","Female", orders[[#This Row],[Customer Gender]]="O","Other", TRUE,"Unknown")</f>
        <v>Other</v>
      </c>
    </row>
    <row r="1114" spans="1:15">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f t="array" ref="O1114">_xlfn.IFS(orders[[#This Row],[Customer Gender]]="M","Male", orders[[#This Row],[Customer Gender]]="F","Female", orders[[#This Row],[Customer Gender]]="O","Other", TRUE,"Unknown")</f>
        <v>Female</v>
      </c>
    </row>
    <row r="1115" spans="1:15">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f t="array" ref="O1115">_xlfn.IFS(orders[[#This Row],[Customer Gender]]="M","Male", orders[[#This Row],[Customer Gender]]="F","Female", orders[[#This Row],[Customer Gender]]="O","Other", TRUE,"Unknown")</f>
        <v>Female</v>
      </c>
    </row>
    <row r="1116" spans="1:15">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f t="array" ref="O1116">_xlfn.IFS(orders[[#This Row],[Customer Gender]]="M","Male", orders[[#This Row],[Customer Gender]]="F","Female", orders[[#This Row],[Customer Gender]]="O","Other", TRUE,"Unknown")</f>
        <v>Female</v>
      </c>
    </row>
    <row r="1117" spans="1:15">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f t="array" ref="O1117">_xlfn.IFS(orders[[#This Row],[Customer Gender]]="M","Male", orders[[#This Row],[Customer Gender]]="F","Female", orders[[#This Row],[Customer Gender]]="O","Other", TRUE,"Unknown")</f>
        <v>Female</v>
      </c>
    </row>
    <row r="1118" spans="1:15">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f t="array" ref="O1118">_xlfn.IFS(orders[[#This Row],[Customer Gender]]="M","Male", orders[[#This Row],[Customer Gender]]="F","Female", orders[[#This Row],[Customer Gender]]="O","Other", TRUE,"Unknown")</f>
        <v>Female</v>
      </c>
    </row>
    <row r="1119" spans="1:15">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f t="array" ref="O1119">_xlfn.IFS(orders[[#This Row],[Customer Gender]]="M","Male", orders[[#This Row],[Customer Gender]]="F","Female", orders[[#This Row],[Customer Gender]]="O","Other", TRUE,"Unknown")</f>
        <v>Female</v>
      </c>
    </row>
    <row r="1120" spans="1:15">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f t="array" ref="O1120">_xlfn.IFS(orders[[#This Row],[Customer Gender]]="M","Male", orders[[#This Row],[Customer Gender]]="F","Female", orders[[#This Row],[Customer Gender]]="O","Other", TRUE,"Unknown")</f>
        <v>Female</v>
      </c>
    </row>
    <row r="1121" spans="1:15">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f t="array" ref="O1121">_xlfn.IFS(orders[[#This Row],[Customer Gender]]="M","Male", orders[[#This Row],[Customer Gender]]="F","Female", orders[[#This Row],[Customer Gender]]="O","Other", TRUE,"Unknown")</f>
        <v>Female</v>
      </c>
    </row>
    <row r="1122" spans="1:15">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f t="array" ref="O1122">_xlfn.IFS(orders[[#This Row],[Customer Gender]]="M","Male", orders[[#This Row],[Customer Gender]]="F","Female", orders[[#This Row],[Customer Gender]]="O","Other", TRUE,"Unknown")</f>
        <v>Female</v>
      </c>
    </row>
    <row r="1123" spans="1:15">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f t="array" ref="O1123">_xlfn.IFS(orders[[#This Row],[Customer Gender]]="M","Male", orders[[#This Row],[Customer Gender]]="F","Female", orders[[#This Row],[Customer Gender]]="O","Other", TRUE,"Unknown")</f>
        <v>Male</v>
      </c>
    </row>
    <row r="1124" spans="1:15">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f t="array" ref="O1124">_xlfn.IFS(orders[[#This Row],[Customer Gender]]="M","Male", orders[[#This Row],[Customer Gender]]="F","Female", orders[[#This Row],[Customer Gender]]="O","Other", TRUE,"Unknown")</f>
        <v>Female</v>
      </c>
    </row>
    <row r="1125" spans="1:15">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f t="array" ref="O1125">_xlfn.IFS(orders[[#This Row],[Customer Gender]]="M","Male", orders[[#This Row],[Customer Gender]]="F","Female", orders[[#This Row],[Customer Gender]]="O","Other", TRUE,"Unknown")</f>
        <v>Male</v>
      </c>
    </row>
    <row r="1126" spans="1:15">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f t="array" ref="O1126">_xlfn.IFS(orders[[#This Row],[Customer Gender]]="M","Male", orders[[#This Row],[Customer Gender]]="F","Female", orders[[#This Row],[Customer Gender]]="O","Other", TRUE,"Unknown")</f>
        <v>Female</v>
      </c>
    </row>
    <row r="1127" spans="1:15">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f t="array" ref="O1127">_xlfn.IFS(orders[[#This Row],[Customer Gender]]="M","Male", orders[[#This Row],[Customer Gender]]="F","Female", orders[[#This Row],[Customer Gender]]="O","Other", TRUE,"Unknown")</f>
        <v>Female</v>
      </c>
    </row>
    <row r="1128" spans="1:15">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f t="array" ref="O1128">_xlfn.IFS(orders[[#This Row],[Customer Gender]]="M","Male", orders[[#This Row],[Customer Gender]]="F","Female", orders[[#This Row],[Customer Gender]]="O","Other", TRUE,"Unknown")</f>
        <v>Female</v>
      </c>
    </row>
    <row r="1129" spans="1:15">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f t="array" ref="O1129">_xlfn.IFS(orders[[#This Row],[Customer Gender]]="M","Male", orders[[#This Row],[Customer Gender]]="F","Female", orders[[#This Row],[Customer Gender]]="O","Other", TRUE,"Unknown")</f>
        <v>Female</v>
      </c>
    </row>
    <row r="1130" spans="1:15">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f t="array" ref="O1130">_xlfn.IFS(orders[[#This Row],[Customer Gender]]="M","Male", orders[[#This Row],[Customer Gender]]="F","Female", orders[[#This Row],[Customer Gender]]="O","Other", TRUE,"Unknown")</f>
        <v>Female</v>
      </c>
    </row>
    <row r="1131" spans="1:15">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f t="array" ref="O1131">_xlfn.IFS(orders[[#This Row],[Customer Gender]]="M","Male", orders[[#This Row],[Customer Gender]]="F","Female", orders[[#This Row],[Customer Gender]]="O","Other", TRUE,"Unknown")</f>
        <v>Female</v>
      </c>
    </row>
    <row r="1132" spans="1:15">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f t="array" ref="O1132">_xlfn.IFS(orders[[#This Row],[Customer Gender]]="M","Male", orders[[#This Row],[Customer Gender]]="F","Female", orders[[#This Row],[Customer Gender]]="O","Other", TRUE,"Unknown")</f>
        <v>Female</v>
      </c>
    </row>
    <row r="1133" spans="1:15">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f t="array" ref="O1133">_xlfn.IFS(orders[[#This Row],[Customer Gender]]="M","Male", orders[[#This Row],[Customer Gender]]="F","Female", orders[[#This Row],[Customer Gender]]="O","Other", TRUE,"Unknown")</f>
        <v>Male</v>
      </c>
    </row>
    <row r="1134" spans="1:15">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f t="array" ref="O1134">_xlfn.IFS(orders[[#This Row],[Customer Gender]]="M","Male", orders[[#This Row],[Customer Gender]]="F","Female", orders[[#This Row],[Customer Gender]]="O","Other", TRUE,"Unknown")</f>
        <v>Female</v>
      </c>
    </row>
    <row r="1135" spans="1:15">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f t="array" ref="O1135">_xlfn.IFS(orders[[#This Row],[Customer Gender]]="M","Male", orders[[#This Row],[Customer Gender]]="F","Female", orders[[#This Row],[Customer Gender]]="O","Other", TRUE,"Unknown")</f>
        <v>Female</v>
      </c>
    </row>
    <row r="1136" spans="1:15">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f t="array" ref="O1136">_xlfn.IFS(orders[[#This Row],[Customer Gender]]="M","Male", orders[[#This Row],[Customer Gender]]="F","Female", orders[[#This Row],[Customer Gender]]="O","Other", TRUE,"Unknown")</f>
        <v>Female</v>
      </c>
    </row>
    <row r="1137" spans="1:15">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f t="array" ref="O1137">_xlfn.IFS(orders[[#This Row],[Customer Gender]]="M","Male", orders[[#This Row],[Customer Gender]]="F","Female", orders[[#This Row],[Customer Gender]]="O","Other", TRUE,"Unknown")</f>
        <v>Male</v>
      </c>
    </row>
    <row r="1138" spans="1:15">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f t="array" ref="O1138">_xlfn.IFS(orders[[#This Row],[Customer Gender]]="M","Male", orders[[#This Row],[Customer Gender]]="F","Female", orders[[#This Row],[Customer Gender]]="O","Other", TRUE,"Unknown")</f>
        <v>Female</v>
      </c>
    </row>
    <row r="1139" spans="1:15">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f t="array" ref="O1139">_xlfn.IFS(orders[[#This Row],[Customer Gender]]="M","Male", orders[[#This Row],[Customer Gender]]="F","Female", orders[[#This Row],[Customer Gender]]="O","Other", TRUE,"Unknown")</f>
        <v>Female</v>
      </c>
    </row>
    <row r="1140" spans="1:15">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f t="array" ref="O1140">_xlfn.IFS(orders[[#This Row],[Customer Gender]]="M","Male", orders[[#This Row],[Customer Gender]]="F","Female", orders[[#This Row],[Customer Gender]]="O","Other", TRUE,"Unknown")</f>
        <v>Female</v>
      </c>
    </row>
    <row r="1141" spans="1:15">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f t="array" ref="O1141">_xlfn.IFS(orders[[#This Row],[Customer Gender]]="M","Male", orders[[#This Row],[Customer Gender]]="F","Female", orders[[#This Row],[Customer Gender]]="O","Other", TRUE,"Unknown")</f>
        <v>Male</v>
      </c>
    </row>
    <row r="1142" spans="1:15">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f t="array" ref="O1142">_xlfn.IFS(orders[[#This Row],[Customer Gender]]="M","Male", orders[[#This Row],[Customer Gender]]="F","Female", orders[[#This Row],[Customer Gender]]="O","Other", TRUE,"Unknown")</f>
        <v>Male</v>
      </c>
    </row>
    <row r="1143" spans="1:15">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f t="array" ref="O1143">_xlfn.IFS(orders[[#This Row],[Customer Gender]]="M","Male", orders[[#This Row],[Customer Gender]]="F","Female", orders[[#This Row],[Customer Gender]]="O","Other", TRUE,"Unknown")</f>
        <v>Female</v>
      </c>
    </row>
    <row r="1144" spans="1:15">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f t="array" ref="O1144">_xlfn.IFS(orders[[#This Row],[Customer Gender]]="M","Male", orders[[#This Row],[Customer Gender]]="F","Female", orders[[#This Row],[Customer Gender]]="O","Other", TRUE,"Unknown")</f>
        <v>Female</v>
      </c>
    </row>
    <row r="1145" spans="1:15">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f t="array" ref="O1145">_xlfn.IFS(orders[[#This Row],[Customer Gender]]="M","Male", orders[[#This Row],[Customer Gender]]="F","Female", orders[[#This Row],[Customer Gender]]="O","Other", TRUE,"Unknown")</f>
        <v>Male</v>
      </c>
    </row>
    <row r="1146" spans="1:15">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f t="array" ref="O1146">_xlfn.IFS(orders[[#This Row],[Customer Gender]]="M","Male", orders[[#This Row],[Customer Gender]]="F","Female", orders[[#This Row],[Customer Gender]]="O","Other", TRUE,"Unknown")</f>
        <v>Female</v>
      </c>
    </row>
    <row r="1147" spans="1:15">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f t="array" ref="O1147">_xlfn.IFS(orders[[#This Row],[Customer Gender]]="M","Male", orders[[#This Row],[Customer Gender]]="F","Female", orders[[#This Row],[Customer Gender]]="O","Other", TRUE,"Unknown")</f>
        <v>Female</v>
      </c>
    </row>
    <row r="1148" spans="1:15">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f t="array" ref="O1148">_xlfn.IFS(orders[[#This Row],[Customer Gender]]="M","Male", orders[[#This Row],[Customer Gender]]="F","Female", orders[[#This Row],[Customer Gender]]="O","Other", TRUE,"Unknown")</f>
        <v>Female</v>
      </c>
    </row>
    <row r="1149" spans="1:15">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f t="array" ref="O1149">_xlfn.IFS(orders[[#This Row],[Customer Gender]]="M","Male", orders[[#This Row],[Customer Gender]]="F","Female", orders[[#This Row],[Customer Gender]]="O","Other", TRUE,"Unknown")</f>
        <v>Female</v>
      </c>
    </row>
    <row r="1150" spans="1:15">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f t="array" ref="O1150">_xlfn.IFS(orders[[#This Row],[Customer Gender]]="M","Male", orders[[#This Row],[Customer Gender]]="F","Female", orders[[#This Row],[Customer Gender]]="O","Other", TRUE,"Unknown")</f>
        <v>Male</v>
      </c>
    </row>
    <row r="1151" spans="1:15">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f t="array" ref="O1151">_xlfn.IFS(orders[[#This Row],[Customer Gender]]="M","Male", orders[[#This Row],[Customer Gender]]="F","Female", orders[[#This Row],[Customer Gender]]="O","Other", TRUE,"Unknown")</f>
        <v>Male</v>
      </c>
    </row>
    <row r="1152" spans="1:15">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f t="array" ref="O1152">_xlfn.IFS(orders[[#This Row],[Customer Gender]]="M","Male", orders[[#This Row],[Customer Gender]]="F","Female", orders[[#This Row],[Customer Gender]]="O","Other", TRUE,"Unknown")</f>
        <v>Female</v>
      </c>
    </row>
    <row r="1153" spans="1:15">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f t="array" ref="O1153">_xlfn.IFS(orders[[#This Row],[Customer Gender]]="M","Male", orders[[#This Row],[Customer Gender]]="F","Female", orders[[#This Row],[Customer Gender]]="O","Other", TRUE,"Unknown")</f>
        <v>Female</v>
      </c>
    </row>
    <row r="1154" spans="1:15">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f t="array" ref="O1154">_xlfn.IFS(orders[[#This Row],[Customer Gender]]="M","Male", orders[[#This Row],[Customer Gender]]="F","Female", orders[[#This Row],[Customer Gender]]="O","Other", TRUE,"Unknown")</f>
        <v>Other</v>
      </c>
    </row>
    <row r="1155" spans="1:15">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f t="array" ref="O1155">_xlfn.IFS(orders[[#This Row],[Customer Gender]]="M","Male", orders[[#This Row],[Customer Gender]]="F","Female", orders[[#This Row],[Customer Gender]]="O","Other", TRUE,"Unknown")</f>
        <v>Male</v>
      </c>
    </row>
    <row r="1156" spans="1:15">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f t="array" ref="O1156">_xlfn.IFS(orders[[#This Row],[Customer Gender]]="M","Male", orders[[#This Row],[Customer Gender]]="F","Female", orders[[#This Row],[Customer Gender]]="O","Other", TRUE,"Unknown")</f>
        <v>Female</v>
      </c>
    </row>
    <row r="1157" spans="1:15">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f t="array" ref="O1157">_xlfn.IFS(orders[[#This Row],[Customer Gender]]="M","Male", orders[[#This Row],[Customer Gender]]="F","Female", orders[[#This Row],[Customer Gender]]="O","Other", TRUE,"Unknown")</f>
        <v>Male</v>
      </c>
    </row>
    <row r="1158" spans="1:15">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f t="array" ref="O1158">_xlfn.IFS(orders[[#This Row],[Customer Gender]]="M","Male", orders[[#This Row],[Customer Gender]]="F","Female", orders[[#This Row],[Customer Gender]]="O","Other", TRUE,"Unknown")</f>
        <v>Female</v>
      </c>
    </row>
    <row r="1159" spans="1:15">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f t="array" ref="O1159">_xlfn.IFS(orders[[#This Row],[Customer Gender]]="M","Male", orders[[#This Row],[Customer Gender]]="F","Female", orders[[#This Row],[Customer Gender]]="O","Other", TRUE,"Unknown")</f>
        <v>Female</v>
      </c>
    </row>
    <row r="1160" spans="1:15">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f t="array" ref="O1160">_xlfn.IFS(orders[[#This Row],[Customer Gender]]="M","Male", orders[[#This Row],[Customer Gender]]="F","Female", orders[[#This Row],[Customer Gender]]="O","Other", TRUE,"Unknown")</f>
        <v>Male</v>
      </c>
    </row>
    <row r="1161" spans="1:15">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f t="array" ref="O1161">_xlfn.IFS(orders[[#This Row],[Customer Gender]]="M","Male", orders[[#This Row],[Customer Gender]]="F","Female", orders[[#This Row],[Customer Gender]]="O","Other", TRUE,"Unknown")</f>
        <v>Unknown</v>
      </c>
    </row>
    <row r="1162" spans="1:15">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f t="array" ref="O1162">_xlfn.IFS(orders[[#This Row],[Customer Gender]]="M","Male", orders[[#This Row],[Customer Gender]]="F","Female", orders[[#This Row],[Customer Gender]]="O","Other", TRUE,"Unknown")</f>
        <v>Unknown</v>
      </c>
    </row>
    <row r="1163" spans="1:15">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f t="array" ref="O1163">_xlfn.IFS(orders[[#This Row],[Customer Gender]]="M","Male", orders[[#This Row],[Customer Gender]]="F","Female", orders[[#This Row],[Customer Gender]]="O","Other", TRUE,"Unknown")</f>
        <v>Male</v>
      </c>
    </row>
    <row r="1164" spans="1:15">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f t="array" ref="O1164">_xlfn.IFS(orders[[#This Row],[Customer Gender]]="M","Male", orders[[#This Row],[Customer Gender]]="F","Female", orders[[#This Row],[Customer Gender]]="O","Other", TRUE,"Unknown")</f>
        <v>Female</v>
      </c>
    </row>
    <row r="1165" spans="1:15">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f t="array" ref="O1165">_xlfn.IFS(orders[[#This Row],[Customer Gender]]="M","Male", orders[[#This Row],[Customer Gender]]="F","Female", orders[[#This Row],[Customer Gender]]="O","Other", TRUE,"Unknown")</f>
        <v>Male</v>
      </c>
    </row>
    <row r="1166" spans="1:15">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f t="array" ref="O1166">_xlfn.IFS(orders[[#This Row],[Customer Gender]]="M","Male", orders[[#This Row],[Customer Gender]]="F","Female", orders[[#This Row],[Customer Gender]]="O","Other", TRUE,"Unknown")</f>
        <v>Female</v>
      </c>
    </row>
    <row r="1167" spans="1:15">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f t="array" ref="O1167">_xlfn.IFS(orders[[#This Row],[Customer Gender]]="M","Male", orders[[#This Row],[Customer Gender]]="F","Female", orders[[#This Row],[Customer Gender]]="O","Other", TRUE,"Unknown")</f>
        <v>Female</v>
      </c>
    </row>
    <row r="1168" spans="1:15">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f t="array" ref="O1168">_xlfn.IFS(orders[[#This Row],[Customer Gender]]="M","Male", orders[[#This Row],[Customer Gender]]="F","Female", orders[[#This Row],[Customer Gender]]="O","Other", TRUE,"Unknown")</f>
        <v>Female</v>
      </c>
    </row>
    <row r="1169" spans="1:15">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f t="array" ref="O1169">_xlfn.IFS(orders[[#This Row],[Customer Gender]]="M","Male", orders[[#This Row],[Customer Gender]]="F","Female", orders[[#This Row],[Customer Gender]]="O","Other", TRUE,"Unknown")</f>
        <v>Female</v>
      </c>
    </row>
    <row r="1170" spans="1:15">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f t="array" ref="O1170">_xlfn.IFS(orders[[#This Row],[Customer Gender]]="M","Male", orders[[#This Row],[Customer Gender]]="F","Female", orders[[#This Row],[Customer Gender]]="O","Other", TRUE,"Unknown")</f>
        <v>Female</v>
      </c>
    </row>
    <row r="1171" spans="1:15">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f t="array" ref="O1171">_xlfn.IFS(orders[[#This Row],[Customer Gender]]="M","Male", orders[[#This Row],[Customer Gender]]="F","Female", orders[[#This Row],[Customer Gender]]="O","Other", TRUE,"Unknown")</f>
        <v>Female</v>
      </c>
    </row>
    <row r="1172" spans="1:15">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f t="array" ref="O1172">_xlfn.IFS(orders[[#This Row],[Customer Gender]]="M","Male", orders[[#This Row],[Customer Gender]]="F","Female", orders[[#This Row],[Customer Gender]]="O","Other", TRUE,"Unknown")</f>
        <v>Female</v>
      </c>
    </row>
    <row r="1173" spans="1:15">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f t="array" ref="O1173">_xlfn.IFS(orders[[#This Row],[Customer Gender]]="M","Male", orders[[#This Row],[Customer Gender]]="F","Female", orders[[#This Row],[Customer Gender]]="O","Other", TRUE,"Unknown")</f>
        <v>Male</v>
      </c>
    </row>
    <row r="1174" spans="1:15">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f t="array" ref="O1174">_xlfn.IFS(orders[[#This Row],[Customer Gender]]="M","Male", orders[[#This Row],[Customer Gender]]="F","Female", orders[[#This Row],[Customer Gender]]="O","Other", TRUE,"Unknown")</f>
        <v>Male</v>
      </c>
    </row>
    <row r="1175" spans="1:15">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f t="array" ref="O1175">_xlfn.IFS(orders[[#This Row],[Customer Gender]]="M","Male", orders[[#This Row],[Customer Gender]]="F","Female", orders[[#This Row],[Customer Gender]]="O","Other", TRUE,"Unknown")</f>
        <v>Female</v>
      </c>
    </row>
    <row r="1176" spans="1:15">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f t="array" ref="O1176">_xlfn.IFS(orders[[#This Row],[Customer Gender]]="M","Male", orders[[#This Row],[Customer Gender]]="F","Female", orders[[#This Row],[Customer Gender]]="O","Other", TRUE,"Unknown")</f>
        <v>Female</v>
      </c>
    </row>
    <row r="1177" spans="1:15">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f t="array" ref="O1177">_xlfn.IFS(orders[[#This Row],[Customer Gender]]="M","Male", orders[[#This Row],[Customer Gender]]="F","Female", orders[[#This Row],[Customer Gender]]="O","Other", TRUE,"Unknown")</f>
        <v>Male</v>
      </c>
    </row>
    <row r="1178" spans="1:15">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f t="array" ref="O1178">_xlfn.IFS(orders[[#This Row],[Customer Gender]]="M","Male", orders[[#This Row],[Customer Gender]]="F","Female", orders[[#This Row],[Customer Gender]]="O","Other", TRUE,"Unknown")</f>
        <v>Female</v>
      </c>
    </row>
    <row r="1179" spans="1:15">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f t="array" ref="O1179">_xlfn.IFS(orders[[#This Row],[Customer Gender]]="M","Male", orders[[#This Row],[Customer Gender]]="F","Female", orders[[#This Row],[Customer Gender]]="O","Other", TRUE,"Unknown")</f>
        <v>Female</v>
      </c>
    </row>
    <row r="1180" spans="1:15">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f t="array" ref="O1180">_xlfn.IFS(orders[[#This Row],[Customer Gender]]="M","Male", orders[[#This Row],[Customer Gender]]="F","Female", orders[[#This Row],[Customer Gender]]="O","Other", TRUE,"Unknown")</f>
        <v>Unknown</v>
      </c>
    </row>
    <row r="1181" spans="1:15">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f t="array" ref="O1181">_xlfn.IFS(orders[[#This Row],[Customer Gender]]="M","Male", orders[[#This Row],[Customer Gender]]="F","Female", orders[[#This Row],[Customer Gender]]="O","Other", TRUE,"Unknown")</f>
        <v>Female</v>
      </c>
    </row>
    <row r="1182" spans="1:15">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f t="array" ref="O1182">_xlfn.IFS(orders[[#This Row],[Customer Gender]]="M","Male", orders[[#This Row],[Customer Gender]]="F","Female", orders[[#This Row],[Customer Gender]]="O","Other", TRUE,"Unknown")</f>
        <v>Female</v>
      </c>
    </row>
    <row r="1183" spans="1:15">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f t="array" ref="O1183">_xlfn.IFS(orders[[#This Row],[Customer Gender]]="M","Male", orders[[#This Row],[Customer Gender]]="F","Female", orders[[#This Row],[Customer Gender]]="O","Other", TRUE,"Unknown")</f>
        <v>Male</v>
      </c>
    </row>
    <row r="1184" spans="1:15">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f t="array" ref="O1184">_xlfn.IFS(orders[[#This Row],[Customer Gender]]="M","Male", orders[[#This Row],[Customer Gender]]="F","Female", orders[[#This Row],[Customer Gender]]="O","Other", TRUE,"Unknown")</f>
        <v>Unknown</v>
      </c>
    </row>
    <row r="1185" spans="1:15">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f t="array" ref="O1185">_xlfn.IFS(orders[[#This Row],[Customer Gender]]="M","Male", orders[[#This Row],[Customer Gender]]="F","Female", orders[[#This Row],[Customer Gender]]="O","Other", TRUE,"Unknown")</f>
        <v>Male</v>
      </c>
    </row>
    <row r="1186" spans="1:15">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f t="array" ref="O1186">_xlfn.IFS(orders[[#This Row],[Customer Gender]]="M","Male", orders[[#This Row],[Customer Gender]]="F","Female", orders[[#This Row],[Customer Gender]]="O","Other", TRUE,"Unknown")</f>
        <v>Female</v>
      </c>
    </row>
    <row r="1187" spans="1:15">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f t="array" ref="O1187">_xlfn.IFS(orders[[#This Row],[Customer Gender]]="M","Male", orders[[#This Row],[Customer Gender]]="F","Female", orders[[#This Row],[Customer Gender]]="O","Other", TRUE,"Unknown")</f>
        <v>Male</v>
      </c>
    </row>
    <row r="1188" spans="1:15">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f t="array" ref="O1188">_xlfn.IFS(orders[[#This Row],[Customer Gender]]="M","Male", orders[[#This Row],[Customer Gender]]="F","Female", orders[[#This Row],[Customer Gender]]="O","Other", TRUE,"Unknown")</f>
        <v>Unknown</v>
      </c>
    </row>
    <row r="1189" spans="1:15">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f t="array" ref="O1189">_xlfn.IFS(orders[[#This Row],[Customer Gender]]="M","Male", orders[[#This Row],[Customer Gender]]="F","Female", orders[[#This Row],[Customer Gender]]="O","Other", TRUE,"Unknown")</f>
        <v>Female</v>
      </c>
    </row>
    <row r="1190" spans="1:15">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f t="array" ref="O1190">_xlfn.IFS(orders[[#This Row],[Customer Gender]]="M","Male", orders[[#This Row],[Customer Gender]]="F","Female", orders[[#This Row],[Customer Gender]]="O","Other", TRUE,"Unknown")</f>
        <v>Female</v>
      </c>
    </row>
    <row r="1191" spans="1:15">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f t="array" ref="O1191">_xlfn.IFS(orders[[#This Row],[Customer Gender]]="M","Male", orders[[#This Row],[Customer Gender]]="F","Female", orders[[#This Row],[Customer Gender]]="O","Other", TRUE,"Unknown")</f>
        <v>Male</v>
      </c>
    </row>
    <row r="1192" spans="1:15">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f t="array" ref="O1192">_xlfn.IFS(orders[[#This Row],[Customer Gender]]="M","Male", orders[[#This Row],[Customer Gender]]="F","Female", orders[[#This Row],[Customer Gender]]="O","Other", TRUE,"Unknown")</f>
        <v>Female</v>
      </c>
    </row>
    <row r="1193" spans="1:15">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f t="array" ref="O1193">_xlfn.IFS(orders[[#This Row],[Customer Gender]]="M","Male", orders[[#This Row],[Customer Gender]]="F","Female", orders[[#This Row],[Customer Gender]]="O","Other", TRUE,"Unknown")</f>
        <v>Female</v>
      </c>
    </row>
    <row r="1194" spans="1:15">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f t="array" ref="O1194">_xlfn.IFS(orders[[#This Row],[Customer Gender]]="M","Male", orders[[#This Row],[Customer Gender]]="F","Female", orders[[#This Row],[Customer Gender]]="O","Other", TRUE,"Unknown")</f>
        <v>Male</v>
      </c>
    </row>
    <row r="1195" spans="1:15">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f t="array" ref="O1195">_xlfn.IFS(orders[[#This Row],[Customer Gender]]="M","Male", orders[[#This Row],[Customer Gender]]="F","Female", orders[[#This Row],[Customer Gender]]="O","Other", TRUE,"Unknown")</f>
        <v>Female</v>
      </c>
    </row>
    <row r="1196" spans="1:15">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f t="array" ref="O1196">_xlfn.IFS(orders[[#This Row],[Customer Gender]]="M","Male", orders[[#This Row],[Customer Gender]]="F","Female", orders[[#This Row],[Customer Gender]]="O","Other", TRUE,"Unknown")</f>
        <v>Male</v>
      </c>
    </row>
    <row r="1197" spans="1:15">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f t="array" ref="O1197">_xlfn.IFS(orders[[#This Row],[Customer Gender]]="M","Male", orders[[#This Row],[Customer Gender]]="F","Female", orders[[#This Row],[Customer Gender]]="O","Other", TRUE,"Unknown")</f>
        <v>Male</v>
      </c>
    </row>
    <row r="1198" spans="1:15">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f t="array" ref="O1198">_xlfn.IFS(orders[[#This Row],[Customer Gender]]="M","Male", orders[[#This Row],[Customer Gender]]="F","Female", orders[[#This Row],[Customer Gender]]="O","Other", TRUE,"Unknown")</f>
        <v>Male</v>
      </c>
    </row>
    <row r="1199" spans="1:15">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f t="array" ref="O1199">_xlfn.IFS(orders[[#This Row],[Customer Gender]]="M","Male", orders[[#This Row],[Customer Gender]]="F","Female", orders[[#This Row],[Customer Gender]]="O","Other", TRUE,"Unknown")</f>
        <v>Male</v>
      </c>
    </row>
    <row r="1200" spans="1:15">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f t="array" ref="O1200">_xlfn.IFS(orders[[#This Row],[Customer Gender]]="M","Male", orders[[#This Row],[Customer Gender]]="F","Female", orders[[#This Row],[Customer Gender]]="O","Other", TRUE,"Unknown")</f>
        <v>Female</v>
      </c>
    </row>
    <row r="1201" spans="1:15">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f t="array" ref="O1201">_xlfn.IFS(orders[[#This Row],[Customer Gender]]="M","Male", orders[[#This Row],[Customer Gender]]="F","Female", orders[[#This Row],[Customer Gender]]="O","Other", TRUE,"Unknown")</f>
        <v>Female</v>
      </c>
    </row>
    <row r="1202" spans="1:15">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f t="array" ref="O1202">_xlfn.IFS(orders[[#This Row],[Customer Gender]]="M","Male", orders[[#This Row],[Customer Gender]]="F","Female", orders[[#This Row],[Customer Gender]]="O","Other", TRUE,"Unknown")</f>
        <v>Female</v>
      </c>
    </row>
    <row r="1203" spans="1:15">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f t="array" ref="O1203">_xlfn.IFS(orders[[#This Row],[Customer Gender]]="M","Male", orders[[#This Row],[Customer Gender]]="F","Female", orders[[#This Row],[Customer Gender]]="O","Other", TRUE,"Unknown")</f>
        <v>Female</v>
      </c>
    </row>
    <row r="1204" spans="1:15">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f t="array" ref="O1204">_xlfn.IFS(orders[[#This Row],[Customer Gender]]="M","Male", orders[[#This Row],[Customer Gender]]="F","Female", orders[[#This Row],[Customer Gender]]="O","Other", TRUE,"Unknown")</f>
        <v>Female</v>
      </c>
    </row>
    <row r="1205" spans="1:15">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f t="array" ref="O1205">_xlfn.IFS(orders[[#This Row],[Customer Gender]]="M","Male", orders[[#This Row],[Customer Gender]]="F","Female", orders[[#This Row],[Customer Gender]]="O","Other", TRUE,"Unknown")</f>
        <v>Male</v>
      </c>
    </row>
    <row r="1206" spans="1:15">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f t="array" ref="O1206">_xlfn.IFS(orders[[#This Row],[Customer Gender]]="M","Male", orders[[#This Row],[Customer Gender]]="F","Female", orders[[#This Row],[Customer Gender]]="O","Other", TRUE,"Unknown")</f>
        <v>Male</v>
      </c>
    </row>
    <row r="1207" spans="1:15">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f t="array" ref="O1207">_xlfn.IFS(orders[[#This Row],[Customer Gender]]="M","Male", orders[[#This Row],[Customer Gender]]="F","Female", orders[[#This Row],[Customer Gender]]="O","Other", TRUE,"Unknown")</f>
        <v>Other</v>
      </c>
    </row>
    <row r="1208" spans="1:15">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f t="array" ref="O1208">_xlfn.IFS(orders[[#This Row],[Customer Gender]]="M","Male", orders[[#This Row],[Customer Gender]]="F","Female", orders[[#This Row],[Customer Gender]]="O","Other", TRUE,"Unknown")</f>
        <v>Female</v>
      </c>
    </row>
    <row r="1209" spans="1:15">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f t="array" ref="O1209">_xlfn.IFS(orders[[#This Row],[Customer Gender]]="M","Male", orders[[#This Row],[Customer Gender]]="F","Female", orders[[#This Row],[Customer Gender]]="O","Other", TRUE,"Unknown")</f>
        <v>Female</v>
      </c>
    </row>
    <row r="1210" spans="1:15">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f t="array" ref="O1210">_xlfn.IFS(orders[[#This Row],[Customer Gender]]="M","Male", orders[[#This Row],[Customer Gender]]="F","Female", orders[[#This Row],[Customer Gender]]="O","Other", TRUE,"Unknown")</f>
        <v>Male</v>
      </c>
    </row>
    <row r="1211" spans="1:15">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f t="array" ref="O1211">_xlfn.IFS(orders[[#This Row],[Customer Gender]]="M","Male", orders[[#This Row],[Customer Gender]]="F","Female", orders[[#This Row],[Customer Gender]]="O","Other", TRUE,"Unknown")</f>
        <v>Male</v>
      </c>
    </row>
    <row r="1212" spans="1:15">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f t="array" ref="O1212">_xlfn.IFS(orders[[#This Row],[Customer Gender]]="M","Male", orders[[#This Row],[Customer Gender]]="F","Female", orders[[#This Row],[Customer Gender]]="O","Other", TRUE,"Unknown")</f>
        <v>Other</v>
      </c>
    </row>
    <row r="1213" spans="1:15">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f t="array" ref="O1213">_xlfn.IFS(orders[[#This Row],[Customer Gender]]="M","Male", orders[[#This Row],[Customer Gender]]="F","Female", orders[[#This Row],[Customer Gender]]="O","Other", TRUE,"Unknown")</f>
        <v>Female</v>
      </c>
    </row>
    <row r="1214" spans="1:15">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f t="array" ref="O1214">_xlfn.IFS(orders[[#This Row],[Customer Gender]]="M","Male", orders[[#This Row],[Customer Gender]]="F","Female", orders[[#This Row],[Customer Gender]]="O","Other", TRUE,"Unknown")</f>
        <v>Female</v>
      </c>
    </row>
    <row r="1215" spans="1:15">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f t="array" ref="O1215">_xlfn.IFS(orders[[#This Row],[Customer Gender]]="M","Male", orders[[#This Row],[Customer Gender]]="F","Female", orders[[#This Row],[Customer Gender]]="O","Other", TRUE,"Unknown")</f>
        <v>Unknown</v>
      </c>
    </row>
    <row r="1216" spans="1:15">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f t="array" ref="O1216">_xlfn.IFS(orders[[#This Row],[Customer Gender]]="M","Male", orders[[#This Row],[Customer Gender]]="F","Female", orders[[#This Row],[Customer Gender]]="O","Other", TRUE,"Unknown")</f>
        <v>Female</v>
      </c>
    </row>
    <row r="1217" spans="1:15">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f t="array" ref="O1217">_xlfn.IFS(orders[[#This Row],[Customer Gender]]="M","Male", orders[[#This Row],[Customer Gender]]="F","Female", orders[[#This Row],[Customer Gender]]="O","Other", TRUE,"Unknown")</f>
        <v>Male</v>
      </c>
    </row>
    <row r="1218" spans="1:15">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f t="array" ref="O1218">_xlfn.IFS(orders[[#This Row],[Customer Gender]]="M","Male", orders[[#This Row],[Customer Gender]]="F","Female", orders[[#This Row],[Customer Gender]]="O","Other", TRUE,"Unknown")</f>
        <v>Male</v>
      </c>
    </row>
    <row r="1219" spans="1:15">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f t="array" ref="O1219">_xlfn.IFS(orders[[#This Row],[Customer Gender]]="M","Male", orders[[#This Row],[Customer Gender]]="F","Female", orders[[#This Row],[Customer Gender]]="O","Other", TRUE,"Unknown")</f>
        <v>Male</v>
      </c>
    </row>
    <row r="1220" spans="1:15">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f t="array" ref="O1220">_xlfn.IFS(orders[[#This Row],[Customer Gender]]="M","Male", orders[[#This Row],[Customer Gender]]="F","Female", orders[[#This Row],[Customer Gender]]="O","Other", TRUE,"Unknown")</f>
        <v>Female</v>
      </c>
    </row>
    <row r="1221" spans="1:15">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f t="array" ref="O1221">_xlfn.IFS(orders[[#This Row],[Customer Gender]]="M","Male", orders[[#This Row],[Customer Gender]]="F","Female", orders[[#This Row],[Customer Gender]]="O","Other", TRUE,"Unknown")</f>
        <v>Male</v>
      </c>
    </row>
    <row r="1222" spans="1:15">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f t="array" ref="O1222">_xlfn.IFS(orders[[#This Row],[Customer Gender]]="M","Male", orders[[#This Row],[Customer Gender]]="F","Female", orders[[#This Row],[Customer Gender]]="O","Other", TRUE,"Unknown")</f>
        <v>Male</v>
      </c>
    </row>
    <row r="1223" spans="1:15">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f t="array" ref="O1223">_xlfn.IFS(orders[[#This Row],[Customer Gender]]="M","Male", orders[[#This Row],[Customer Gender]]="F","Female", orders[[#This Row],[Customer Gender]]="O","Other", TRUE,"Unknown")</f>
        <v>Female</v>
      </c>
    </row>
    <row r="1224" spans="1:15">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f t="array" ref="O1224">_xlfn.IFS(orders[[#This Row],[Customer Gender]]="M","Male", orders[[#This Row],[Customer Gender]]="F","Female", orders[[#This Row],[Customer Gender]]="O","Other", TRUE,"Unknown")</f>
        <v>Female</v>
      </c>
    </row>
    <row r="1225" spans="1:15">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f t="array" ref="O1225">_xlfn.IFS(orders[[#This Row],[Customer Gender]]="M","Male", orders[[#This Row],[Customer Gender]]="F","Female", orders[[#This Row],[Customer Gender]]="O","Other", TRUE,"Unknown")</f>
        <v>Male</v>
      </c>
    </row>
    <row r="1226" spans="1:15">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f t="array" ref="O1226">_xlfn.IFS(orders[[#This Row],[Customer Gender]]="M","Male", orders[[#This Row],[Customer Gender]]="F","Female", orders[[#This Row],[Customer Gender]]="O","Other", TRUE,"Unknown")</f>
        <v>Male</v>
      </c>
    </row>
    <row r="1227" spans="1:15">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f t="array" ref="O1227">_xlfn.IFS(orders[[#This Row],[Customer Gender]]="M","Male", orders[[#This Row],[Customer Gender]]="F","Female", orders[[#This Row],[Customer Gender]]="O","Other", TRUE,"Unknown")</f>
        <v>Unknown</v>
      </c>
    </row>
    <row r="1228" spans="1:15">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f t="array" ref="O1228">_xlfn.IFS(orders[[#This Row],[Customer Gender]]="M","Male", orders[[#This Row],[Customer Gender]]="F","Female", orders[[#This Row],[Customer Gender]]="O","Other", TRUE,"Unknown")</f>
        <v>Male</v>
      </c>
    </row>
    <row r="1229" spans="1:15">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f t="array" ref="O1229">_xlfn.IFS(orders[[#This Row],[Customer Gender]]="M","Male", orders[[#This Row],[Customer Gender]]="F","Female", orders[[#This Row],[Customer Gender]]="O","Other", TRUE,"Unknown")</f>
        <v>Female</v>
      </c>
    </row>
    <row r="1230" spans="1:15">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f t="array" ref="O1230">_xlfn.IFS(orders[[#This Row],[Customer Gender]]="M","Male", orders[[#This Row],[Customer Gender]]="F","Female", orders[[#This Row],[Customer Gender]]="O","Other", TRUE,"Unknown")</f>
        <v>Male</v>
      </c>
    </row>
    <row r="1231" spans="1:15">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f t="array" ref="O1231">_xlfn.IFS(orders[[#This Row],[Customer Gender]]="M","Male", orders[[#This Row],[Customer Gender]]="F","Female", orders[[#This Row],[Customer Gender]]="O","Other", TRUE,"Unknown")</f>
        <v>Female</v>
      </c>
    </row>
    <row r="1232" spans="1:15">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f t="array" ref="O1232">_xlfn.IFS(orders[[#This Row],[Customer Gender]]="M","Male", orders[[#This Row],[Customer Gender]]="F","Female", orders[[#This Row],[Customer Gender]]="O","Other", TRUE,"Unknown")</f>
        <v>Male</v>
      </c>
    </row>
    <row r="1233" spans="1:15">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f t="array" ref="O1233">_xlfn.IFS(orders[[#This Row],[Customer Gender]]="M","Male", orders[[#This Row],[Customer Gender]]="F","Female", orders[[#This Row],[Customer Gender]]="O","Other", TRUE,"Unknown")</f>
        <v>Male</v>
      </c>
    </row>
    <row r="1234" spans="1:15">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f t="array" ref="O1234">_xlfn.IFS(orders[[#This Row],[Customer Gender]]="M","Male", orders[[#This Row],[Customer Gender]]="F","Female", orders[[#This Row],[Customer Gender]]="O","Other", TRUE,"Unknown")</f>
        <v>Female</v>
      </c>
    </row>
    <row r="1235" spans="1:15">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f t="array" ref="O1235">_xlfn.IFS(orders[[#This Row],[Customer Gender]]="M","Male", orders[[#This Row],[Customer Gender]]="F","Female", orders[[#This Row],[Customer Gender]]="O","Other", TRUE,"Unknown")</f>
        <v>Other</v>
      </c>
    </row>
    <row r="1236" spans="1:15">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f t="array" ref="O1236">_xlfn.IFS(orders[[#This Row],[Customer Gender]]="M","Male", orders[[#This Row],[Customer Gender]]="F","Female", orders[[#This Row],[Customer Gender]]="O","Other", TRUE,"Unknown")</f>
        <v>Male</v>
      </c>
    </row>
    <row r="1237" spans="1:15">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f t="array" ref="O1237">_xlfn.IFS(orders[[#This Row],[Customer Gender]]="M","Male", orders[[#This Row],[Customer Gender]]="F","Female", orders[[#This Row],[Customer Gender]]="O","Other", TRUE,"Unknown")</f>
        <v>Other</v>
      </c>
    </row>
    <row r="1238" spans="1:15">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f t="array" ref="O1238">_xlfn.IFS(orders[[#This Row],[Customer Gender]]="M","Male", orders[[#This Row],[Customer Gender]]="F","Female", orders[[#This Row],[Customer Gender]]="O","Other", TRUE,"Unknown")</f>
        <v>Unknown</v>
      </c>
    </row>
    <row r="1239" spans="1:15">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f t="array" ref="O1239">_xlfn.IFS(orders[[#This Row],[Customer Gender]]="M","Male", orders[[#This Row],[Customer Gender]]="F","Female", orders[[#This Row],[Customer Gender]]="O","Other", TRUE,"Unknown")</f>
        <v>Female</v>
      </c>
    </row>
    <row r="1240" spans="1:15">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f t="array" ref="O1240">_xlfn.IFS(orders[[#This Row],[Customer Gender]]="M","Male", orders[[#This Row],[Customer Gender]]="F","Female", orders[[#This Row],[Customer Gender]]="O","Other", TRUE,"Unknown")</f>
        <v>Male</v>
      </c>
    </row>
    <row r="1241" spans="1:15">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f t="array" ref="O1241">_xlfn.IFS(orders[[#This Row],[Customer Gender]]="M","Male", orders[[#This Row],[Customer Gender]]="F","Female", orders[[#This Row],[Customer Gender]]="O","Other", TRUE,"Unknown")</f>
        <v>Female</v>
      </c>
    </row>
    <row r="1242" spans="1:15">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f t="array" ref="O1242">_xlfn.IFS(orders[[#This Row],[Customer Gender]]="M","Male", orders[[#This Row],[Customer Gender]]="F","Female", orders[[#This Row],[Customer Gender]]="O","Other", TRUE,"Unknown")</f>
        <v>Unknown</v>
      </c>
    </row>
    <row r="1243" spans="1:15">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f t="array" ref="O1243">_xlfn.IFS(orders[[#This Row],[Customer Gender]]="M","Male", orders[[#This Row],[Customer Gender]]="F","Female", orders[[#This Row],[Customer Gender]]="O","Other", TRUE,"Unknown")</f>
        <v>Female</v>
      </c>
    </row>
    <row r="1244" spans="1:15">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f t="array" ref="O1244">_xlfn.IFS(orders[[#This Row],[Customer Gender]]="M","Male", orders[[#This Row],[Customer Gender]]="F","Female", orders[[#This Row],[Customer Gender]]="O","Other", TRUE,"Unknown")</f>
        <v>Female</v>
      </c>
    </row>
    <row r="1245" spans="1:15">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f t="array" ref="O1245">_xlfn.IFS(orders[[#This Row],[Customer Gender]]="M","Male", orders[[#This Row],[Customer Gender]]="F","Female", orders[[#This Row],[Customer Gender]]="O","Other", TRUE,"Unknown")</f>
        <v>Female</v>
      </c>
    </row>
    <row r="1246" spans="1:15">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f t="array" ref="O1246">_xlfn.IFS(orders[[#This Row],[Customer Gender]]="M","Male", orders[[#This Row],[Customer Gender]]="F","Female", orders[[#This Row],[Customer Gender]]="O","Other", TRUE,"Unknown")</f>
        <v>Female</v>
      </c>
    </row>
    <row r="1247" spans="1:15">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f t="array" ref="O1247">_xlfn.IFS(orders[[#This Row],[Customer Gender]]="M","Male", orders[[#This Row],[Customer Gender]]="F","Female", orders[[#This Row],[Customer Gender]]="O","Other", TRUE,"Unknown")</f>
        <v>Male</v>
      </c>
    </row>
    <row r="1248" spans="1:15">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f t="array" ref="O1248">_xlfn.IFS(orders[[#This Row],[Customer Gender]]="M","Male", orders[[#This Row],[Customer Gender]]="F","Female", orders[[#This Row],[Customer Gender]]="O","Other", TRUE,"Unknown")</f>
        <v>Male</v>
      </c>
    </row>
    <row r="1249" spans="1:15">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f t="array" ref="O1249">_xlfn.IFS(orders[[#This Row],[Customer Gender]]="M","Male", orders[[#This Row],[Customer Gender]]="F","Female", orders[[#This Row],[Customer Gender]]="O","Other", TRUE,"Unknown")</f>
        <v>Female</v>
      </c>
    </row>
    <row r="1250" spans="1:15">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f t="array" ref="O1250">_xlfn.IFS(orders[[#This Row],[Customer Gender]]="M","Male", orders[[#This Row],[Customer Gender]]="F","Female", orders[[#This Row],[Customer Gender]]="O","Other", TRUE,"Unknown")</f>
        <v>Male</v>
      </c>
    </row>
    <row r="1251" spans="1:15">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f t="array" ref="O1251">_xlfn.IFS(orders[[#This Row],[Customer Gender]]="M","Male", orders[[#This Row],[Customer Gender]]="F","Female", orders[[#This Row],[Customer Gender]]="O","Other", TRUE,"Unknown")</f>
        <v>Female</v>
      </c>
    </row>
    <row r="1252" spans="1:15">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f t="array" ref="O1252">_xlfn.IFS(orders[[#This Row],[Customer Gender]]="M","Male", orders[[#This Row],[Customer Gender]]="F","Female", orders[[#This Row],[Customer Gender]]="O","Other", TRUE,"Unknown")</f>
        <v>Male</v>
      </c>
    </row>
    <row r="1253" spans="1:15">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f t="array" ref="O1253">_xlfn.IFS(orders[[#This Row],[Customer Gender]]="M","Male", orders[[#This Row],[Customer Gender]]="F","Female", orders[[#This Row],[Customer Gender]]="O","Other", TRUE,"Unknown")</f>
        <v>Unknown</v>
      </c>
    </row>
    <row r="1254" spans="1:15">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f t="array" ref="O1254">_xlfn.IFS(orders[[#This Row],[Customer Gender]]="M","Male", orders[[#This Row],[Customer Gender]]="F","Female", orders[[#This Row],[Customer Gender]]="O","Other", TRUE,"Unknown")</f>
        <v>Female</v>
      </c>
    </row>
    <row r="1255" spans="1:15">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f t="array" ref="O1255">_xlfn.IFS(orders[[#This Row],[Customer Gender]]="M","Male", orders[[#This Row],[Customer Gender]]="F","Female", orders[[#This Row],[Customer Gender]]="O","Other", TRUE,"Unknown")</f>
        <v>Female</v>
      </c>
    </row>
    <row r="1256" spans="1:15">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f t="array" ref="O1256">_xlfn.IFS(orders[[#This Row],[Customer Gender]]="M","Male", orders[[#This Row],[Customer Gender]]="F","Female", orders[[#This Row],[Customer Gender]]="O","Other", TRUE,"Unknown")</f>
        <v>Female</v>
      </c>
    </row>
    <row r="1257" spans="1:15">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f t="array" ref="O1257">_xlfn.IFS(orders[[#This Row],[Customer Gender]]="M","Male", orders[[#This Row],[Customer Gender]]="F","Female", orders[[#This Row],[Customer Gender]]="O","Other", TRUE,"Unknown")</f>
        <v>Female</v>
      </c>
    </row>
    <row r="1258" spans="1:15">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f t="array" ref="O1258">_xlfn.IFS(orders[[#This Row],[Customer Gender]]="M","Male", orders[[#This Row],[Customer Gender]]="F","Female", orders[[#This Row],[Customer Gender]]="O","Other", TRUE,"Unknown")</f>
        <v>Male</v>
      </c>
    </row>
    <row r="1259" spans="1:15">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f t="array" ref="O1259">_xlfn.IFS(orders[[#This Row],[Customer Gender]]="M","Male", orders[[#This Row],[Customer Gender]]="F","Female", orders[[#This Row],[Customer Gender]]="O","Other", TRUE,"Unknown")</f>
        <v>Male</v>
      </c>
    </row>
    <row r="1260" spans="1:15">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f t="array" ref="O1260">_xlfn.IFS(orders[[#This Row],[Customer Gender]]="M","Male", orders[[#This Row],[Customer Gender]]="F","Female", orders[[#This Row],[Customer Gender]]="O","Other", TRUE,"Unknown")</f>
        <v>Male</v>
      </c>
    </row>
    <row r="1261" spans="1:15">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f t="array" ref="O1261">_xlfn.IFS(orders[[#This Row],[Customer Gender]]="M","Male", orders[[#This Row],[Customer Gender]]="F","Female", orders[[#This Row],[Customer Gender]]="O","Other", TRUE,"Unknown")</f>
        <v>Male</v>
      </c>
    </row>
    <row r="1262" spans="1:15">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f t="array" ref="O1262">_xlfn.IFS(orders[[#This Row],[Customer Gender]]="M","Male", orders[[#This Row],[Customer Gender]]="F","Female", orders[[#This Row],[Customer Gender]]="O","Other", TRUE,"Unknown")</f>
        <v>Male</v>
      </c>
    </row>
    <row r="1263" spans="1:15">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f t="array" ref="O1263">_xlfn.IFS(orders[[#This Row],[Customer Gender]]="M","Male", orders[[#This Row],[Customer Gender]]="F","Female", orders[[#This Row],[Customer Gender]]="O","Other", TRUE,"Unknown")</f>
        <v>Male</v>
      </c>
    </row>
    <row r="1264" spans="1:15">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f t="array" ref="O1264">_xlfn.IFS(orders[[#This Row],[Customer Gender]]="M","Male", orders[[#This Row],[Customer Gender]]="F","Female", orders[[#This Row],[Customer Gender]]="O","Other", TRUE,"Unknown")</f>
        <v>Male</v>
      </c>
    </row>
    <row r="1265" spans="1:15">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f t="array" ref="O1265">_xlfn.IFS(orders[[#This Row],[Customer Gender]]="M","Male", orders[[#This Row],[Customer Gender]]="F","Female", orders[[#This Row],[Customer Gender]]="O","Other", TRUE,"Unknown")</f>
        <v>Male</v>
      </c>
    </row>
    <row r="1266" spans="1:15">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f t="array" ref="O1266">_xlfn.IFS(orders[[#This Row],[Customer Gender]]="M","Male", orders[[#This Row],[Customer Gender]]="F","Female", orders[[#This Row],[Customer Gender]]="O","Other", TRUE,"Unknown")</f>
        <v>Female</v>
      </c>
    </row>
    <row r="1267" spans="1:15">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f t="array" ref="O1267">_xlfn.IFS(orders[[#This Row],[Customer Gender]]="M","Male", orders[[#This Row],[Customer Gender]]="F","Female", orders[[#This Row],[Customer Gender]]="O","Other", TRUE,"Unknown")</f>
        <v>Female</v>
      </c>
    </row>
    <row r="1268" spans="1:15">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f t="array" ref="O1268">_xlfn.IFS(orders[[#This Row],[Customer Gender]]="M","Male", orders[[#This Row],[Customer Gender]]="F","Female", orders[[#This Row],[Customer Gender]]="O","Other", TRUE,"Unknown")</f>
        <v>Male</v>
      </c>
    </row>
    <row r="1269" spans="1:15">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f t="array" ref="O1269">_xlfn.IFS(orders[[#This Row],[Customer Gender]]="M","Male", orders[[#This Row],[Customer Gender]]="F","Female", orders[[#This Row],[Customer Gender]]="O","Other", TRUE,"Unknown")</f>
        <v>Male</v>
      </c>
    </row>
    <row r="1270" spans="1:15">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f t="array" ref="O1270">_xlfn.IFS(orders[[#This Row],[Customer Gender]]="M","Male", orders[[#This Row],[Customer Gender]]="F","Female", orders[[#This Row],[Customer Gender]]="O","Other", TRUE,"Unknown")</f>
        <v>Female</v>
      </c>
    </row>
    <row r="1271" spans="1:15">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f t="array" ref="O1271">_xlfn.IFS(orders[[#This Row],[Customer Gender]]="M","Male", orders[[#This Row],[Customer Gender]]="F","Female", orders[[#This Row],[Customer Gender]]="O","Other", TRUE,"Unknown")</f>
        <v>Female</v>
      </c>
    </row>
    <row r="1272" spans="1:15">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f t="array" ref="O1272">_xlfn.IFS(orders[[#This Row],[Customer Gender]]="M","Male", orders[[#This Row],[Customer Gender]]="F","Female", orders[[#This Row],[Customer Gender]]="O","Other", TRUE,"Unknown")</f>
        <v>Female</v>
      </c>
    </row>
    <row r="1273" spans="1:15">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f t="array" ref="O1273">_xlfn.IFS(orders[[#This Row],[Customer Gender]]="M","Male", orders[[#This Row],[Customer Gender]]="F","Female", orders[[#This Row],[Customer Gender]]="O","Other", TRUE,"Unknown")</f>
        <v>Male</v>
      </c>
    </row>
    <row r="1274" spans="1:15">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f t="array" ref="O1274">_xlfn.IFS(orders[[#This Row],[Customer Gender]]="M","Male", orders[[#This Row],[Customer Gender]]="F","Female", orders[[#This Row],[Customer Gender]]="O","Other", TRUE,"Unknown")</f>
        <v>Male</v>
      </c>
    </row>
    <row r="1275" spans="1:15">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f t="array" ref="O1275">_xlfn.IFS(orders[[#This Row],[Customer Gender]]="M","Male", orders[[#This Row],[Customer Gender]]="F","Female", orders[[#This Row],[Customer Gender]]="O","Other", TRUE,"Unknown")</f>
        <v>Female</v>
      </c>
    </row>
    <row r="1276" spans="1:15">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f t="array" ref="O1276">_xlfn.IFS(orders[[#This Row],[Customer Gender]]="M","Male", orders[[#This Row],[Customer Gender]]="F","Female", orders[[#This Row],[Customer Gender]]="O","Other", TRUE,"Unknown")</f>
        <v>Female</v>
      </c>
    </row>
    <row r="1277" spans="1:15">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f t="array" ref="O1277">_xlfn.IFS(orders[[#This Row],[Customer Gender]]="M","Male", orders[[#This Row],[Customer Gender]]="F","Female", orders[[#This Row],[Customer Gender]]="O","Other", TRUE,"Unknown")</f>
        <v>Female</v>
      </c>
    </row>
    <row r="1278" spans="1:15">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f t="array" ref="O1278">_xlfn.IFS(orders[[#This Row],[Customer Gender]]="M","Male", orders[[#This Row],[Customer Gender]]="F","Female", orders[[#This Row],[Customer Gender]]="O","Other", TRUE,"Unknown")</f>
        <v>Female</v>
      </c>
    </row>
    <row r="1279" spans="1:15">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f t="array" ref="O1279">_xlfn.IFS(orders[[#This Row],[Customer Gender]]="M","Male", orders[[#This Row],[Customer Gender]]="F","Female", orders[[#This Row],[Customer Gender]]="O","Other", TRUE,"Unknown")</f>
        <v>Unknown</v>
      </c>
    </row>
    <row r="1280" spans="1:15">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f t="array" ref="O1280">_xlfn.IFS(orders[[#This Row],[Customer Gender]]="M","Male", orders[[#This Row],[Customer Gender]]="F","Female", orders[[#This Row],[Customer Gender]]="O","Other", TRUE,"Unknown")</f>
        <v>Female</v>
      </c>
    </row>
    <row r="1281" spans="1:15">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f t="array" ref="O1281">_xlfn.IFS(orders[[#This Row],[Customer Gender]]="M","Male", orders[[#This Row],[Customer Gender]]="F","Female", orders[[#This Row],[Customer Gender]]="O","Other", TRUE,"Unknown")</f>
        <v>Female</v>
      </c>
    </row>
    <row r="1282" spans="1:15">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f t="array" ref="O1282">_xlfn.IFS(orders[[#This Row],[Customer Gender]]="M","Male", orders[[#This Row],[Customer Gender]]="F","Female", orders[[#This Row],[Customer Gender]]="O","Other", TRUE,"Unknown")</f>
        <v>Female</v>
      </c>
    </row>
    <row r="1283" spans="1:15">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f t="array" ref="O1283">_xlfn.IFS(orders[[#This Row],[Customer Gender]]="M","Male", orders[[#This Row],[Customer Gender]]="F","Female", orders[[#This Row],[Customer Gender]]="O","Other", TRUE,"Unknown")</f>
        <v>Female</v>
      </c>
    </row>
    <row r="1284" spans="1:15">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f t="array" ref="O1284">_xlfn.IFS(orders[[#This Row],[Customer Gender]]="M","Male", orders[[#This Row],[Customer Gender]]="F","Female", orders[[#This Row],[Customer Gender]]="O","Other", TRUE,"Unknown")</f>
        <v>Male</v>
      </c>
    </row>
    <row r="1285" spans="1:15">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f t="array" ref="O1285">_xlfn.IFS(orders[[#This Row],[Customer Gender]]="M","Male", orders[[#This Row],[Customer Gender]]="F","Female", orders[[#This Row],[Customer Gender]]="O","Other", TRUE,"Unknown")</f>
        <v>Female</v>
      </c>
    </row>
    <row r="1286" spans="1:15">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f t="array" ref="O1286">_xlfn.IFS(orders[[#This Row],[Customer Gender]]="M","Male", orders[[#This Row],[Customer Gender]]="F","Female", orders[[#This Row],[Customer Gender]]="O","Other", TRUE,"Unknown")</f>
        <v>Male</v>
      </c>
    </row>
    <row r="1287" spans="1:15">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f t="array" ref="O1287">_xlfn.IFS(orders[[#This Row],[Customer Gender]]="M","Male", orders[[#This Row],[Customer Gender]]="F","Female", orders[[#This Row],[Customer Gender]]="O","Other", TRUE,"Unknown")</f>
        <v>Male</v>
      </c>
    </row>
    <row r="1288" spans="1:15">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f t="array" ref="O1288">_xlfn.IFS(orders[[#This Row],[Customer Gender]]="M","Male", orders[[#This Row],[Customer Gender]]="F","Female", orders[[#This Row],[Customer Gender]]="O","Other", TRUE,"Unknown")</f>
        <v>Male</v>
      </c>
    </row>
    <row r="1289" spans="1:15">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f t="array" ref="O1289">_xlfn.IFS(orders[[#This Row],[Customer Gender]]="M","Male", orders[[#This Row],[Customer Gender]]="F","Female", orders[[#This Row],[Customer Gender]]="O","Other", TRUE,"Unknown")</f>
        <v>Male</v>
      </c>
    </row>
    <row r="1290" spans="1:15">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f t="array" ref="O1290">_xlfn.IFS(orders[[#This Row],[Customer Gender]]="M","Male", orders[[#This Row],[Customer Gender]]="F","Female", orders[[#This Row],[Customer Gender]]="O","Other", TRUE,"Unknown")</f>
        <v>Male</v>
      </c>
    </row>
    <row r="1291" spans="1:15">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f t="array" ref="O1291">_xlfn.IFS(orders[[#This Row],[Customer Gender]]="M","Male", orders[[#This Row],[Customer Gender]]="F","Female", orders[[#This Row],[Customer Gender]]="O","Other", TRUE,"Unknown")</f>
        <v>Male</v>
      </c>
    </row>
    <row r="1292" spans="1:15">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f t="array" ref="O1292">_xlfn.IFS(orders[[#This Row],[Customer Gender]]="M","Male", orders[[#This Row],[Customer Gender]]="F","Female", orders[[#This Row],[Customer Gender]]="O","Other", TRUE,"Unknown")</f>
        <v>Male</v>
      </c>
    </row>
    <row r="1293" spans="1:15">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f t="array" ref="O1293">_xlfn.IFS(orders[[#This Row],[Customer Gender]]="M","Male", orders[[#This Row],[Customer Gender]]="F","Female", orders[[#This Row],[Customer Gender]]="O","Other", TRUE,"Unknown")</f>
        <v>Female</v>
      </c>
    </row>
    <row r="1294" spans="1:15">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f t="array" ref="O1294">_xlfn.IFS(orders[[#This Row],[Customer Gender]]="M","Male", orders[[#This Row],[Customer Gender]]="F","Female", orders[[#This Row],[Customer Gender]]="O","Other", TRUE,"Unknown")</f>
        <v>Male</v>
      </c>
    </row>
    <row r="1295" spans="1:15">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f t="array" ref="O1295">_xlfn.IFS(orders[[#This Row],[Customer Gender]]="M","Male", orders[[#This Row],[Customer Gender]]="F","Female", orders[[#This Row],[Customer Gender]]="O","Other", TRUE,"Unknown")</f>
        <v>Male</v>
      </c>
    </row>
    <row r="1296" spans="1:15">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f t="array" ref="O1296">_xlfn.IFS(orders[[#This Row],[Customer Gender]]="M","Male", orders[[#This Row],[Customer Gender]]="F","Female", orders[[#This Row],[Customer Gender]]="O","Other", TRUE,"Unknown")</f>
        <v>Unknown</v>
      </c>
    </row>
    <row r="1297" spans="1:15">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f t="array" ref="O1297">_xlfn.IFS(orders[[#This Row],[Customer Gender]]="M","Male", orders[[#This Row],[Customer Gender]]="F","Female", orders[[#This Row],[Customer Gender]]="O","Other", TRUE,"Unknown")</f>
        <v>Male</v>
      </c>
    </row>
    <row r="1298" spans="1:15">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f t="array" ref="O1298">_xlfn.IFS(orders[[#This Row],[Customer Gender]]="M","Male", orders[[#This Row],[Customer Gender]]="F","Female", orders[[#This Row],[Customer Gender]]="O","Other", TRUE,"Unknown")</f>
        <v>Female</v>
      </c>
    </row>
    <row r="1299" spans="1:15">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f t="array" ref="O1299">_xlfn.IFS(orders[[#This Row],[Customer Gender]]="M","Male", orders[[#This Row],[Customer Gender]]="F","Female", orders[[#This Row],[Customer Gender]]="O","Other", TRUE,"Unknown")</f>
        <v>Female</v>
      </c>
    </row>
    <row r="1300" spans="1:15">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f t="array" ref="O1300">_xlfn.IFS(orders[[#This Row],[Customer Gender]]="M","Male", orders[[#This Row],[Customer Gender]]="F","Female", orders[[#This Row],[Customer Gender]]="O","Other", TRUE,"Unknown")</f>
        <v>Female</v>
      </c>
    </row>
    <row r="1301" spans="1:15">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f t="array" ref="O1301">_xlfn.IFS(orders[[#This Row],[Customer Gender]]="M","Male", orders[[#This Row],[Customer Gender]]="F","Female", orders[[#This Row],[Customer Gender]]="O","Other", TRUE,"Unknown")</f>
        <v>Female</v>
      </c>
    </row>
    <row r="1302" spans="1:15">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f t="array" ref="O1302">_xlfn.IFS(orders[[#This Row],[Customer Gender]]="M","Male", orders[[#This Row],[Customer Gender]]="F","Female", orders[[#This Row],[Customer Gender]]="O","Other", TRUE,"Unknown")</f>
        <v>Female</v>
      </c>
    </row>
    <row r="1303" spans="1:15">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f t="array" ref="O1303">_xlfn.IFS(orders[[#This Row],[Customer Gender]]="M","Male", orders[[#This Row],[Customer Gender]]="F","Female", orders[[#This Row],[Customer Gender]]="O","Other", TRUE,"Unknown")</f>
        <v>Male</v>
      </c>
    </row>
    <row r="1304" spans="1:15">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f t="array" ref="O1304">_xlfn.IFS(orders[[#This Row],[Customer Gender]]="M","Male", orders[[#This Row],[Customer Gender]]="F","Female", orders[[#This Row],[Customer Gender]]="O","Other", TRUE,"Unknown")</f>
        <v>Male</v>
      </c>
    </row>
    <row r="1305" spans="1:15">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f t="array" ref="O1305">_xlfn.IFS(orders[[#This Row],[Customer Gender]]="M","Male", orders[[#This Row],[Customer Gender]]="F","Female", orders[[#This Row],[Customer Gender]]="O","Other", TRUE,"Unknown")</f>
        <v>Female</v>
      </c>
    </row>
    <row r="1306" spans="1:15">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f t="array" ref="O1306">_xlfn.IFS(orders[[#This Row],[Customer Gender]]="M","Male", orders[[#This Row],[Customer Gender]]="F","Female", orders[[#This Row],[Customer Gender]]="O","Other", TRUE,"Unknown")</f>
        <v>Female</v>
      </c>
    </row>
    <row r="1307" spans="1:15">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f t="array" ref="O1307">_xlfn.IFS(orders[[#This Row],[Customer Gender]]="M","Male", orders[[#This Row],[Customer Gender]]="F","Female", orders[[#This Row],[Customer Gender]]="O","Other", TRUE,"Unknown")</f>
        <v>Female</v>
      </c>
    </row>
    <row r="1308" spans="1:15">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f t="array" ref="O1308">_xlfn.IFS(orders[[#This Row],[Customer Gender]]="M","Male", orders[[#This Row],[Customer Gender]]="F","Female", orders[[#This Row],[Customer Gender]]="O","Other", TRUE,"Unknown")</f>
        <v>Male</v>
      </c>
    </row>
    <row r="1309" spans="1:15">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f t="array" ref="O1309">_xlfn.IFS(orders[[#This Row],[Customer Gender]]="M","Male", orders[[#This Row],[Customer Gender]]="F","Female", orders[[#This Row],[Customer Gender]]="O","Other", TRUE,"Unknown")</f>
        <v>Female</v>
      </c>
    </row>
    <row r="1310" spans="1:15">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f t="array" ref="O1310">_xlfn.IFS(orders[[#This Row],[Customer Gender]]="M","Male", orders[[#This Row],[Customer Gender]]="F","Female", orders[[#This Row],[Customer Gender]]="O","Other", TRUE,"Unknown")</f>
        <v>Male</v>
      </c>
    </row>
    <row r="1311" spans="1:15">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f t="array" ref="O1311">_xlfn.IFS(orders[[#This Row],[Customer Gender]]="M","Male", orders[[#This Row],[Customer Gender]]="F","Female", orders[[#This Row],[Customer Gender]]="O","Other", TRUE,"Unknown")</f>
        <v>Male</v>
      </c>
    </row>
    <row r="1312" spans="1:15">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f t="array" ref="O1312">_xlfn.IFS(orders[[#This Row],[Customer Gender]]="M","Male", orders[[#This Row],[Customer Gender]]="F","Female", orders[[#This Row],[Customer Gender]]="O","Other", TRUE,"Unknown")</f>
        <v>Male</v>
      </c>
    </row>
    <row r="1313" spans="1:15">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f t="array" ref="O1313">_xlfn.IFS(orders[[#This Row],[Customer Gender]]="M","Male", orders[[#This Row],[Customer Gender]]="F","Female", orders[[#This Row],[Customer Gender]]="O","Other", TRUE,"Unknown")</f>
        <v>Male</v>
      </c>
    </row>
    <row r="1314" spans="1:15">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f t="array" ref="O1314">_xlfn.IFS(orders[[#This Row],[Customer Gender]]="M","Male", orders[[#This Row],[Customer Gender]]="F","Female", orders[[#This Row],[Customer Gender]]="O","Other", TRUE,"Unknown")</f>
        <v>Female</v>
      </c>
    </row>
    <row r="1315" spans="1:15">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f t="array" ref="O1315">_xlfn.IFS(orders[[#This Row],[Customer Gender]]="M","Male", orders[[#This Row],[Customer Gender]]="F","Female", orders[[#This Row],[Customer Gender]]="O","Other", TRUE,"Unknown")</f>
        <v>Female</v>
      </c>
    </row>
    <row r="1316" spans="1:15">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f t="array" ref="O1316">_xlfn.IFS(orders[[#This Row],[Customer Gender]]="M","Male", orders[[#This Row],[Customer Gender]]="F","Female", orders[[#This Row],[Customer Gender]]="O","Other", TRUE,"Unknown")</f>
        <v>Female</v>
      </c>
    </row>
    <row r="1317" spans="1:15">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f t="array" ref="O1317">_xlfn.IFS(orders[[#This Row],[Customer Gender]]="M","Male", orders[[#This Row],[Customer Gender]]="F","Female", orders[[#This Row],[Customer Gender]]="O","Other", TRUE,"Unknown")</f>
        <v>Unknown</v>
      </c>
    </row>
    <row r="1318" spans="1:15">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f t="array" ref="O1318">_xlfn.IFS(orders[[#This Row],[Customer Gender]]="M","Male", orders[[#This Row],[Customer Gender]]="F","Female", orders[[#This Row],[Customer Gender]]="O","Other", TRUE,"Unknown")</f>
        <v>Female</v>
      </c>
    </row>
    <row r="1319" spans="1:15">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f t="array" ref="O1319">_xlfn.IFS(orders[[#This Row],[Customer Gender]]="M","Male", orders[[#This Row],[Customer Gender]]="F","Female", orders[[#This Row],[Customer Gender]]="O","Other", TRUE,"Unknown")</f>
        <v>Female</v>
      </c>
    </row>
    <row r="1320" spans="1:15">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f t="array" ref="O1320">_xlfn.IFS(orders[[#This Row],[Customer Gender]]="M","Male", orders[[#This Row],[Customer Gender]]="F","Female", orders[[#This Row],[Customer Gender]]="O","Other", TRUE,"Unknown")</f>
        <v>Male</v>
      </c>
    </row>
    <row r="1321" spans="1:15">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f t="array" ref="O1321">_xlfn.IFS(orders[[#This Row],[Customer Gender]]="M","Male", orders[[#This Row],[Customer Gender]]="F","Female", orders[[#This Row],[Customer Gender]]="O","Other", TRUE,"Unknown")</f>
        <v>Male</v>
      </c>
    </row>
    <row r="1322" spans="1:15">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f t="array" ref="O1322">_xlfn.IFS(orders[[#This Row],[Customer Gender]]="M","Male", orders[[#This Row],[Customer Gender]]="F","Female", orders[[#This Row],[Customer Gender]]="O","Other", TRUE,"Unknown")</f>
        <v>Male</v>
      </c>
    </row>
    <row r="1323" spans="1:15">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f t="array" ref="O1323">_xlfn.IFS(orders[[#This Row],[Customer Gender]]="M","Male", orders[[#This Row],[Customer Gender]]="F","Female", orders[[#This Row],[Customer Gender]]="O","Other", TRUE,"Unknown")</f>
        <v>Male</v>
      </c>
    </row>
    <row r="1324" spans="1:15">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f t="array" ref="O1324">_xlfn.IFS(orders[[#This Row],[Customer Gender]]="M","Male", orders[[#This Row],[Customer Gender]]="F","Female", orders[[#This Row],[Customer Gender]]="O","Other", TRUE,"Unknown")</f>
        <v>Female</v>
      </c>
    </row>
    <row r="1325" spans="1:15">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f t="array" ref="O1325">_xlfn.IFS(orders[[#This Row],[Customer Gender]]="M","Male", orders[[#This Row],[Customer Gender]]="F","Female", orders[[#This Row],[Customer Gender]]="O","Other", TRUE,"Unknown")</f>
        <v>Male</v>
      </c>
    </row>
    <row r="1326" spans="1:15">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f t="array" ref="O1326">_xlfn.IFS(orders[[#This Row],[Customer Gender]]="M","Male", orders[[#This Row],[Customer Gender]]="F","Female", orders[[#This Row],[Customer Gender]]="O","Other", TRUE,"Unknown")</f>
        <v>Male</v>
      </c>
    </row>
    <row r="1327" spans="1:15">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f t="array" ref="O1327">_xlfn.IFS(orders[[#This Row],[Customer Gender]]="M","Male", orders[[#This Row],[Customer Gender]]="F","Female", orders[[#This Row],[Customer Gender]]="O","Other", TRUE,"Unknown")</f>
        <v>Male</v>
      </c>
    </row>
    <row r="1328" spans="1:15">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f t="array" ref="O1328">_xlfn.IFS(orders[[#This Row],[Customer Gender]]="M","Male", orders[[#This Row],[Customer Gender]]="F","Female", orders[[#This Row],[Customer Gender]]="O","Other", TRUE,"Unknown")</f>
        <v>Male</v>
      </c>
    </row>
    <row r="1329" spans="1:15">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f t="array" ref="O1329">_xlfn.IFS(orders[[#This Row],[Customer Gender]]="M","Male", orders[[#This Row],[Customer Gender]]="F","Female", orders[[#This Row],[Customer Gender]]="O","Other", TRUE,"Unknown")</f>
        <v>Female</v>
      </c>
    </row>
    <row r="1330" spans="1:15">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f t="array" ref="O1330">_xlfn.IFS(orders[[#This Row],[Customer Gender]]="M","Male", orders[[#This Row],[Customer Gender]]="F","Female", orders[[#This Row],[Customer Gender]]="O","Other", TRUE,"Unknown")</f>
        <v>Male</v>
      </c>
    </row>
    <row r="1331" spans="1:15">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f t="array" ref="O1331">_xlfn.IFS(orders[[#This Row],[Customer Gender]]="M","Male", orders[[#This Row],[Customer Gender]]="F","Female", orders[[#This Row],[Customer Gender]]="O","Other", TRUE,"Unknown")</f>
        <v>Unknown</v>
      </c>
    </row>
    <row r="1332" spans="1:15">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f t="array" ref="O1332">_xlfn.IFS(orders[[#This Row],[Customer Gender]]="M","Male", orders[[#This Row],[Customer Gender]]="F","Female", orders[[#This Row],[Customer Gender]]="O","Other", TRUE,"Unknown")</f>
        <v>Male</v>
      </c>
    </row>
    <row r="1333" spans="1:15">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f t="array" ref="O1333">_xlfn.IFS(orders[[#This Row],[Customer Gender]]="M","Male", orders[[#This Row],[Customer Gender]]="F","Female", orders[[#This Row],[Customer Gender]]="O","Other", TRUE,"Unknown")</f>
        <v>Female</v>
      </c>
    </row>
    <row r="1334" spans="1:15">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f t="array" ref="O1334">_xlfn.IFS(orders[[#This Row],[Customer Gender]]="M","Male", orders[[#This Row],[Customer Gender]]="F","Female", orders[[#This Row],[Customer Gender]]="O","Other", TRUE,"Unknown")</f>
        <v>Female</v>
      </c>
    </row>
    <row r="1335" spans="1:15">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f t="array" ref="O1335">_xlfn.IFS(orders[[#This Row],[Customer Gender]]="M","Male", orders[[#This Row],[Customer Gender]]="F","Female", orders[[#This Row],[Customer Gender]]="O","Other", TRUE,"Unknown")</f>
        <v>Male</v>
      </c>
    </row>
    <row r="1336" spans="1:15">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f t="array" ref="O1336">_xlfn.IFS(orders[[#This Row],[Customer Gender]]="M","Male", orders[[#This Row],[Customer Gender]]="F","Female", orders[[#This Row],[Customer Gender]]="O","Other", TRUE,"Unknown")</f>
        <v>Female</v>
      </c>
    </row>
    <row r="1337" spans="1:15">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f t="array" ref="O1337">_xlfn.IFS(orders[[#This Row],[Customer Gender]]="M","Male", orders[[#This Row],[Customer Gender]]="F","Female", orders[[#This Row],[Customer Gender]]="O","Other", TRUE,"Unknown")</f>
        <v>Male</v>
      </c>
    </row>
    <row r="1338" spans="1:15">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f t="array" ref="O1338">_xlfn.IFS(orders[[#This Row],[Customer Gender]]="M","Male", orders[[#This Row],[Customer Gender]]="F","Female", orders[[#This Row],[Customer Gender]]="O","Other", TRUE,"Unknown")</f>
        <v>Male</v>
      </c>
    </row>
    <row r="1339" spans="1:15">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f t="array" ref="O1339">_xlfn.IFS(orders[[#This Row],[Customer Gender]]="M","Male", orders[[#This Row],[Customer Gender]]="F","Female", orders[[#This Row],[Customer Gender]]="O","Other", TRUE,"Unknown")</f>
        <v>Male</v>
      </c>
    </row>
    <row r="1340" spans="1:15">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f t="array" ref="O1340">_xlfn.IFS(orders[[#This Row],[Customer Gender]]="M","Male", orders[[#This Row],[Customer Gender]]="F","Female", orders[[#This Row],[Customer Gender]]="O","Other", TRUE,"Unknown")</f>
        <v>Male</v>
      </c>
    </row>
    <row r="1341" spans="1:15">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f t="array" ref="O1341">_xlfn.IFS(orders[[#This Row],[Customer Gender]]="M","Male", orders[[#This Row],[Customer Gender]]="F","Female", orders[[#This Row],[Customer Gender]]="O","Other", TRUE,"Unknown")</f>
        <v>Female</v>
      </c>
    </row>
    <row r="1342" spans="1:15">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f t="array" ref="O1342">_xlfn.IFS(orders[[#This Row],[Customer Gender]]="M","Male", orders[[#This Row],[Customer Gender]]="F","Female", orders[[#This Row],[Customer Gender]]="O","Other", TRUE,"Unknown")</f>
        <v>Male</v>
      </c>
    </row>
    <row r="1343" spans="1:15">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f t="array" ref="O1343">_xlfn.IFS(orders[[#This Row],[Customer Gender]]="M","Male", orders[[#This Row],[Customer Gender]]="F","Female", orders[[#This Row],[Customer Gender]]="O","Other", TRUE,"Unknown")</f>
        <v>Male</v>
      </c>
    </row>
    <row r="1344" spans="1:15">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f t="array" ref="O1344">_xlfn.IFS(orders[[#This Row],[Customer Gender]]="M","Male", orders[[#This Row],[Customer Gender]]="F","Female", orders[[#This Row],[Customer Gender]]="O","Other", TRUE,"Unknown")</f>
        <v>Male</v>
      </c>
    </row>
    <row r="1345" spans="1:15">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f t="array" ref="O1345">_xlfn.IFS(orders[[#This Row],[Customer Gender]]="M","Male", orders[[#This Row],[Customer Gender]]="F","Female", orders[[#This Row],[Customer Gender]]="O","Other", TRUE,"Unknown")</f>
        <v>Female</v>
      </c>
    </row>
    <row r="1346" spans="1:15">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f t="array" ref="O1346">_xlfn.IFS(orders[[#This Row],[Customer Gender]]="M","Male", orders[[#This Row],[Customer Gender]]="F","Female", orders[[#This Row],[Customer Gender]]="O","Other", TRUE,"Unknown")</f>
        <v>Male</v>
      </c>
    </row>
    <row r="1347" spans="1:15">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f t="array" ref="O1347">_xlfn.IFS(orders[[#This Row],[Customer Gender]]="M","Male", orders[[#This Row],[Customer Gender]]="F","Female", orders[[#This Row],[Customer Gender]]="O","Other", TRUE,"Unknown")</f>
        <v>Female</v>
      </c>
    </row>
    <row r="1348" spans="1:15">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f t="array" ref="O1348">_xlfn.IFS(orders[[#This Row],[Customer Gender]]="M","Male", orders[[#This Row],[Customer Gender]]="F","Female", orders[[#This Row],[Customer Gender]]="O","Other", TRUE,"Unknown")</f>
        <v>Female</v>
      </c>
    </row>
    <row r="1349" spans="1:15">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f t="array" ref="O1349">_xlfn.IFS(orders[[#This Row],[Customer Gender]]="M","Male", orders[[#This Row],[Customer Gender]]="F","Female", orders[[#This Row],[Customer Gender]]="O","Other", TRUE,"Unknown")</f>
        <v>Female</v>
      </c>
    </row>
    <row r="1350" spans="1:15">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f t="array" ref="O1350">_xlfn.IFS(orders[[#This Row],[Customer Gender]]="M","Male", orders[[#This Row],[Customer Gender]]="F","Female", orders[[#This Row],[Customer Gender]]="O","Other", TRUE,"Unknown")</f>
        <v>Male</v>
      </c>
    </row>
    <row r="1351" spans="1:15">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f t="array" ref="O1351">_xlfn.IFS(orders[[#This Row],[Customer Gender]]="M","Male", orders[[#This Row],[Customer Gender]]="F","Female", orders[[#This Row],[Customer Gender]]="O","Other", TRUE,"Unknown")</f>
        <v>Other</v>
      </c>
    </row>
    <row r="1352" spans="1:15">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f t="array" ref="O1352">_xlfn.IFS(orders[[#This Row],[Customer Gender]]="M","Male", orders[[#This Row],[Customer Gender]]="F","Female", orders[[#This Row],[Customer Gender]]="O","Other", TRUE,"Unknown")</f>
        <v>Female</v>
      </c>
    </row>
    <row r="1353" spans="1:15">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f t="array" ref="O1353">_xlfn.IFS(orders[[#This Row],[Customer Gender]]="M","Male", orders[[#This Row],[Customer Gender]]="F","Female", orders[[#This Row],[Customer Gender]]="O","Other", TRUE,"Unknown")</f>
        <v>Male</v>
      </c>
    </row>
    <row r="1354" spans="1:15">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f t="array" ref="O1354">_xlfn.IFS(orders[[#This Row],[Customer Gender]]="M","Male", orders[[#This Row],[Customer Gender]]="F","Female", orders[[#This Row],[Customer Gender]]="O","Other", TRUE,"Unknown")</f>
        <v>Female</v>
      </c>
    </row>
    <row r="1355" spans="1:15">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f t="array" ref="O1355">_xlfn.IFS(orders[[#This Row],[Customer Gender]]="M","Male", orders[[#This Row],[Customer Gender]]="F","Female", orders[[#This Row],[Customer Gender]]="O","Other", TRUE,"Unknown")</f>
        <v>Male</v>
      </c>
    </row>
    <row r="1356" spans="1:15">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f t="array" ref="O1356">_xlfn.IFS(orders[[#This Row],[Customer Gender]]="M","Male", orders[[#This Row],[Customer Gender]]="F","Female", orders[[#This Row],[Customer Gender]]="O","Other", TRUE,"Unknown")</f>
        <v>Male</v>
      </c>
    </row>
    <row r="1357" spans="1:15">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f t="array" ref="O1357">_xlfn.IFS(orders[[#This Row],[Customer Gender]]="M","Male", orders[[#This Row],[Customer Gender]]="F","Female", orders[[#This Row],[Customer Gender]]="O","Other", TRUE,"Unknown")</f>
        <v>Female</v>
      </c>
    </row>
    <row r="1358" spans="1:15">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f t="array" ref="O1358">_xlfn.IFS(orders[[#This Row],[Customer Gender]]="M","Male", orders[[#This Row],[Customer Gender]]="F","Female", orders[[#This Row],[Customer Gender]]="O","Other", TRUE,"Unknown")</f>
        <v>Female</v>
      </c>
    </row>
    <row r="1359" spans="1:15">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f t="array" ref="O1359">_xlfn.IFS(orders[[#This Row],[Customer Gender]]="M","Male", orders[[#This Row],[Customer Gender]]="F","Female", orders[[#This Row],[Customer Gender]]="O","Other", TRUE,"Unknown")</f>
        <v>Male</v>
      </c>
    </row>
    <row r="1360" spans="1:15">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f t="array" ref="O1360">_xlfn.IFS(orders[[#This Row],[Customer Gender]]="M","Male", orders[[#This Row],[Customer Gender]]="F","Female", orders[[#This Row],[Customer Gender]]="O","Other", TRUE,"Unknown")</f>
        <v>Unknown</v>
      </c>
    </row>
    <row r="1361" spans="1:15">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f t="array" ref="O1361">_xlfn.IFS(orders[[#This Row],[Customer Gender]]="M","Male", orders[[#This Row],[Customer Gender]]="F","Female", orders[[#This Row],[Customer Gender]]="O","Other", TRUE,"Unknown")</f>
        <v>Male</v>
      </c>
    </row>
    <row r="1362" spans="1:15">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f t="array" ref="O1362">_xlfn.IFS(orders[[#This Row],[Customer Gender]]="M","Male", orders[[#This Row],[Customer Gender]]="F","Female", orders[[#This Row],[Customer Gender]]="O","Other", TRUE,"Unknown")</f>
        <v>Female</v>
      </c>
    </row>
    <row r="1363" spans="1:15">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f t="array" ref="O1363">_xlfn.IFS(orders[[#This Row],[Customer Gender]]="M","Male", orders[[#This Row],[Customer Gender]]="F","Female", orders[[#This Row],[Customer Gender]]="O","Other", TRUE,"Unknown")</f>
        <v>Male</v>
      </c>
    </row>
    <row r="1364" spans="1:15">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f t="array" ref="O1364">_xlfn.IFS(orders[[#This Row],[Customer Gender]]="M","Male", orders[[#This Row],[Customer Gender]]="F","Female", orders[[#This Row],[Customer Gender]]="O","Other", TRUE,"Unknown")</f>
        <v>Unknown</v>
      </c>
    </row>
    <row r="1365" spans="1:15">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f t="array" ref="O1365">_xlfn.IFS(orders[[#This Row],[Customer Gender]]="M","Male", orders[[#This Row],[Customer Gender]]="F","Female", orders[[#This Row],[Customer Gender]]="O","Other", TRUE,"Unknown")</f>
        <v>Male</v>
      </c>
    </row>
    <row r="1366" spans="1:15">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f t="array" ref="O1366">_xlfn.IFS(orders[[#This Row],[Customer Gender]]="M","Male", orders[[#This Row],[Customer Gender]]="F","Female", orders[[#This Row],[Customer Gender]]="O","Other", TRUE,"Unknown")</f>
        <v>Male</v>
      </c>
    </row>
    <row r="1367" spans="1:15">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f t="array" ref="O1367">_xlfn.IFS(orders[[#This Row],[Customer Gender]]="M","Male", orders[[#This Row],[Customer Gender]]="F","Female", orders[[#This Row],[Customer Gender]]="O","Other", TRUE,"Unknown")</f>
        <v>Unknown</v>
      </c>
    </row>
    <row r="1368" spans="1:15">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f t="array" ref="O1368">_xlfn.IFS(orders[[#This Row],[Customer Gender]]="M","Male", orders[[#This Row],[Customer Gender]]="F","Female", orders[[#This Row],[Customer Gender]]="O","Other", TRUE,"Unknown")</f>
        <v>Female</v>
      </c>
    </row>
    <row r="1369" spans="1:15">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f t="array" ref="O1369">_xlfn.IFS(orders[[#This Row],[Customer Gender]]="M","Male", orders[[#This Row],[Customer Gender]]="F","Female", orders[[#This Row],[Customer Gender]]="O","Other", TRUE,"Unknown")</f>
        <v>Male</v>
      </c>
    </row>
    <row r="1370" spans="1:15">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f t="array" ref="O1370">_xlfn.IFS(orders[[#This Row],[Customer Gender]]="M","Male", orders[[#This Row],[Customer Gender]]="F","Female", orders[[#This Row],[Customer Gender]]="O","Other", TRUE,"Unknown")</f>
        <v>Male</v>
      </c>
    </row>
    <row r="1371" spans="1:15">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f t="array" ref="O1371">_xlfn.IFS(orders[[#This Row],[Customer Gender]]="M","Male", orders[[#This Row],[Customer Gender]]="F","Female", orders[[#This Row],[Customer Gender]]="O","Other", TRUE,"Unknown")</f>
        <v>Male</v>
      </c>
    </row>
    <row r="1372" spans="1:15">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f t="array" ref="O1372">_xlfn.IFS(orders[[#This Row],[Customer Gender]]="M","Male", orders[[#This Row],[Customer Gender]]="F","Female", orders[[#This Row],[Customer Gender]]="O","Other", TRUE,"Unknown")</f>
        <v>Male</v>
      </c>
    </row>
    <row r="1373" spans="1:15">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f t="array" ref="O1373">_xlfn.IFS(orders[[#This Row],[Customer Gender]]="M","Male", orders[[#This Row],[Customer Gender]]="F","Female", orders[[#This Row],[Customer Gender]]="O","Other", TRUE,"Unknown")</f>
        <v>Female</v>
      </c>
    </row>
    <row r="1374" spans="1:15">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f t="array" ref="O1374">_xlfn.IFS(orders[[#This Row],[Customer Gender]]="M","Male", orders[[#This Row],[Customer Gender]]="F","Female", orders[[#This Row],[Customer Gender]]="O","Other", TRUE,"Unknown")</f>
        <v>Other</v>
      </c>
    </row>
    <row r="1375" spans="1:15">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f t="array" ref="O1375">_xlfn.IFS(orders[[#This Row],[Customer Gender]]="M","Male", orders[[#This Row],[Customer Gender]]="F","Female", orders[[#This Row],[Customer Gender]]="O","Other", TRUE,"Unknown")</f>
        <v>Female</v>
      </c>
    </row>
    <row r="1376" spans="1:15">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f t="array" ref="O1376">_xlfn.IFS(orders[[#This Row],[Customer Gender]]="M","Male", orders[[#This Row],[Customer Gender]]="F","Female", orders[[#This Row],[Customer Gender]]="O","Other", TRUE,"Unknown")</f>
        <v>Female</v>
      </c>
    </row>
    <row r="1377" spans="1:15">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f t="array" ref="O1377">_xlfn.IFS(orders[[#This Row],[Customer Gender]]="M","Male", orders[[#This Row],[Customer Gender]]="F","Female", orders[[#This Row],[Customer Gender]]="O","Other", TRUE,"Unknown")</f>
        <v>Male</v>
      </c>
    </row>
    <row r="1378" spans="1:15">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f t="array" ref="O1378">_xlfn.IFS(orders[[#This Row],[Customer Gender]]="M","Male", orders[[#This Row],[Customer Gender]]="F","Female", orders[[#This Row],[Customer Gender]]="O","Other", TRUE,"Unknown")</f>
        <v>Male</v>
      </c>
    </row>
    <row r="1379" spans="1:15">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f t="array" ref="O1379">_xlfn.IFS(orders[[#This Row],[Customer Gender]]="M","Male", orders[[#This Row],[Customer Gender]]="F","Female", orders[[#This Row],[Customer Gender]]="O","Other", TRUE,"Unknown")</f>
        <v>Male</v>
      </c>
    </row>
    <row r="1380" spans="1:15">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f t="array" ref="O1380">_xlfn.IFS(orders[[#This Row],[Customer Gender]]="M","Male", orders[[#This Row],[Customer Gender]]="F","Female", orders[[#This Row],[Customer Gender]]="O","Other", TRUE,"Unknown")</f>
        <v>Female</v>
      </c>
    </row>
    <row r="1381" spans="1:15">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f t="array" ref="O1381">_xlfn.IFS(orders[[#This Row],[Customer Gender]]="M","Male", orders[[#This Row],[Customer Gender]]="F","Female", orders[[#This Row],[Customer Gender]]="O","Other", TRUE,"Unknown")</f>
        <v>Male</v>
      </c>
    </row>
    <row r="1382" spans="1:15">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f t="array" ref="O1382">_xlfn.IFS(orders[[#This Row],[Customer Gender]]="M","Male", orders[[#This Row],[Customer Gender]]="F","Female", orders[[#This Row],[Customer Gender]]="O","Other", TRUE,"Unknown")</f>
        <v>Male</v>
      </c>
    </row>
    <row r="1383" spans="1:15">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f t="array" ref="O1383">_xlfn.IFS(orders[[#This Row],[Customer Gender]]="M","Male", orders[[#This Row],[Customer Gender]]="F","Female", orders[[#This Row],[Customer Gender]]="O","Other", TRUE,"Unknown")</f>
        <v>Male</v>
      </c>
    </row>
    <row r="1384" spans="1:15">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f t="array" ref="O1384">_xlfn.IFS(orders[[#This Row],[Customer Gender]]="M","Male", orders[[#This Row],[Customer Gender]]="F","Female", orders[[#This Row],[Customer Gender]]="O","Other", TRUE,"Unknown")</f>
        <v>Male</v>
      </c>
    </row>
    <row r="1385" spans="1:15">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f t="array" ref="O1385">_xlfn.IFS(orders[[#This Row],[Customer Gender]]="M","Male", orders[[#This Row],[Customer Gender]]="F","Female", orders[[#This Row],[Customer Gender]]="O","Other", TRUE,"Unknown")</f>
        <v>Male</v>
      </c>
    </row>
    <row r="1386" spans="1:15">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f t="array" ref="O1386">_xlfn.IFS(orders[[#This Row],[Customer Gender]]="M","Male", orders[[#This Row],[Customer Gender]]="F","Female", orders[[#This Row],[Customer Gender]]="O","Other", TRUE,"Unknown")</f>
        <v>Female</v>
      </c>
    </row>
    <row r="1387" spans="1:15">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f t="array" ref="O1387">_xlfn.IFS(orders[[#This Row],[Customer Gender]]="M","Male", orders[[#This Row],[Customer Gender]]="F","Female", orders[[#This Row],[Customer Gender]]="O","Other", TRUE,"Unknown")</f>
        <v>Male</v>
      </c>
    </row>
    <row r="1388" spans="1:15">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f t="array" ref="O1388">_xlfn.IFS(orders[[#This Row],[Customer Gender]]="M","Male", orders[[#This Row],[Customer Gender]]="F","Female", orders[[#This Row],[Customer Gender]]="O","Other", TRUE,"Unknown")</f>
        <v>Male</v>
      </c>
    </row>
    <row r="1389" spans="1:15">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f t="array" ref="O1389">_xlfn.IFS(orders[[#This Row],[Customer Gender]]="M","Male", orders[[#This Row],[Customer Gender]]="F","Female", orders[[#This Row],[Customer Gender]]="O","Other", TRUE,"Unknown")</f>
        <v>Male</v>
      </c>
    </row>
    <row r="1390" spans="1:15">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f t="array" ref="O1390">_xlfn.IFS(orders[[#This Row],[Customer Gender]]="M","Male", orders[[#This Row],[Customer Gender]]="F","Female", orders[[#This Row],[Customer Gender]]="O","Other", TRUE,"Unknown")</f>
        <v>Unknown</v>
      </c>
    </row>
    <row r="1391" spans="1:15">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f t="array" ref="O1391">_xlfn.IFS(orders[[#This Row],[Customer Gender]]="M","Male", orders[[#This Row],[Customer Gender]]="F","Female", orders[[#This Row],[Customer Gender]]="O","Other", TRUE,"Unknown")</f>
        <v>Male</v>
      </c>
    </row>
    <row r="1392" spans="1:15">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f t="array" ref="O1392">_xlfn.IFS(orders[[#This Row],[Customer Gender]]="M","Male", orders[[#This Row],[Customer Gender]]="F","Female", orders[[#This Row],[Customer Gender]]="O","Other", TRUE,"Unknown")</f>
        <v>Male</v>
      </c>
    </row>
    <row r="1393" spans="1:15">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f t="array" ref="O1393">_xlfn.IFS(orders[[#This Row],[Customer Gender]]="M","Male", orders[[#This Row],[Customer Gender]]="F","Female", orders[[#This Row],[Customer Gender]]="O","Other", TRUE,"Unknown")</f>
        <v>Female</v>
      </c>
    </row>
    <row r="1394" spans="1:15">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f t="array" ref="O1394">_xlfn.IFS(orders[[#This Row],[Customer Gender]]="M","Male", orders[[#This Row],[Customer Gender]]="F","Female", orders[[#This Row],[Customer Gender]]="O","Other", TRUE,"Unknown")</f>
        <v>Male</v>
      </c>
    </row>
    <row r="1395" spans="1:15">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f t="array" ref="O1395">_xlfn.IFS(orders[[#This Row],[Customer Gender]]="M","Male", orders[[#This Row],[Customer Gender]]="F","Female", orders[[#This Row],[Customer Gender]]="O","Other", TRUE,"Unknown")</f>
        <v>Male</v>
      </c>
    </row>
    <row r="1396" spans="1:15">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f t="array" ref="O1396">_xlfn.IFS(orders[[#This Row],[Customer Gender]]="M","Male", orders[[#This Row],[Customer Gender]]="F","Female", orders[[#This Row],[Customer Gender]]="O","Other", TRUE,"Unknown")</f>
        <v>Male</v>
      </c>
    </row>
    <row r="1397" spans="1:15">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f t="array" ref="O1397">_xlfn.IFS(orders[[#This Row],[Customer Gender]]="M","Male", orders[[#This Row],[Customer Gender]]="F","Female", orders[[#This Row],[Customer Gender]]="O","Other", TRUE,"Unknown")</f>
        <v>Male</v>
      </c>
    </row>
    <row r="1398" spans="1:15">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f t="array" ref="O1398">_xlfn.IFS(orders[[#This Row],[Customer Gender]]="M","Male", orders[[#This Row],[Customer Gender]]="F","Female", orders[[#This Row],[Customer Gender]]="O","Other", TRUE,"Unknown")</f>
        <v>Male</v>
      </c>
    </row>
    <row r="1399" spans="1:15">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f t="array" ref="O1399">_xlfn.IFS(orders[[#This Row],[Customer Gender]]="M","Male", orders[[#This Row],[Customer Gender]]="F","Female", orders[[#This Row],[Customer Gender]]="O","Other", TRUE,"Unknown")</f>
        <v>Female</v>
      </c>
    </row>
    <row r="1400" spans="1:15">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f t="array" ref="O1400">_xlfn.IFS(orders[[#This Row],[Customer Gender]]="M","Male", orders[[#This Row],[Customer Gender]]="F","Female", orders[[#This Row],[Customer Gender]]="O","Other", TRUE,"Unknown")</f>
        <v>Female</v>
      </c>
    </row>
    <row r="1401" spans="1:15">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f t="array" ref="O1401">_xlfn.IFS(orders[[#This Row],[Customer Gender]]="M","Male", orders[[#This Row],[Customer Gender]]="F","Female", orders[[#This Row],[Customer Gender]]="O","Other", TRUE,"Unknown")</f>
        <v>Male</v>
      </c>
    </row>
    <row r="1402" spans="1:15">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f t="array" ref="O1402">_xlfn.IFS(orders[[#This Row],[Customer Gender]]="M","Male", orders[[#This Row],[Customer Gender]]="F","Female", orders[[#This Row],[Customer Gender]]="O","Other", TRUE,"Unknown")</f>
        <v>Female</v>
      </c>
    </row>
    <row r="1403" spans="1:15">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f t="array" ref="O1403">_xlfn.IFS(orders[[#This Row],[Customer Gender]]="M","Male", orders[[#This Row],[Customer Gender]]="F","Female", orders[[#This Row],[Customer Gender]]="O","Other", TRUE,"Unknown")</f>
        <v>Female</v>
      </c>
    </row>
    <row r="1404" spans="1:15">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f t="array" ref="O1404">_xlfn.IFS(orders[[#This Row],[Customer Gender]]="M","Male", orders[[#This Row],[Customer Gender]]="F","Female", orders[[#This Row],[Customer Gender]]="O","Other", TRUE,"Unknown")</f>
        <v>Male</v>
      </c>
    </row>
    <row r="1405" spans="1:15">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f t="array" ref="O1405">_xlfn.IFS(orders[[#This Row],[Customer Gender]]="M","Male", orders[[#This Row],[Customer Gender]]="F","Female", orders[[#This Row],[Customer Gender]]="O","Other", TRUE,"Unknown")</f>
        <v>Male</v>
      </c>
    </row>
    <row r="1406" spans="1:15">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f t="array" ref="O1406">_xlfn.IFS(orders[[#This Row],[Customer Gender]]="M","Male", orders[[#This Row],[Customer Gender]]="F","Female", orders[[#This Row],[Customer Gender]]="O","Other", TRUE,"Unknown")</f>
        <v>Female</v>
      </c>
    </row>
    <row r="1407" spans="1:15">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f t="array" ref="O1407">_xlfn.IFS(orders[[#This Row],[Customer Gender]]="M","Male", orders[[#This Row],[Customer Gender]]="F","Female", orders[[#This Row],[Customer Gender]]="O","Other", TRUE,"Unknown")</f>
        <v>Female</v>
      </c>
    </row>
    <row r="1408" spans="1:15">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f t="array" ref="O1408">_xlfn.IFS(orders[[#This Row],[Customer Gender]]="M","Male", orders[[#This Row],[Customer Gender]]="F","Female", orders[[#This Row],[Customer Gender]]="O","Other", TRUE,"Unknown")</f>
        <v>Female</v>
      </c>
    </row>
    <row r="1409" spans="1:15">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f t="array" ref="O1409">_xlfn.IFS(orders[[#This Row],[Customer Gender]]="M","Male", orders[[#This Row],[Customer Gender]]="F","Female", orders[[#This Row],[Customer Gender]]="O","Other", TRUE,"Unknown")</f>
        <v>Male</v>
      </c>
    </row>
    <row r="1410" spans="1:15">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f t="array" ref="O1410">_xlfn.IFS(orders[[#This Row],[Customer Gender]]="M","Male", orders[[#This Row],[Customer Gender]]="F","Female", orders[[#This Row],[Customer Gender]]="O","Other", TRUE,"Unknown")</f>
        <v>Male</v>
      </c>
    </row>
    <row r="1411" spans="1:15">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f t="array" ref="O1411">_xlfn.IFS(orders[[#This Row],[Customer Gender]]="M","Male", orders[[#This Row],[Customer Gender]]="F","Female", orders[[#This Row],[Customer Gender]]="O","Other", TRUE,"Unknown")</f>
        <v>Other</v>
      </c>
    </row>
    <row r="1412" spans="1:15">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f t="array" ref="O1412">_xlfn.IFS(orders[[#This Row],[Customer Gender]]="M","Male", orders[[#This Row],[Customer Gender]]="F","Female", orders[[#This Row],[Customer Gender]]="O","Other", TRUE,"Unknown")</f>
        <v>Female</v>
      </c>
    </row>
    <row r="1413" spans="1:15">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f t="array" ref="O1413">_xlfn.IFS(orders[[#This Row],[Customer Gender]]="M","Male", orders[[#This Row],[Customer Gender]]="F","Female", orders[[#This Row],[Customer Gender]]="O","Other", TRUE,"Unknown")</f>
        <v>Other</v>
      </c>
    </row>
    <row r="1414" spans="1:15">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f t="array" ref="O1414">_xlfn.IFS(orders[[#This Row],[Customer Gender]]="M","Male", orders[[#This Row],[Customer Gender]]="F","Female", orders[[#This Row],[Customer Gender]]="O","Other", TRUE,"Unknown")</f>
        <v>Female</v>
      </c>
    </row>
    <row r="1415" spans="1:15">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f t="array" ref="O1415">_xlfn.IFS(orders[[#This Row],[Customer Gender]]="M","Male", orders[[#This Row],[Customer Gender]]="F","Female", orders[[#This Row],[Customer Gender]]="O","Other", TRUE,"Unknown")</f>
        <v>Female</v>
      </c>
    </row>
    <row r="1416" spans="1:15">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f t="array" ref="O1416">_xlfn.IFS(orders[[#This Row],[Customer Gender]]="M","Male", orders[[#This Row],[Customer Gender]]="F","Female", orders[[#This Row],[Customer Gender]]="O","Other", TRUE,"Unknown")</f>
        <v>Female</v>
      </c>
    </row>
    <row r="1417" spans="1:15">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f t="array" ref="O1417">_xlfn.IFS(orders[[#This Row],[Customer Gender]]="M","Male", orders[[#This Row],[Customer Gender]]="F","Female", orders[[#This Row],[Customer Gender]]="O","Other", TRUE,"Unknown")</f>
        <v>Female</v>
      </c>
    </row>
    <row r="1418" spans="1:15">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f t="array" ref="O1418">_xlfn.IFS(orders[[#This Row],[Customer Gender]]="M","Male", orders[[#This Row],[Customer Gender]]="F","Female", orders[[#This Row],[Customer Gender]]="O","Other", TRUE,"Unknown")</f>
        <v>Female</v>
      </c>
    </row>
    <row r="1419" spans="1:15">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f t="array" ref="O1419">_xlfn.IFS(orders[[#This Row],[Customer Gender]]="M","Male", orders[[#This Row],[Customer Gender]]="F","Female", orders[[#This Row],[Customer Gender]]="O","Other", TRUE,"Unknown")</f>
        <v>Male</v>
      </c>
    </row>
    <row r="1420" spans="1:15">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f t="array" ref="O1420">_xlfn.IFS(orders[[#This Row],[Customer Gender]]="M","Male", orders[[#This Row],[Customer Gender]]="F","Female", orders[[#This Row],[Customer Gender]]="O","Other", TRUE,"Unknown")</f>
        <v>Female</v>
      </c>
    </row>
    <row r="1421" spans="1:15">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f t="array" ref="O1421">_xlfn.IFS(orders[[#This Row],[Customer Gender]]="M","Male", orders[[#This Row],[Customer Gender]]="F","Female", orders[[#This Row],[Customer Gender]]="O","Other", TRUE,"Unknown")</f>
        <v>Female</v>
      </c>
    </row>
    <row r="1422" spans="1:15">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f t="array" ref="O1422">_xlfn.IFS(orders[[#This Row],[Customer Gender]]="M","Male", orders[[#This Row],[Customer Gender]]="F","Female", orders[[#This Row],[Customer Gender]]="O","Other", TRUE,"Unknown")</f>
        <v>Male</v>
      </c>
    </row>
    <row r="1423" spans="1:15">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f t="array" ref="O1423">_xlfn.IFS(orders[[#This Row],[Customer Gender]]="M","Male", orders[[#This Row],[Customer Gender]]="F","Female", orders[[#This Row],[Customer Gender]]="O","Other", TRUE,"Unknown")</f>
        <v>Female</v>
      </c>
    </row>
    <row r="1424" spans="1:15">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f t="array" ref="O1424">_xlfn.IFS(orders[[#This Row],[Customer Gender]]="M","Male", orders[[#This Row],[Customer Gender]]="F","Female", orders[[#This Row],[Customer Gender]]="O","Other", TRUE,"Unknown")</f>
        <v>Female</v>
      </c>
    </row>
    <row r="1425" spans="1:15">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f t="array" ref="O1425">_xlfn.IFS(orders[[#This Row],[Customer Gender]]="M","Male", orders[[#This Row],[Customer Gender]]="F","Female", orders[[#This Row],[Customer Gender]]="O","Other", TRUE,"Unknown")</f>
        <v>Female</v>
      </c>
    </row>
    <row r="1426" spans="1:15">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f t="array" ref="O1426">_xlfn.IFS(orders[[#This Row],[Customer Gender]]="M","Male", orders[[#This Row],[Customer Gender]]="F","Female", orders[[#This Row],[Customer Gender]]="O","Other", TRUE,"Unknown")</f>
        <v>Unknown</v>
      </c>
    </row>
    <row r="1427" spans="1:15">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f t="array" ref="O1427">_xlfn.IFS(orders[[#This Row],[Customer Gender]]="M","Male", orders[[#This Row],[Customer Gender]]="F","Female", orders[[#This Row],[Customer Gender]]="O","Other", TRUE,"Unknown")</f>
        <v>Female</v>
      </c>
    </row>
    <row r="1428" spans="1:15">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f t="array" ref="O1428">_xlfn.IFS(orders[[#This Row],[Customer Gender]]="M","Male", orders[[#This Row],[Customer Gender]]="F","Female", orders[[#This Row],[Customer Gender]]="O","Other", TRUE,"Unknown")</f>
        <v>Male</v>
      </c>
    </row>
    <row r="1429" spans="1:15">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f t="array" ref="O1429">_xlfn.IFS(orders[[#This Row],[Customer Gender]]="M","Male", orders[[#This Row],[Customer Gender]]="F","Female", orders[[#This Row],[Customer Gender]]="O","Other", TRUE,"Unknown")</f>
        <v>Male</v>
      </c>
    </row>
    <row r="1430" spans="1:15">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f t="array" ref="O1430">_xlfn.IFS(orders[[#This Row],[Customer Gender]]="M","Male", orders[[#This Row],[Customer Gender]]="F","Female", orders[[#This Row],[Customer Gender]]="O","Other", TRUE,"Unknown")</f>
        <v>Male</v>
      </c>
    </row>
    <row r="1431" spans="1:15">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f t="array" ref="O1431">_xlfn.IFS(orders[[#This Row],[Customer Gender]]="M","Male", orders[[#This Row],[Customer Gender]]="F","Female", orders[[#This Row],[Customer Gender]]="O","Other", TRUE,"Unknown")</f>
        <v>Male</v>
      </c>
    </row>
    <row r="1432" spans="1:15">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f t="array" ref="O1432">_xlfn.IFS(orders[[#This Row],[Customer Gender]]="M","Male", orders[[#This Row],[Customer Gender]]="F","Female", orders[[#This Row],[Customer Gender]]="O","Other", TRUE,"Unknown")</f>
        <v>Female</v>
      </c>
    </row>
    <row r="1433" spans="1:15">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f t="array" ref="O1433">_xlfn.IFS(orders[[#This Row],[Customer Gender]]="M","Male", orders[[#This Row],[Customer Gender]]="F","Female", orders[[#This Row],[Customer Gender]]="O","Other", TRUE,"Unknown")</f>
        <v>Female</v>
      </c>
    </row>
    <row r="1434" spans="1:15">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f t="array" ref="O1434">_xlfn.IFS(orders[[#This Row],[Customer Gender]]="M","Male", orders[[#This Row],[Customer Gender]]="F","Female", orders[[#This Row],[Customer Gender]]="O","Other", TRUE,"Unknown")</f>
        <v>Female</v>
      </c>
    </row>
    <row r="1435" spans="1:15">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f t="array" ref="O1435">_xlfn.IFS(orders[[#This Row],[Customer Gender]]="M","Male", orders[[#This Row],[Customer Gender]]="F","Female", orders[[#This Row],[Customer Gender]]="O","Other", TRUE,"Unknown")</f>
        <v>Male</v>
      </c>
    </row>
    <row r="1436" spans="1:15">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f t="array" ref="O1436">_xlfn.IFS(orders[[#This Row],[Customer Gender]]="M","Male", orders[[#This Row],[Customer Gender]]="F","Female", orders[[#This Row],[Customer Gender]]="O","Other", TRUE,"Unknown")</f>
        <v>Female</v>
      </c>
    </row>
    <row r="1437" spans="1:15">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f t="array" ref="O1437">_xlfn.IFS(orders[[#This Row],[Customer Gender]]="M","Male", orders[[#This Row],[Customer Gender]]="F","Female", orders[[#This Row],[Customer Gender]]="O","Other", TRUE,"Unknown")</f>
        <v>Female</v>
      </c>
    </row>
    <row r="1438" spans="1:15">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f t="array" ref="O1438">_xlfn.IFS(orders[[#This Row],[Customer Gender]]="M","Male", orders[[#This Row],[Customer Gender]]="F","Female", orders[[#This Row],[Customer Gender]]="O","Other", TRUE,"Unknown")</f>
        <v>Female</v>
      </c>
    </row>
    <row r="1439" spans="1:15">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f t="array" ref="O1439">_xlfn.IFS(orders[[#This Row],[Customer Gender]]="M","Male", orders[[#This Row],[Customer Gender]]="F","Female", orders[[#This Row],[Customer Gender]]="O","Other", TRUE,"Unknown")</f>
        <v>Female</v>
      </c>
    </row>
    <row r="1440" spans="1:15">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f t="array" ref="O1440">_xlfn.IFS(orders[[#This Row],[Customer Gender]]="M","Male", orders[[#This Row],[Customer Gender]]="F","Female", orders[[#This Row],[Customer Gender]]="O","Other", TRUE,"Unknown")</f>
        <v>Male</v>
      </c>
    </row>
    <row r="1441" spans="1:15">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f t="array" ref="O1441">_xlfn.IFS(orders[[#This Row],[Customer Gender]]="M","Male", orders[[#This Row],[Customer Gender]]="F","Female", orders[[#This Row],[Customer Gender]]="O","Other", TRUE,"Unknown")</f>
        <v>Male</v>
      </c>
    </row>
    <row r="1442" spans="1:15">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f t="array" ref="O1442">_xlfn.IFS(orders[[#This Row],[Customer Gender]]="M","Male", orders[[#This Row],[Customer Gender]]="F","Female", orders[[#This Row],[Customer Gender]]="O","Other", TRUE,"Unknown")</f>
        <v>Other</v>
      </c>
    </row>
    <row r="1443" spans="1:15">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f t="array" ref="O1443">_xlfn.IFS(orders[[#This Row],[Customer Gender]]="M","Male", orders[[#This Row],[Customer Gender]]="F","Female", orders[[#This Row],[Customer Gender]]="O","Other", TRUE,"Unknown")</f>
        <v>Female</v>
      </c>
    </row>
    <row r="1444" spans="1:15">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f t="array" ref="O1444">_xlfn.IFS(orders[[#This Row],[Customer Gender]]="M","Male", orders[[#This Row],[Customer Gender]]="F","Female", orders[[#This Row],[Customer Gender]]="O","Other", TRUE,"Unknown")</f>
        <v>Female</v>
      </c>
    </row>
    <row r="1445" spans="1:15">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f t="array" ref="O1445">_xlfn.IFS(orders[[#This Row],[Customer Gender]]="M","Male", orders[[#This Row],[Customer Gender]]="F","Female", orders[[#This Row],[Customer Gender]]="O","Other", TRUE,"Unknown")</f>
        <v>Female</v>
      </c>
    </row>
    <row r="1446" spans="1:15">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f t="array" ref="O1446">_xlfn.IFS(orders[[#This Row],[Customer Gender]]="M","Male", orders[[#This Row],[Customer Gender]]="F","Female", orders[[#This Row],[Customer Gender]]="O","Other", TRUE,"Unknown")</f>
        <v>Male</v>
      </c>
    </row>
    <row r="1447" spans="1:15">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f t="array" ref="O1447">_xlfn.IFS(orders[[#This Row],[Customer Gender]]="M","Male", orders[[#This Row],[Customer Gender]]="F","Female", orders[[#This Row],[Customer Gender]]="O","Other", TRUE,"Unknown")</f>
        <v>Female</v>
      </c>
    </row>
    <row r="1448" spans="1:15">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f t="array" ref="O1448">_xlfn.IFS(orders[[#This Row],[Customer Gender]]="M","Male", orders[[#This Row],[Customer Gender]]="F","Female", orders[[#This Row],[Customer Gender]]="O","Other", TRUE,"Unknown")</f>
        <v>Male</v>
      </c>
    </row>
    <row r="1449" spans="1:15">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f t="array" ref="O1449">_xlfn.IFS(orders[[#This Row],[Customer Gender]]="M","Male", orders[[#This Row],[Customer Gender]]="F","Female", orders[[#This Row],[Customer Gender]]="O","Other", TRUE,"Unknown")</f>
        <v>Unknown</v>
      </c>
    </row>
    <row r="1450" spans="1:15">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f t="array" ref="O1450">_xlfn.IFS(orders[[#This Row],[Customer Gender]]="M","Male", orders[[#This Row],[Customer Gender]]="F","Female", orders[[#This Row],[Customer Gender]]="O","Other", TRUE,"Unknown")</f>
        <v>Male</v>
      </c>
    </row>
    <row r="1451" spans="1:15">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f t="array" ref="O1451">_xlfn.IFS(orders[[#This Row],[Customer Gender]]="M","Male", orders[[#This Row],[Customer Gender]]="F","Female", orders[[#This Row],[Customer Gender]]="O","Other", TRUE,"Unknown")</f>
        <v>Male</v>
      </c>
    </row>
    <row r="1452" spans="1:15">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f t="array" ref="O1452">_xlfn.IFS(orders[[#This Row],[Customer Gender]]="M","Male", orders[[#This Row],[Customer Gender]]="F","Female", orders[[#This Row],[Customer Gender]]="O","Other", TRUE,"Unknown")</f>
        <v>Female</v>
      </c>
    </row>
    <row r="1453" spans="1:15">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f t="array" ref="O1453">_xlfn.IFS(orders[[#This Row],[Customer Gender]]="M","Male", orders[[#This Row],[Customer Gender]]="F","Female", orders[[#This Row],[Customer Gender]]="O","Other", TRUE,"Unknown")</f>
        <v>Male</v>
      </c>
    </row>
    <row r="1454" spans="1:15">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f t="array" ref="O1454">_xlfn.IFS(orders[[#This Row],[Customer Gender]]="M","Male", orders[[#This Row],[Customer Gender]]="F","Female", orders[[#This Row],[Customer Gender]]="O","Other", TRUE,"Unknown")</f>
        <v>Male</v>
      </c>
    </row>
    <row r="1455" spans="1:15">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f t="array" ref="O1455">_xlfn.IFS(orders[[#This Row],[Customer Gender]]="M","Male", orders[[#This Row],[Customer Gender]]="F","Female", orders[[#This Row],[Customer Gender]]="O","Other", TRUE,"Unknown")</f>
        <v>Male</v>
      </c>
    </row>
    <row r="1456" spans="1:15">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f t="array" ref="O1456">_xlfn.IFS(orders[[#This Row],[Customer Gender]]="M","Male", orders[[#This Row],[Customer Gender]]="F","Female", orders[[#This Row],[Customer Gender]]="O","Other", TRUE,"Unknown")</f>
        <v>Male</v>
      </c>
    </row>
    <row r="1457" spans="1:15">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f t="array" ref="O1457">_xlfn.IFS(orders[[#This Row],[Customer Gender]]="M","Male", orders[[#This Row],[Customer Gender]]="F","Female", orders[[#This Row],[Customer Gender]]="O","Other", TRUE,"Unknown")</f>
        <v>Female</v>
      </c>
    </row>
    <row r="1458" spans="1:15">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f t="array" ref="O1458">_xlfn.IFS(orders[[#This Row],[Customer Gender]]="M","Male", orders[[#This Row],[Customer Gender]]="F","Female", orders[[#This Row],[Customer Gender]]="O","Other", TRUE,"Unknown")</f>
        <v>Female</v>
      </c>
    </row>
    <row r="1459" spans="1:15">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f t="array" ref="O1459">_xlfn.IFS(orders[[#This Row],[Customer Gender]]="M","Male", orders[[#This Row],[Customer Gender]]="F","Female", orders[[#This Row],[Customer Gender]]="O","Other", TRUE,"Unknown")</f>
        <v>Male</v>
      </c>
    </row>
    <row r="1460" spans="1:15">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f t="array" ref="O1460">_xlfn.IFS(orders[[#This Row],[Customer Gender]]="M","Male", orders[[#This Row],[Customer Gender]]="F","Female", orders[[#This Row],[Customer Gender]]="O","Other", TRUE,"Unknown")</f>
        <v>Female</v>
      </c>
    </row>
    <row r="1461" spans="1:15">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f t="array" ref="O1461">_xlfn.IFS(orders[[#This Row],[Customer Gender]]="M","Male", orders[[#This Row],[Customer Gender]]="F","Female", orders[[#This Row],[Customer Gender]]="O","Other", TRUE,"Unknown")</f>
        <v>Female</v>
      </c>
    </row>
    <row r="1462" spans="1:15">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f t="array" ref="O1462">_xlfn.IFS(orders[[#This Row],[Customer Gender]]="M","Male", orders[[#This Row],[Customer Gender]]="F","Female", orders[[#This Row],[Customer Gender]]="O","Other", TRUE,"Unknown")</f>
        <v>Male</v>
      </c>
    </row>
    <row r="1463" spans="1:15">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f t="array" ref="O1463">_xlfn.IFS(orders[[#This Row],[Customer Gender]]="M","Male", orders[[#This Row],[Customer Gender]]="F","Female", orders[[#This Row],[Customer Gender]]="O","Other", TRUE,"Unknown")</f>
        <v>Male</v>
      </c>
    </row>
    <row r="1464" spans="1:15">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f t="array" ref="O1464">_xlfn.IFS(orders[[#This Row],[Customer Gender]]="M","Male", orders[[#This Row],[Customer Gender]]="F","Female", orders[[#This Row],[Customer Gender]]="O","Other", TRUE,"Unknown")</f>
        <v>Female</v>
      </c>
    </row>
    <row r="1465" spans="1:15">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f t="array" ref="O1465">_xlfn.IFS(orders[[#This Row],[Customer Gender]]="M","Male", orders[[#This Row],[Customer Gender]]="F","Female", orders[[#This Row],[Customer Gender]]="O","Other", TRUE,"Unknown")</f>
        <v>Unknown</v>
      </c>
    </row>
    <row r="1466" spans="1:15">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f t="array" ref="O1466">_xlfn.IFS(orders[[#This Row],[Customer Gender]]="M","Male", orders[[#This Row],[Customer Gender]]="F","Female", orders[[#This Row],[Customer Gender]]="O","Other", TRUE,"Unknown")</f>
        <v>Unknown</v>
      </c>
    </row>
    <row r="1467" spans="1:15">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f t="array" ref="O1467">_xlfn.IFS(orders[[#This Row],[Customer Gender]]="M","Male", orders[[#This Row],[Customer Gender]]="F","Female", orders[[#This Row],[Customer Gender]]="O","Other", TRUE,"Unknown")</f>
        <v>Male</v>
      </c>
    </row>
    <row r="1468" spans="1:15">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f t="array" ref="O1468">_xlfn.IFS(orders[[#This Row],[Customer Gender]]="M","Male", orders[[#This Row],[Customer Gender]]="F","Female", orders[[#This Row],[Customer Gender]]="O","Other", TRUE,"Unknown")</f>
        <v>Male</v>
      </c>
    </row>
    <row r="1469" spans="1:15">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f t="array" ref="O1469">_xlfn.IFS(orders[[#This Row],[Customer Gender]]="M","Male", orders[[#This Row],[Customer Gender]]="F","Female", orders[[#This Row],[Customer Gender]]="O","Other", TRUE,"Unknown")</f>
        <v>Male</v>
      </c>
    </row>
    <row r="1470" spans="1:15">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f t="array" ref="O1470">_xlfn.IFS(orders[[#This Row],[Customer Gender]]="M","Male", orders[[#This Row],[Customer Gender]]="F","Female", orders[[#This Row],[Customer Gender]]="O","Other", TRUE,"Unknown")</f>
        <v>Female</v>
      </c>
    </row>
    <row r="1471" spans="1:15">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f t="array" ref="O1471">_xlfn.IFS(orders[[#This Row],[Customer Gender]]="M","Male", orders[[#This Row],[Customer Gender]]="F","Female", orders[[#This Row],[Customer Gender]]="O","Other", TRUE,"Unknown")</f>
        <v>Female</v>
      </c>
    </row>
    <row r="1472" spans="1:15">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f t="array" ref="O1472">_xlfn.IFS(orders[[#This Row],[Customer Gender]]="M","Male", orders[[#This Row],[Customer Gender]]="F","Female", orders[[#This Row],[Customer Gender]]="O","Other", TRUE,"Unknown")</f>
        <v>Male</v>
      </c>
    </row>
    <row r="1473" spans="1:15">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f t="array" ref="O1473">_xlfn.IFS(orders[[#This Row],[Customer Gender]]="M","Male", orders[[#This Row],[Customer Gender]]="F","Female", orders[[#This Row],[Customer Gender]]="O","Other", TRUE,"Unknown")</f>
        <v>Female</v>
      </c>
    </row>
    <row r="1474" spans="1:15">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f t="array" ref="O1474">_xlfn.IFS(orders[[#This Row],[Customer Gender]]="M","Male", orders[[#This Row],[Customer Gender]]="F","Female", orders[[#This Row],[Customer Gender]]="O","Other", TRUE,"Unknown")</f>
        <v>Male</v>
      </c>
    </row>
    <row r="1475" spans="1:15">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f t="array" ref="O1475">_xlfn.IFS(orders[[#This Row],[Customer Gender]]="M","Male", orders[[#This Row],[Customer Gender]]="F","Female", orders[[#This Row],[Customer Gender]]="O","Other", TRUE,"Unknown")</f>
        <v>Male</v>
      </c>
    </row>
    <row r="1476" spans="1:15">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f t="array" ref="O1476">_xlfn.IFS(orders[[#This Row],[Customer Gender]]="M","Male", orders[[#This Row],[Customer Gender]]="F","Female", orders[[#This Row],[Customer Gender]]="O","Other", TRUE,"Unknown")</f>
        <v>Female</v>
      </c>
    </row>
    <row r="1477" spans="1:15">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f t="array" ref="O1477">_xlfn.IFS(orders[[#This Row],[Customer Gender]]="M","Male", orders[[#This Row],[Customer Gender]]="F","Female", orders[[#This Row],[Customer Gender]]="O","Other", TRUE,"Unknown")</f>
        <v>Male</v>
      </c>
    </row>
    <row r="1478" spans="1:15">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f t="array" ref="O1478">_xlfn.IFS(orders[[#This Row],[Customer Gender]]="M","Male", orders[[#This Row],[Customer Gender]]="F","Female", orders[[#This Row],[Customer Gender]]="O","Other", TRUE,"Unknown")</f>
        <v>Female</v>
      </c>
    </row>
    <row r="1479" spans="1:15">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f t="array" ref="O1479">_xlfn.IFS(orders[[#This Row],[Customer Gender]]="M","Male", orders[[#This Row],[Customer Gender]]="F","Female", orders[[#This Row],[Customer Gender]]="O","Other", TRUE,"Unknown")</f>
        <v>Male</v>
      </c>
    </row>
    <row r="1480" spans="1:15">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f t="array" ref="O1480">_xlfn.IFS(orders[[#This Row],[Customer Gender]]="M","Male", orders[[#This Row],[Customer Gender]]="F","Female", orders[[#This Row],[Customer Gender]]="O","Other", TRUE,"Unknown")</f>
        <v>Female</v>
      </c>
    </row>
    <row r="1481" spans="1:15">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f t="array" ref="O1481">_xlfn.IFS(orders[[#This Row],[Customer Gender]]="M","Male", orders[[#This Row],[Customer Gender]]="F","Female", orders[[#This Row],[Customer Gender]]="O","Other", TRUE,"Unknown")</f>
        <v>Female</v>
      </c>
    </row>
    <row r="1482" spans="1:15">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f t="array" ref="O1482">_xlfn.IFS(orders[[#This Row],[Customer Gender]]="M","Male", orders[[#This Row],[Customer Gender]]="F","Female", orders[[#This Row],[Customer Gender]]="O","Other", TRUE,"Unknown")</f>
        <v>Male</v>
      </c>
    </row>
    <row r="1483" spans="1:15">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f t="array" ref="O1483">_xlfn.IFS(orders[[#This Row],[Customer Gender]]="M","Male", orders[[#This Row],[Customer Gender]]="F","Female", orders[[#This Row],[Customer Gender]]="O","Other", TRUE,"Unknown")</f>
        <v>Female</v>
      </c>
    </row>
    <row r="1484" spans="1:15">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f t="array" ref="O1484">_xlfn.IFS(orders[[#This Row],[Customer Gender]]="M","Male", orders[[#This Row],[Customer Gender]]="F","Female", orders[[#This Row],[Customer Gender]]="O","Other", TRUE,"Unknown")</f>
        <v>Male</v>
      </c>
    </row>
    <row r="1485" spans="1:15">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f t="array" ref="O1485">_xlfn.IFS(orders[[#This Row],[Customer Gender]]="M","Male", orders[[#This Row],[Customer Gender]]="F","Female", orders[[#This Row],[Customer Gender]]="O","Other", TRUE,"Unknown")</f>
        <v>Female</v>
      </c>
    </row>
    <row r="1486" spans="1:15">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f t="array" ref="O1486">_xlfn.IFS(orders[[#This Row],[Customer Gender]]="M","Male", orders[[#This Row],[Customer Gender]]="F","Female", orders[[#This Row],[Customer Gender]]="O","Other", TRUE,"Unknown")</f>
        <v>Other</v>
      </c>
    </row>
    <row r="1487" spans="1:15">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f t="array" ref="O1487">_xlfn.IFS(orders[[#This Row],[Customer Gender]]="M","Male", orders[[#This Row],[Customer Gender]]="F","Female", orders[[#This Row],[Customer Gender]]="O","Other", TRUE,"Unknown")</f>
        <v>Female</v>
      </c>
    </row>
    <row r="1488" spans="1:15">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f t="array" ref="O1488">_xlfn.IFS(orders[[#This Row],[Customer Gender]]="M","Male", orders[[#This Row],[Customer Gender]]="F","Female", orders[[#This Row],[Customer Gender]]="O","Other", TRUE,"Unknown")</f>
        <v>Female</v>
      </c>
    </row>
    <row r="1489" spans="1:15">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f t="array" ref="O1489">_xlfn.IFS(orders[[#This Row],[Customer Gender]]="M","Male", orders[[#This Row],[Customer Gender]]="F","Female", orders[[#This Row],[Customer Gender]]="O","Other", TRUE,"Unknown")</f>
        <v>Female</v>
      </c>
    </row>
    <row r="1490" spans="1:15">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f t="array" ref="O1490">_xlfn.IFS(orders[[#This Row],[Customer Gender]]="M","Male", orders[[#This Row],[Customer Gender]]="F","Female", orders[[#This Row],[Customer Gender]]="O","Other", TRUE,"Unknown")</f>
        <v>Female</v>
      </c>
    </row>
    <row r="1491" spans="1:15">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f t="array" ref="O1491">_xlfn.IFS(orders[[#This Row],[Customer Gender]]="M","Male", orders[[#This Row],[Customer Gender]]="F","Female", orders[[#This Row],[Customer Gender]]="O","Other", TRUE,"Unknown")</f>
        <v>Male</v>
      </c>
    </row>
    <row r="1492" spans="1:15">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f t="array" ref="O1492">_xlfn.IFS(orders[[#This Row],[Customer Gender]]="M","Male", orders[[#This Row],[Customer Gender]]="F","Female", orders[[#This Row],[Customer Gender]]="O","Other", TRUE,"Unknown")</f>
        <v>Male</v>
      </c>
    </row>
    <row r="1493" spans="1:15">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f t="array" ref="O1493">_xlfn.IFS(orders[[#This Row],[Customer Gender]]="M","Male", orders[[#This Row],[Customer Gender]]="F","Female", orders[[#This Row],[Customer Gender]]="O","Other", TRUE,"Unknown")</f>
        <v>Female</v>
      </c>
    </row>
    <row r="1494" spans="1:15">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f t="array" ref="O1494">_xlfn.IFS(orders[[#This Row],[Customer Gender]]="M","Male", orders[[#This Row],[Customer Gender]]="F","Female", orders[[#This Row],[Customer Gender]]="O","Other", TRUE,"Unknown")</f>
        <v>Male</v>
      </c>
    </row>
    <row r="1495" spans="1:15">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f t="array" ref="O1495">_xlfn.IFS(orders[[#This Row],[Customer Gender]]="M","Male", orders[[#This Row],[Customer Gender]]="F","Female", orders[[#This Row],[Customer Gender]]="O","Other", TRUE,"Unknown")</f>
        <v>Unknown</v>
      </c>
    </row>
    <row r="1496" spans="1:15">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f t="array" ref="O1496">_xlfn.IFS(orders[[#This Row],[Customer Gender]]="M","Male", orders[[#This Row],[Customer Gender]]="F","Female", orders[[#This Row],[Customer Gender]]="O","Other", TRUE,"Unknown")</f>
        <v>Female</v>
      </c>
    </row>
    <row r="1497" spans="1:15">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f t="array" ref="O1497">_xlfn.IFS(orders[[#This Row],[Customer Gender]]="M","Male", orders[[#This Row],[Customer Gender]]="F","Female", orders[[#This Row],[Customer Gender]]="O","Other", TRUE,"Unknown")</f>
        <v>Male</v>
      </c>
    </row>
    <row r="1498" spans="1:15">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f t="array" ref="O1498">_xlfn.IFS(orders[[#This Row],[Customer Gender]]="M","Male", orders[[#This Row],[Customer Gender]]="F","Female", orders[[#This Row],[Customer Gender]]="O","Other", TRUE,"Unknown")</f>
        <v>Female</v>
      </c>
    </row>
    <row r="1499" spans="1:15">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f t="array" ref="O1499">_xlfn.IFS(orders[[#This Row],[Customer Gender]]="M","Male", orders[[#This Row],[Customer Gender]]="F","Female", orders[[#This Row],[Customer Gender]]="O","Other", TRUE,"Unknown")</f>
        <v>Unknown</v>
      </c>
    </row>
    <row r="1500" spans="1:15">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f t="array" ref="O1500">_xlfn.IFS(orders[[#This Row],[Customer Gender]]="M","Male", orders[[#This Row],[Customer Gender]]="F","Female", orders[[#This Row],[Customer Gender]]="O","Other", TRUE,"Unknown")</f>
        <v>Male</v>
      </c>
    </row>
    <row r="1501" spans="1:15">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f t="array" ref="O1501">_xlfn.IFS(orders[[#This Row],[Customer Gender]]="M","Male", orders[[#This Row],[Customer Gender]]="F","Female", orders[[#This Row],[Customer Gender]]="O","Other", TRUE,"Unknown")</f>
        <v>Female</v>
      </c>
    </row>
    <row r="1502" spans="1:15">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f t="array" ref="O1502">_xlfn.IFS(orders[[#This Row],[Customer Gender]]="M","Male", orders[[#This Row],[Customer Gender]]="F","Female", orders[[#This Row],[Customer Gender]]="O","Other", TRUE,"Unknown")</f>
        <v>Female</v>
      </c>
    </row>
    <row r="1503" spans="1:15">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f t="array" ref="O1503">_xlfn.IFS(orders[[#This Row],[Customer Gender]]="M","Male", orders[[#This Row],[Customer Gender]]="F","Female", orders[[#This Row],[Customer Gender]]="O","Other", TRUE,"Unknown")</f>
        <v>Female</v>
      </c>
    </row>
    <row r="1504" spans="1:15">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f t="array" ref="O1504">_xlfn.IFS(orders[[#This Row],[Customer Gender]]="M","Male", orders[[#This Row],[Customer Gender]]="F","Female", orders[[#This Row],[Customer Gender]]="O","Other", TRUE,"Unknown")</f>
        <v>Female</v>
      </c>
    </row>
    <row r="1505" spans="1:15">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f t="array" ref="O1505">_xlfn.IFS(orders[[#This Row],[Customer Gender]]="M","Male", orders[[#This Row],[Customer Gender]]="F","Female", orders[[#This Row],[Customer Gender]]="O","Other", TRUE,"Unknown")</f>
        <v>Male</v>
      </c>
    </row>
    <row r="1506" spans="1:15">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f t="array" ref="O1506">_xlfn.IFS(orders[[#This Row],[Customer Gender]]="M","Male", orders[[#This Row],[Customer Gender]]="F","Female", orders[[#This Row],[Customer Gender]]="O","Other", TRUE,"Unknown")</f>
        <v>Female</v>
      </c>
    </row>
    <row r="1507" spans="1:15">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f t="array" ref="O1507">_xlfn.IFS(orders[[#This Row],[Customer Gender]]="M","Male", orders[[#This Row],[Customer Gender]]="F","Female", orders[[#This Row],[Customer Gender]]="O","Other", TRUE,"Unknown")</f>
        <v>Male</v>
      </c>
    </row>
    <row r="1508" spans="1:15">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f t="array" ref="O1508">_xlfn.IFS(orders[[#This Row],[Customer Gender]]="M","Male", orders[[#This Row],[Customer Gender]]="F","Female", orders[[#This Row],[Customer Gender]]="O","Other", TRUE,"Unknown")</f>
        <v>Male</v>
      </c>
    </row>
    <row r="1509" spans="1:15">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f t="array" ref="O1509">_xlfn.IFS(orders[[#This Row],[Customer Gender]]="M","Male", orders[[#This Row],[Customer Gender]]="F","Female", orders[[#This Row],[Customer Gender]]="O","Other", TRUE,"Unknown")</f>
        <v>Male</v>
      </c>
    </row>
    <row r="1510" spans="1:15">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f t="array" ref="O1510">_xlfn.IFS(orders[[#This Row],[Customer Gender]]="M","Male", orders[[#This Row],[Customer Gender]]="F","Female", orders[[#This Row],[Customer Gender]]="O","Other", TRUE,"Unknown")</f>
        <v>Male</v>
      </c>
    </row>
    <row r="1511" spans="1:15">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f t="array" ref="O1511">_xlfn.IFS(orders[[#This Row],[Customer Gender]]="M","Male", orders[[#This Row],[Customer Gender]]="F","Female", orders[[#This Row],[Customer Gender]]="O","Other", TRUE,"Unknown")</f>
        <v>Male</v>
      </c>
    </row>
    <row r="1512" spans="1:15">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f t="array" ref="O1512">_xlfn.IFS(orders[[#This Row],[Customer Gender]]="M","Male", orders[[#This Row],[Customer Gender]]="F","Female", orders[[#This Row],[Customer Gender]]="O","Other", TRUE,"Unknown")</f>
        <v>Male</v>
      </c>
    </row>
    <row r="1513" spans="1:15">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f t="array" ref="O1513">_xlfn.IFS(orders[[#This Row],[Customer Gender]]="M","Male", orders[[#This Row],[Customer Gender]]="F","Female", orders[[#This Row],[Customer Gender]]="O","Other", TRUE,"Unknown")</f>
        <v>Female</v>
      </c>
    </row>
    <row r="1514" spans="1:15">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f t="array" ref="O1514">_xlfn.IFS(orders[[#This Row],[Customer Gender]]="M","Male", orders[[#This Row],[Customer Gender]]="F","Female", orders[[#This Row],[Customer Gender]]="O","Other", TRUE,"Unknown")</f>
        <v>Female</v>
      </c>
    </row>
    <row r="1515" spans="1:15">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f t="array" ref="O1515">_xlfn.IFS(orders[[#This Row],[Customer Gender]]="M","Male", orders[[#This Row],[Customer Gender]]="F","Female", orders[[#This Row],[Customer Gender]]="O","Other", TRUE,"Unknown")</f>
        <v>Female</v>
      </c>
    </row>
    <row r="1516" spans="1:15">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f t="array" ref="O1516">_xlfn.IFS(orders[[#This Row],[Customer Gender]]="M","Male", orders[[#This Row],[Customer Gender]]="F","Female", orders[[#This Row],[Customer Gender]]="O","Other", TRUE,"Unknown")</f>
        <v>Female</v>
      </c>
    </row>
    <row r="1517" spans="1:15">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f t="array" ref="O1517">_xlfn.IFS(orders[[#This Row],[Customer Gender]]="M","Male", orders[[#This Row],[Customer Gender]]="F","Female", orders[[#This Row],[Customer Gender]]="O","Other", TRUE,"Unknown")</f>
        <v>Female</v>
      </c>
    </row>
    <row r="1518" spans="1:15">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f t="array" ref="O1518">_xlfn.IFS(orders[[#This Row],[Customer Gender]]="M","Male", orders[[#This Row],[Customer Gender]]="F","Female", orders[[#This Row],[Customer Gender]]="O","Other", TRUE,"Unknown")</f>
        <v>Male</v>
      </c>
    </row>
    <row r="1519" spans="1:15">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f t="array" ref="O1519">_xlfn.IFS(orders[[#This Row],[Customer Gender]]="M","Male", orders[[#This Row],[Customer Gender]]="F","Female", orders[[#This Row],[Customer Gender]]="O","Other", TRUE,"Unknown")</f>
        <v>Female</v>
      </c>
    </row>
    <row r="1520" spans="1:15">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f t="array" ref="O1520">_xlfn.IFS(orders[[#This Row],[Customer Gender]]="M","Male", orders[[#This Row],[Customer Gender]]="F","Female", orders[[#This Row],[Customer Gender]]="O","Other", TRUE,"Unknown")</f>
        <v>Male</v>
      </c>
    </row>
    <row r="1521" spans="1:15">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f t="array" ref="O1521">_xlfn.IFS(orders[[#This Row],[Customer Gender]]="M","Male", orders[[#This Row],[Customer Gender]]="F","Female", orders[[#This Row],[Customer Gender]]="O","Other", TRUE,"Unknown")</f>
        <v>Female</v>
      </c>
    </row>
    <row r="1522" spans="1:15">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f t="array" ref="O1522">_xlfn.IFS(orders[[#This Row],[Customer Gender]]="M","Male", orders[[#This Row],[Customer Gender]]="F","Female", orders[[#This Row],[Customer Gender]]="O","Other", TRUE,"Unknown")</f>
        <v>Male</v>
      </c>
    </row>
    <row r="1523" spans="1:15">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f t="array" ref="O1523">_xlfn.IFS(orders[[#This Row],[Customer Gender]]="M","Male", orders[[#This Row],[Customer Gender]]="F","Female", orders[[#This Row],[Customer Gender]]="O","Other", TRUE,"Unknown")</f>
        <v>Male</v>
      </c>
    </row>
    <row r="1524" spans="1:15">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f t="array" ref="O1524">_xlfn.IFS(orders[[#This Row],[Customer Gender]]="M","Male", orders[[#This Row],[Customer Gender]]="F","Female", orders[[#This Row],[Customer Gender]]="O","Other", TRUE,"Unknown")</f>
        <v>Female</v>
      </c>
    </row>
    <row r="1525" spans="1:15">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f t="array" ref="O1525">_xlfn.IFS(orders[[#This Row],[Customer Gender]]="M","Male", orders[[#This Row],[Customer Gender]]="F","Female", orders[[#This Row],[Customer Gender]]="O","Other", TRUE,"Unknown")</f>
        <v>Unknown</v>
      </c>
    </row>
    <row r="1526" spans="1:15">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f t="array" ref="O1526">_xlfn.IFS(orders[[#This Row],[Customer Gender]]="M","Male", orders[[#This Row],[Customer Gender]]="F","Female", orders[[#This Row],[Customer Gender]]="O","Other", TRUE,"Unknown")</f>
        <v>Unknown</v>
      </c>
    </row>
    <row r="1527" spans="1:15">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f t="array" ref="O1527">_xlfn.IFS(orders[[#This Row],[Customer Gender]]="M","Male", orders[[#This Row],[Customer Gender]]="F","Female", orders[[#This Row],[Customer Gender]]="O","Other", TRUE,"Unknown")</f>
        <v>Male</v>
      </c>
    </row>
    <row r="1528" spans="1:15">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f t="array" ref="O1528">_xlfn.IFS(orders[[#This Row],[Customer Gender]]="M","Male", orders[[#This Row],[Customer Gender]]="F","Female", orders[[#This Row],[Customer Gender]]="O","Other", TRUE,"Unknown")</f>
        <v>Male</v>
      </c>
    </row>
    <row r="1529" spans="1:15">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f t="array" ref="O1529">_xlfn.IFS(orders[[#This Row],[Customer Gender]]="M","Male", orders[[#This Row],[Customer Gender]]="F","Female", orders[[#This Row],[Customer Gender]]="O","Other", TRUE,"Unknown")</f>
        <v>Male</v>
      </c>
    </row>
    <row r="1530" spans="1:15">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f t="array" ref="O1530">_xlfn.IFS(orders[[#This Row],[Customer Gender]]="M","Male", orders[[#This Row],[Customer Gender]]="F","Female", orders[[#This Row],[Customer Gender]]="O","Other", TRUE,"Unknown")</f>
        <v>Unknown</v>
      </c>
    </row>
    <row r="1531" spans="1:15">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f t="array" ref="O1531">_xlfn.IFS(orders[[#This Row],[Customer Gender]]="M","Male", orders[[#This Row],[Customer Gender]]="F","Female", orders[[#This Row],[Customer Gender]]="O","Other", TRUE,"Unknown")</f>
        <v>Male</v>
      </c>
    </row>
    <row r="1532" spans="1:15">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f t="array" ref="O1532">_xlfn.IFS(orders[[#This Row],[Customer Gender]]="M","Male", orders[[#This Row],[Customer Gender]]="F","Female", orders[[#This Row],[Customer Gender]]="O","Other", TRUE,"Unknown")</f>
        <v>Unknown</v>
      </c>
    </row>
    <row r="1533" spans="1:15">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f t="array" ref="O1533">_xlfn.IFS(orders[[#This Row],[Customer Gender]]="M","Male", orders[[#This Row],[Customer Gender]]="F","Female", orders[[#This Row],[Customer Gender]]="O","Other", TRUE,"Unknown")</f>
        <v>Male</v>
      </c>
    </row>
    <row r="1534" spans="1:15">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f t="array" ref="O1534">_xlfn.IFS(orders[[#This Row],[Customer Gender]]="M","Male", orders[[#This Row],[Customer Gender]]="F","Female", orders[[#This Row],[Customer Gender]]="O","Other", TRUE,"Unknown")</f>
        <v>Unknown</v>
      </c>
    </row>
    <row r="1535" spans="1:15">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f t="array" ref="O1535">_xlfn.IFS(orders[[#This Row],[Customer Gender]]="M","Male", orders[[#This Row],[Customer Gender]]="F","Female", orders[[#This Row],[Customer Gender]]="O","Other", TRUE,"Unknown")</f>
        <v>Female</v>
      </c>
    </row>
    <row r="1536" spans="1:15">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f t="array" ref="O1536">_xlfn.IFS(orders[[#This Row],[Customer Gender]]="M","Male", orders[[#This Row],[Customer Gender]]="F","Female", orders[[#This Row],[Customer Gender]]="O","Other", TRUE,"Unknown")</f>
        <v>Female</v>
      </c>
    </row>
    <row r="1537" spans="1:15">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f t="array" ref="O1537">_xlfn.IFS(orders[[#This Row],[Customer Gender]]="M","Male", orders[[#This Row],[Customer Gender]]="F","Female", orders[[#This Row],[Customer Gender]]="O","Other", TRUE,"Unknown")</f>
        <v>Male</v>
      </c>
    </row>
    <row r="1538" spans="1:15">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f t="array" ref="O1538">_xlfn.IFS(orders[[#This Row],[Customer Gender]]="M","Male", orders[[#This Row],[Customer Gender]]="F","Female", orders[[#This Row],[Customer Gender]]="O","Other", TRUE,"Unknown")</f>
        <v>Male</v>
      </c>
    </row>
    <row r="1539" spans="1:15">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f t="array" ref="O1539">_xlfn.IFS(orders[[#This Row],[Customer Gender]]="M","Male", orders[[#This Row],[Customer Gender]]="F","Female", orders[[#This Row],[Customer Gender]]="O","Other", TRUE,"Unknown")</f>
        <v>Female</v>
      </c>
    </row>
    <row r="1540" spans="1:15">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f t="array" ref="O1540">_xlfn.IFS(orders[[#This Row],[Customer Gender]]="M","Male", orders[[#This Row],[Customer Gender]]="F","Female", orders[[#This Row],[Customer Gender]]="O","Other", TRUE,"Unknown")</f>
        <v>Female</v>
      </c>
    </row>
    <row r="1541" spans="1:15">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f t="array" ref="O1541">_xlfn.IFS(orders[[#This Row],[Customer Gender]]="M","Male", orders[[#This Row],[Customer Gender]]="F","Female", orders[[#This Row],[Customer Gender]]="O","Other", TRUE,"Unknown")</f>
        <v>Female</v>
      </c>
    </row>
    <row r="1542" spans="1:15">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f t="array" ref="O1542">_xlfn.IFS(orders[[#This Row],[Customer Gender]]="M","Male", orders[[#This Row],[Customer Gender]]="F","Female", orders[[#This Row],[Customer Gender]]="O","Other", TRUE,"Unknown")</f>
        <v>Male</v>
      </c>
    </row>
    <row r="1543" spans="1:15">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f t="array" ref="O1543">_xlfn.IFS(orders[[#This Row],[Customer Gender]]="M","Male", orders[[#This Row],[Customer Gender]]="F","Female", orders[[#This Row],[Customer Gender]]="O","Other", TRUE,"Unknown")</f>
        <v>Male</v>
      </c>
    </row>
    <row r="1544" spans="1:15">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f t="array" ref="O1544">_xlfn.IFS(orders[[#This Row],[Customer Gender]]="M","Male", orders[[#This Row],[Customer Gender]]="F","Female", orders[[#This Row],[Customer Gender]]="O","Other", TRUE,"Unknown")</f>
        <v>Male</v>
      </c>
    </row>
    <row r="1545" spans="1:15">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f t="array" ref="O1545">_xlfn.IFS(orders[[#This Row],[Customer Gender]]="M","Male", orders[[#This Row],[Customer Gender]]="F","Female", orders[[#This Row],[Customer Gender]]="O","Other", TRUE,"Unknown")</f>
        <v>Female</v>
      </c>
    </row>
    <row r="1546" spans="1:15">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f t="array" ref="O1546">_xlfn.IFS(orders[[#This Row],[Customer Gender]]="M","Male", orders[[#This Row],[Customer Gender]]="F","Female", orders[[#This Row],[Customer Gender]]="O","Other", TRUE,"Unknown")</f>
        <v>Female</v>
      </c>
    </row>
    <row r="1547" spans="1:15">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f t="array" ref="O1547">_xlfn.IFS(orders[[#This Row],[Customer Gender]]="M","Male", orders[[#This Row],[Customer Gender]]="F","Female", orders[[#This Row],[Customer Gender]]="O","Other", TRUE,"Unknown")</f>
        <v>Female</v>
      </c>
    </row>
    <row r="1548" spans="1:15">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f t="array" ref="O1548">_xlfn.IFS(orders[[#This Row],[Customer Gender]]="M","Male", orders[[#This Row],[Customer Gender]]="F","Female", orders[[#This Row],[Customer Gender]]="O","Other", TRUE,"Unknown")</f>
        <v>Female</v>
      </c>
    </row>
    <row r="1549" spans="1:15">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f t="array" ref="O1549">_xlfn.IFS(orders[[#This Row],[Customer Gender]]="M","Male", orders[[#This Row],[Customer Gender]]="F","Female", orders[[#This Row],[Customer Gender]]="O","Other", TRUE,"Unknown")</f>
        <v>Female</v>
      </c>
    </row>
    <row r="1550" spans="1:15">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f t="array" ref="O1550">_xlfn.IFS(orders[[#This Row],[Customer Gender]]="M","Male", orders[[#This Row],[Customer Gender]]="F","Female", orders[[#This Row],[Customer Gender]]="O","Other", TRUE,"Unknown")</f>
        <v>Female</v>
      </c>
    </row>
    <row r="1551" spans="1:15">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f t="array" ref="O1551">_xlfn.IFS(orders[[#This Row],[Customer Gender]]="M","Male", orders[[#This Row],[Customer Gender]]="F","Female", orders[[#This Row],[Customer Gender]]="O","Other", TRUE,"Unknown")</f>
        <v>Male</v>
      </c>
    </row>
    <row r="1552" spans="1:15">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f t="array" ref="O1552">_xlfn.IFS(orders[[#This Row],[Customer Gender]]="M","Male", orders[[#This Row],[Customer Gender]]="F","Female", orders[[#This Row],[Customer Gender]]="O","Other", TRUE,"Unknown")</f>
        <v>Male</v>
      </c>
    </row>
    <row r="1553" spans="1:15">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f t="array" ref="O1553">_xlfn.IFS(orders[[#This Row],[Customer Gender]]="M","Male", orders[[#This Row],[Customer Gender]]="F","Female", orders[[#This Row],[Customer Gender]]="O","Other", TRUE,"Unknown")</f>
        <v>Male</v>
      </c>
    </row>
    <row r="1554" spans="1:15">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f t="array" ref="O1554">_xlfn.IFS(orders[[#This Row],[Customer Gender]]="M","Male", orders[[#This Row],[Customer Gender]]="F","Female", orders[[#This Row],[Customer Gender]]="O","Other", TRUE,"Unknown")</f>
        <v>Male</v>
      </c>
    </row>
    <row r="1555" spans="1:15">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f t="array" ref="O1555">_xlfn.IFS(orders[[#This Row],[Customer Gender]]="M","Male", orders[[#This Row],[Customer Gender]]="F","Female", orders[[#This Row],[Customer Gender]]="O","Other", TRUE,"Unknown")</f>
        <v>Female</v>
      </c>
    </row>
    <row r="1556" spans="1:15">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f t="array" ref="O1556">_xlfn.IFS(orders[[#This Row],[Customer Gender]]="M","Male", orders[[#This Row],[Customer Gender]]="F","Female", orders[[#This Row],[Customer Gender]]="O","Other", TRUE,"Unknown")</f>
        <v>Female</v>
      </c>
    </row>
    <row r="1557" spans="1:15">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f t="array" ref="O1557">_xlfn.IFS(orders[[#This Row],[Customer Gender]]="M","Male", orders[[#This Row],[Customer Gender]]="F","Female", orders[[#This Row],[Customer Gender]]="O","Other", TRUE,"Unknown")</f>
        <v>Unknown</v>
      </c>
    </row>
    <row r="1558" spans="1:15">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f t="array" ref="O1558">_xlfn.IFS(orders[[#This Row],[Customer Gender]]="M","Male", orders[[#This Row],[Customer Gender]]="F","Female", orders[[#This Row],[Customer Gender]]="O","Other", TRUE,"Unknown")</f>
        <v>Male</v>
      </c>
    </row>
    <row r="1559" spans="1:15">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f t="array" ref="O1559">_xlfn.IFS(orders[[#This Row],[Customer Gender]]="M","Male", orders[[#This Row],[Customer Gender]]="F","Female", orders[[#This Row],[Customer Gender]]="O","Other", TRUE,"Unknown")</f>
        <v>Male</v>
      </c>
    </row>
    <row r="1560" spans="1:15">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f t="array" ref="O1560">_xlfn.IFS(orders[[#This Row],[Customer Gender]]="M","Male", orders[[#This Row],[Customer Gender]]="F","Female", orders[[#This Row],[Customer Gender]]="O","Other", TRUE,"Unknown")</f>
        <v>Other</v>
      </c>
    </row>
    <row r="1561" spans="1:15">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f t="array" ref="O1561">_xlfn.IFS(orders[[#This Row],[Customer Gender]]="M","Male", orders[[#This Row],[Customer Gender]]="F","Female", orders[[#This Row],[Customer Gender]]="O","Other", TRUE,"Unknown")</f>
        <v>Female</v>
      </c>
    </row>
    <row r="1562" spans="1:15">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f t="array" ref="O1562">_xlfn.IFS(orders[[#This Row],[Customer Gender]]="M","Male", orders[[#This Row],[Customer Gender]]="F","Female", orders[[#This Row],[Customer Gender]]="O","Other", TRUE,"Unknown")</f>
        <v>Female</v>
      </c>
    </row>
    <row r="1563" spans="1:15">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f t="array" ref="O1563">_xlfn.IFS(orders[[#This Row],[Customer Gender]]="M","Male", orders[[#This Row],[Customer Gender]]="F","Female", orders[[#This Row],[Customer Gender]]="O","Other", TRUE,"Unknown")</f>
        <v>Other</v>
      </c>
    </row>
    <row r="1564" spans="1:15">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f t="array" ref="O1564">_xlfn.IFS(orders[[#This Row],[Customer Gender]]="M","Male", orders[[#This Row],[Customer Gender]]="F","Female", orders[[#This Row],[Customer Gender]]="O","Other", TRUE,"Unknown")</f>
        <v>Female</v>
      </c>
    </row>
    <row r="1565" spans="1:15">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f t="array" ref="O1565">_xlfn.IFS(orders[[#This Row],[Customer Gender]]="M","Male", orders[[#This Row],[Customer Gender]]="F","Female", orders[[#This Row],[Customer Gender]]="O","Other", TRUE,"Unknown")</f>
        <v>Female</v>
      </c>
    </row>
    <row r="1566" spans="1:15">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f t="array" ref="O1566">_xlfn.IFS(orders[[#This Row],[Customer Gender]]="M","Male", orders[[#This Row],[Customer Gender]]="F","Female", orders[[#This Row],[Customer Gender]]="O","Other", TRUE,"Unknown")</f>
        <v>Male</v>
      </c>
    </row>
    <row r="1567" spans="1:15">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f t="array" ref="O1567">_xlfn.IFS(orders[[#This Row],[Customer Gender]]="M","Male", orders[[#This Row],[Customer Gender]]="F","Female", orders[[#This Row],[Customer Gender]]="O","Other", TRUE,"Unknown")</f>
        <v>Male</v>
      </c>
    </row>
    <row r="1568" spans="1:15">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f t="array" ref="O1568">_xlfn.IFS(orders[[#This Row],[Customer Gender]]="M","Male", orders[[#This Row],[Customer Gender]]="F","Female", orders[[#This Row],[Customer Gender]]="O","Other", TRUE,"Unknown")</f>
        <v>Female</v>
      </c>
    </row>
    <row r="1569" spans="1:15">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f t="array" ref="O1569">_xlfn.IFS(orders[[#This Row],[Customer Gender]]="M","Male", orders[[#This Row],[Customer Gender]]="F","Female", orders[[#This Row],[Customer Gender]]="O","Other", TRUE,"Unknown")</f>
        <v>Male</v>
      </c>
    </row>
    <row r="1570" spans="1:15">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f t="array" ref="O1570">_xlfn.IFS(orders[[#This Row],[Customer Gender]]="M","Male", orders[[#This Row],[Customer Gender]]="F","Female", orders[[#This Row],[Customer Gender]]="O","Other", TRUE,"Unknown")</f>
        <v>Female</v>
      </c>
    </row>
    <row r="1571" spans="1:15">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f t="array" ref="O1571">_xlfn.IFS(orders[[#This Row],[Customer Gender]]="M","Male", orders[[#This Row],[Customer Gender]]="F","Female", orders[[#This Row],[Customer Gender]]="O","Other", TRUE,"Unknown")</f>
        <v>Male</v>
      </c>
    </row>
    <row r="1572" spans="1:15">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f t="array" ref="O1572">_xlfn.IFS(orders[[#This Row],[Customer Gender]]="M","Male", orders[[#This Row],[Customer Gender]]="F","Female", orders[[#This Row],[Customer Gender]]="O","Other", TRUE,"Unknown")</f>
        <v>Male</v>
      </c>
    </row>
    <row r="1573" spans="1:15">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f t="array" ref="O1573">_xlfn.IFS(orders[[#This Row],[Customer Gender]]="M","Male", orders[[#This Row],[Customer Gender]]="F","Female", orders[[#This Row],[Customer Gender]]="O","Other", TRUE,"Unknown")</f>
        <v>Male</v>
      </c>
    </row>
    <row r="1574" spans="1:15">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f t="array" ref="O1574">_xlfn.IFS(orders[[#This Row],[Customer Gender]]="M","Male", orders[[#This Row],[Customer Gender]]="F","Female", orders[[#This Row],[Customer Gender]]="O","Other", TRUE,"Unknown")</f>
        <v>Female</v>
      </c>
    </row>
    <row r="1575" spans="1:15">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f t="array" ref="O1575">_xlfn.IFS(orders[[#This Row],[Customer Gender]]="M","Male", orders[[#This Row],[Customer Gender]]="F","Female", orders[[#This Row],[Customer Gender]]="O","Other", TRUE,"Unknown")</f>
        <v>Female</v>
      </c>
    </row>
    <row r="1576" spans="1:15">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f t="array" ref="O1576">_xlfn.IFS(orders[[#This Row],[Customer Gender]]="M","Male", orders[[#This Row],[Customer Gender]]="F","Female", orders[[#This Row],[Customer Gender]]="O","Other", TRUE,"Unknown")</f>
        <v>Female</v>
      </c>
    </row>
    <row r="1577" spans="1:15">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f t="array" ref="O1577">_xlfn.IFS(orders[[#This Row],[Customer Gender]]="M","Male", orders[[#This Row],[Customer Gender]]="F","Female", orders[[#This Row],[Customer Gender]]="O","Other", TRUE,"Unknown")</f>
        <v>Female</v>
      </c>
    </row>
    <row r="1578" spans="1:15">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f t="array" ref="O1578">_xlfn.IFS(orders[[#This Row],[Customer Gender]]="M","Male", orders[[#This Row],[Customer Gender]]="F","Female", orders[[#This Row],[Customer Gender]]="O","Other", TRUE,"Unknown")</f>
        <v>Female</v>
      </c>
    </row>
    <row r="1579" spans="1:15">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f t="array" ref="O1579">_xlfn.IFS(orders[[#This Row],[Customer Gender]]="M","Male", orders[[#This Row],[Customer Gender]]="F","Female", orders[[#This Row],[Customer Gender]]="O","Other", TRUE,"Unknown")</f>
        <v>Female</v>
      </c>
    </row>
    <row r="1580" spans="1:15">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f t="array" ref="O1580">_xlfn.IFS(orders[[#This Row],[Customer Gender]]="M","Male", orders[[#This Row],[Customer Gender]]="F","Female", orders[[#This Row],[Customer Gender]]="O","Other", TRUE,"Unknown")</f>
        <v>Female</v>
      </c>
    </row>
    <row r="1581" spans="1:15">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f t="array" ref="O1581">_xlfn.IFS(orders[[#This Row],[Customer Gender]]="M","Male", orders[[#This Row],[Customer Gender]]="F","Female", orders[[#This Row],[Customer Gender]]="O","Other", TRUE,"Unknown")</f>
        <v>Female</v>
      </c>
    </row>
    <row r="1582" spans="1:15">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f t="array" ref="O1582">_xlfn.IFS(orders[[#This Row],[Customer Gender]]="M","Male", orders[[#This Row],[Customer Gender]]="F","Female", orders[[#This Row],[Customer Gender]]="O","Other", TRUE,"Unknown")</f>
        <v>Male</v>
      </c>
    </row>
    <row r="1583" spans="1:15">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f t="array" ref="O1583">_xlfn.IFS(orders[[#This Row],[Customer Gender]]="M","Male", orders[[#This Row],[Customer Gender]]="F","Female", orders[[#This Row],[Customer Gender]]="O","Other", TRUE,"Unknown")</f>
        <v>Female</v>
      </c>
    </row>
    <row r="1584" spans="1:15">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f t="array" ref="O1584">_xlfn.IFS(orders[[#This Row],[Customer Gender]]="M","Male", orders[[#This Row],[Customer Gender]]="F","Female", orders[[#This Row],[Customer Gender]]="O","Other", TRUE,"Unknown")</f>
        <v>Male</v>
      </c>
    </row>
    <row r="1585" spans="1:15">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f t="array" ref="O1585">_xlfn.IFS(orders[[#This Row],[Customer Gender]]="M","Male", orders[[#This Row],[Customer Gender]]="F","Female", orders[[#This Row],[Customer Gender]]="O","Other", TRUE,"Unknown")</f>
        <v>Female</v>
      </c>
    </row>
    <row r="1586" spans="1:15">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f t="array" ref="O1586">_xlfn.IFS(orders[[#This Row],[Customer Gender]]="M","Male", orders[[#This Row],[Customer Gender]]="F","Female", orders[[#This Row],[Customer Gender]]="O","Other", TRUE,"Unknown")</f>
        <v>Unknown</v>
      </c>
    </row>
    <row r="1587" spans="1:15">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f t="array" ref="O1587">_xlfn.IFS(orders[[#This Row],[Customer Gender]]="M","Male", orders[[#This Row],[Customer Gender]]="F","Female", orders[[#This Row],[Customer Gender]]="O","Other", TRUE,"Unknown")</f>
        <v>Male</v>
      </c>
    </row>
    <row r="1588" spans="1:15">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f t="array" ref="O1588">_xlfn.IFS(orders[[#This Row],[Customer Gender]]="M","Male", orders[[#This Row],[Customer Gender]]="F","Female", orders[[#This Row],[Customer Gender]]="O","Other", TRUE,"Unknown")</f>
        <v>Female</v>
      </c>
    </row>
    <row r="1589" spans="1:15">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f t="array" ref="O1589">_xlfn.IFS(orders[[#This Row],[Customer Gender]]="M","Male", orders[[#This Row],[Customer Gender]]="F","Female", orders[[#This Row],[Customer Gender]]="O","Other", TRUE,"Unknown")</f>
        <v>Male</v>
      </c>
    </row>
    <row r="1590" spans="1:15">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f t="array" ref="O1590">_xlfn.IFS(orders[[#This Row],[Customer Gender]]="M","Male", orders[[#This Row],[Customer Gender]]="F","Female", orders[[#This Row],[Customer Gender]]="O","Other", TRUE,"Unknown")</f>
        <v>Other</v>
      </c>
    </row>
    <row r="1591" spans="1:15">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f t="array" ref="O1591">_xlfn.IFS(orders[[#This Row],[Customer Gender]]="M","Male", orders[[#This Row],[Customer Gender]]="F","Female", orders[[#This Row],[Customer Gender]]="O","Other", TRUE,"Unknown")</f>
        <v>Female</v>
      </c>
    </row>
    <row r="1592" spans="1:15">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f t="array" ref="O1592">_xlfn.IFS(orders[[#This Row],[Customer Gender]]="M","Male", orders[[#This Row],[Customer Gender]]="F","Female", orders[[#This Row],[Customer Gender]]="O","Other", TRUE,"Unknown")</f>
        <v>Female</v>
      </c>
    </row>
    <row r="1593" spans="1:15">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f t="array" ref="O1593">_xlfn.IFS(orders[[#This Row],[Customer Gender]]="M","Male", orders[[#This Row],[Customer Gender]]="F","Female", orders[[#This Row],[Customer Gender]]="O","Other", TRUE,"Unknown")</f>
        <v>Female</v>
      </c>
    </row>
    <row r="1594" spans="1:15">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f t="array" ref="O1594">_xlfn.IFS(orders[[#This Row],[Customer Gender]]="M","Male", orders[[#This Row],[Customer Gender]]="F","Female", orders[[#This Row],[Customer Gender]]="O","Other", TRUE,"Unknown")</f>
        <v>Female</v>
      </c>
    </row>
    <row r="1595" spans="1:15">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f t="array" ref="O1595">_xlfn.IFS(orders[[#This Row],[Customer Gender]]="M","Male", orders[[#This Row],[Customer Gender]]="F","Female", orders[[#This Row],[Customer Gender]]="O","Other", TRUE,"Unknown")</f>
        <v>Male</v>
      </c>
    </row>
    <row r="1596" spans="1:15">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f t="array" ref="O1596">_xlfn.IFS(orders[[#This Row],[Customer Gender]]="M","Male", orders[[#This Row],[Customer Gender]]="F","Female", orders[[#This Row],[Customer Gender]]="O","Other", TRUE,"Unknown")</f>
        <v>Female</v>
      </c>
    </row>
    <row r="1597" spans="1:15">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f t="array" ref="O1597">_xlfn.IFS(orders[[#This Row],[Customer Gender]]="M","Male", orders[[#This Row],[Customer Gender]]="F","Female", orders[[#This Row],[Customer Gender]]="O","Other", TRUE,"Unknown")</f>
        <v>Male</v>
      </c>
    </row>
    <row r="1598" spans="1:15">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f t="array" ref="O1598">_xlfn.IFS(orders[[#This Row],[Customer Gender]]="M","Male", orders[[#This Row],[Customer Gender]]="F","Female", orders[[#This Row],[Customer Gender]]="O","Other", TRUE,"Unknown")</f>
        <v>Unknown</v>
      </c>
    </row>
    <row r="1599" spans="1:15">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f t="array" ref="O1599">_xlfn.IFS(orders[[#This Row],[Customer Gender]]="M","Male", orders[[#This Row],[Customer Gender]]="F","Female", orders[[#This Row],[Customer Gender]]="O","Other", TRUE,"Unknown")</f>
        <v>Female</v>
      </c>
    </row>
    <row r="1600" spans="1:15">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f t="array" ref="O1600">_xlfn.IFS(orders[[#This Row],[Customer Gender]]="M","Male", orders[[#This Row],[Customer Gender]]="F","Female", orders[[#This Row],[Customer Gender]]="O","Other", TRUE,"Unknown")</f>
        <v>Female</v>
      </c>
    </row>
    <row r="1601" spans="1:15">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f t="array" ref="O1601">_xlfn.IFS(orders[[#This Row],[Customer Gender]]="M","Male", orders[[#This Row],[Customer Gender]]="F","Female", orders[[#This Row],[Customer Gender]]="O","Other", TRUE,"Unknown")</f>
        <v>Female</v>
      </c>
    </row>
    <row r="1602" spans="1:15">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f t="array" ref="O1602">_xlfn.IFS(orders[[#This Row],[Customer Gender]]="M","Male", orders[[#This Row],[Customer Gender]]="F","Female", orders[[#This Row],[Customer Gender]]="O","Other", TRUE,"Unknown")</f>
        <v>Male</v>
      </c>
    </row>
    <row r="1603" spans="1:15">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f t="array" ref="O1603">_xlfn.IFS(orders[[#This Row],[Customer Gender]]="M","Male", orders[[#This Row],[Customer Gender]]="F","Female", orders[[#This Row],[Customer Gender]]="O","Other", TRUE,"Unknown")</f>
        <v>Male</v>
      </c>
    </row>
    <row r="1604" spans="1:15">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f t="array" ref="O1604">_xlfn.IFS(orders[[#This Row],[Customer Gender]]="M","Male", orders[[#This Row],[Customer Gender]]="F","Female", orders[[#This Row],[Customer Gender]]="O","Other", TRUE,"Unknown")</f>
        <v>Female</v>
      </c>
    </row>
    <row r="1605" spans="1:15">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f t="array" ref="O1605">_xlfn.IFS(orders[[#This Row],[Customer Gender]]="M","Male", orders[[#This Row],[Customer Gender]]="F","Female", orders[[#This Row],[Customer Gender]]="O","Other", TRUE,"Unknown")</f>
        <v>Male</v>
      </c>
    </row>
    <row r="1606" spans="1:15">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f t="array" ref="O1606">_xlfn.IFS(orders[[#This Row],[Customer Gender]]="M","Male", orders[[#This Row],[Customer Gender]]="F","Female", orders[[#This Row],[Customer Gender]]="O","Other", TRUE,"Unknown")</f>
        <v>Male</v>
      </c>
    </row>
    <row r="1607" spans="1:15">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f t="array" ref="O1607">_xlfn.IFS(orders[[#This Row],[Customer Gender]]="M","Male", orders[[#This Row],[Customer Gender]]="F","Female", orders[[#This Row],[Customer Gender]]="O","Other", TRUE,"Unknown")</f>
        <v>Male</v>
      </c>
    </row>
    <row r="1608" spans="1:15">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f t="array" ref="O1608">_xlfn.IFS(orders[[#This Row],[Customer Gender]]="M","Male", orders[[#This Row],[Customer Gender]]="F","Female", orders[[#This Row],[Customer Gender]]="O","Other", TRUE,"Unknown")</f>
        <v>Female</v>
      </c>
    </row>
    <row r="1609" spans="1:15">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f t="array" ref="O1609">_xlfn.IFS(orders[[#This Row],[Customer Gender]]="M","Male", orders[[#This Row],[Customer Gender]]="F","Female", orders[[#This Row],[Customer Gender]]="O","Other", TRUE,"Unknown")</f>
        <v>Female</v>
      </c>
    </row>
    <row r="1610" spans="1:15">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f t="array" ref="O1610">_xlfn.IFS(orders[[#This Row],[Customer Gender]]="M","Male", orders[[#This Row],[Customer Gender]]="F","Female", orders[[#This Row],[Customer Gender]]="O","Other", TRUE,"Unknown")</f>
        <v>Male</v>
      </c>
    </row>
    <row r="1611" spans="1:15">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f t="array" ref="O1611">_xlfn.IFS(orders[[#This Row],[Customer Gender]]="M","Male", orders[[#This Row],[Customer Gender]]="F","Female", orders[[#This Row],[Customer Gender]]="O","Other", TRUE,"Unknown")</f>
        <v>Male</v>
      </c>
    </row>
    <row r="1612" spans="1:15">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f t="array" ref="O1612">_xlfn.IFS(orders[[#This Row],[Customer Gender]]="M","Male", orders[[#This Row],[Customer Gender]]="F","Female", orders[[#This Row],[Customer Gender]]="O","Other", TRUE,"Unknown")</f>
        <v>Male</v>
      </c>
    </row>
    <row r="1613" spans="1:15">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f t="array" ref="O1613">_xlfn.IFS(orders[[#This Row],[Customer Gender]]="M","Male", orders[[#This Row],[Customer Gender]]="F","Female", orders[[#This Row],[Customer Gender]]="O","Other", TRUE,"Unknown")</f>
        <v>Male</v>
      </c>
    </row>
    <row r="1614" spans="1:15">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f t="array" ref="O1614">_xlfn.IFS(orders[[#This Row],[Customer Gender]]="M","Male", orders[[#This Row],[Customer Gender]]="F","Female", orders[[#This Row],[Customer Gender]]="O","Other", TRUE,"Unknown")</f>
        <v>Female</v>
      </c>
    </row>
    <row r="1615" spans="1:15">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f t="array" ref="O1615">_xlfn.IFS(orders[[#This Row],[Customer Gender]]="M","Male", orders[[#This Row],[Customer Gender]]="F","Female", orders[[#This Row],[Customer Gender]]="O","Other", TRUE,"Unknown")</f>
        <v>Female</v>
      </c>
    </row>
    <row r="1616" spans="1:15">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f t="array" ref="O1616">_xlfn.IFS(orders[[#This Row],[Customer Gender]]="M","Male", orders[[#This Row],[Customer Gender]]="F","Female", orders[[#This Row],[Customer Gender]]="O","Other", TRUE,"Unknown")</f>
        <v>Female</v>
      </c>
    </row>
    <row r="1617" spans="1:15">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f t="array" ref="O1617">_xlfn.IFS(orders[[#This Row],[Customer Gender]]="M","Male", orders[[#This Row],[Customer Gender]]="F","Female", orders[[#This Row],[Customer Gender]]="O","Other", TRUE,"Unknown")</f>
        <v>Female</v>
      </c>
    </row>
    <row r="1618" spans="1:15">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f t="array" ref="O1618">_xlfn.IFS(orders[[#This Row],[Customer Gender]]="M","Male", orders[[#This Row],[Customer Gender]]="F","Female", orders[[#This Row],[Customer Gender]]="O","Other", TRUE,"Unknown")</f>
        <v>Female</v>
      </c>
    </row>
    <row r="1619" spans="1:15">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f t="array" ref="O1619">_xlfn.IFS(orders[[#This Row],[Customer Gender]]="M","Male", orders[[#This Row],[Customer Gender]]="F","Female", orders[[#This Row],[Customer Gender]]="O","Other", TRUE,"Unknown")</f>
        <v>Other</v>
      </c>
    </row>
    <row r="1620" spans="1:15">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f t="array" ref="O1620">_xlfn.IFS(orders[[#This Row],[Customer Gender]]="M","Male", orders[[#This Row],[Customer Gender]]="F","Female", orders[[#This Row],[Customer Gender]]="O","Other", TRUE,"Unknown")</f>
        <v>Male</v>
      </c>
    </row>
    <row r="1621" spans="1:15">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f t="array" ref="O1621">_xlfn.IFS(orders[[#This Row],[Customer Gender]]="M","Male", orders[[#This Row],[Customer Gender]]="F","Female", orders[[#This Row],[Customer Gender]]="O","Other", TRUE,"Unknown")</f>
        <v>Female</v>
      </c>
    </row>
    <row r="1622" spans="1:15">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f t="array" ref="O1622">_xlfn.IFS(orders[[#This Row],[Customer Gender]]="M","Male", orders[[#This Row],[Customer Gender]]="F","Female", orders[[#This Row],[Customer Gender]]="O","Other", TRUE,"Unknown")</f>
        <v>Male</v>
      </c>
    </row>
    <row r="1623" spans="1:15">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f t="array" ref="O1623">_xlfn.IFS(orders[[#This Row],[Customer Gender]]="M","Male", orders[[#This Row],[Customer Gender]]="F","Female", orders[[#This Row],[Customer Gender]]="O","Other", TRUE,"Unknown")</f>
        <v>Male</v>
      </c>
    </row>
    <row r="1624" spans="1:15">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f t="array" ref="O1624">_xlfn.IFS(orders[[#This Row],[Customer Gender]]="M","Male", orders[[#This Row],[Customer Gender]]="F","Female", orders[[#This Row],[Customer Gender]]="O","Other", TRUE,"Unknown")</f>
        <v>Female</v>
      </c>
    </row>
    <row r="1625" spans="1:15">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f t="array" ref="O1625">_xlfn.IFS(orders[[#This Row],[Customer Gender]]="M","Male", orders[[#This Row],[Customer Gender]]="F","Female", orders[[#This Row],[Customer Gender]]="O","Other", TRUE,"Unknown")</f>
        <v>Other</v>
      </c>
    </row>
    <row r="1626" spans="1:15">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f t="array" ref="O1626">_xlfn.IFS(orders[[#This Row],[Customer Gender]]="M","Male", orders[[#This Row],[Customer Gender]]="F","Female", orders[[#This Row],[Customer Gender]]="O","Other", TRUE,"Unknown")</f>
        <v>Other</v>
      </c>
    </row>
    <row r="1627" spans="1:15">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f t="array" ref="O1627">_xlfn.IFS(orders[[#This Row],[Customer Gender]]="M","Male", orders[[#This Row],[Customer Gender]]="F","Female", orders[[#This Row],[Customer Gender]]="O","Other", TRUE,"Unknown")</f>
        <v>Female</v>
      </c>
    </row>
    <row r="1628" spans="1:15">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f t="array" ref="O1628">_xlfn.IFS(orders[[#This Row],[Customer Gender]]="M","Male", orders[[#This Row],[Customer Gender]]="F","Female", orders[[#This Row],[Customer Gender]]="O","Other", TRUE,"Unknown")</f>
        <v>Female</v>
      </c>
    </row>
    <row r="1629" spans="1:15">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f t="array" ref="O1629">_xlfn.IFS(orders[[#This Row],[Customer Gender]]="M","Male", orders[[#This Row],[Customer Gender]]="F","Female", orders[[#This Row],[Customer Gender]]="O","Other", TRUE,"Unknown")</f>
        <v>Male</v>
      </c>
    </row>
    <row r="1630" spans="1:15">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f t="array" ref="O1630">_xlfn.IFS(orders[[#This Row],[Customer Gender]]="M","Male", orders[[#This Row],[Customer Gender]]="F","Female", orders[[#This Row],[Customer Gender]]="O","Other", TRUE,"Unknown")</f>
        <v>Male</v>
      </c>
    </row>
    <row r="1631" spans="1:15">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f t="array" ref="O1631">_xlfn.IFS(orders[[#This Row],[Customer Gender]]="M","Male", orders[[#This Row],[Customer Gender]]="F","Female", orders[[#This Row],[Customer Gender]]="O","Other", TRUE,"Unknown")</f>
        <v>Female</v>
      </c>
    </row>
    <row r="1632" spans="1:15">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f t="array" ref="O1632">_xlfn.IFS(orders[[#This Row],[Customer Gender]]="M","Male", orders[[#This Row],[Customer Gender]]="F","Female", orders[[#This Row],[Customer Gender]]="O","Other", TRUE,"Unknown")</f>
        <v>Female</v>
      </c>
    </row>
    <row r="1633" spans="1:15">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f t="array" ref="O1633">_xlfn.IFS(orders[[#This Row],[Customer Gender]]="M","Male", orders[[#This Row],[Customer Gender]]="F","Female", orders[[#This Row],[Customer Gender]]="O","Other", TRUE,"Unknown")</f>
        <v>Female</v>
      </c>
    </row>
    <row r="1634" spans="1:15">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f t="array" ref="O1634">_xlfn.IFS(orders[[#This Row],[Customer Gender]]="M","Male", orders[[#This Row],[Customer Gender]]="F","Female", orders[[#This Row],[Customer Gender]]="O","Other", TRUE,"Unknown")</f>
        <v>Female</v>
      </c>
    </row>
    <row r="1635" spans="1:15">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f t="array" ref="O1635">_xlfn.IFS(orders[[#This Row],[Customer Gender]]="M","Male", orders[[#This Row],[Customer Gender]]="F","Female", orders[[#This Row],[Customer Gender]]="O","Other", TRUE,"Unknown")</f>
        <v>Unknown</v>
      </c>
    </row>
    <row r="1636" spans="1:15">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f t="array" ref="O1636">_xlfn.IFS(orders[[#This Row],[Customer Gender]]="M","Male", orders[[#This Row],[Customer Gender]]="F","Female", orders[[#This Row],[Customer Gender]]="O","Other", TRUE,"Unknown")</f>
        <v>Male</v>
      </c>
    </row>
    <row r="1637" spans="1:15">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f t="array" ref="O1637">_xlfn.IFS(orders[[#This Row],[Customer Gender]]="M","Male", orders[[#This Row],[Customer Gender]]="F","Female", orders[[#This Row],[Customer Gender]]="O","Other", TRUE,"Unknown")</f>
        <v>Male</v>
      </c>
    </row>
    <row r="1638" spans="1:15">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f t="array" ref="O1638">_xlfn.IFS(orders[[#This Row],[Customer Gender]]="M","Male", orders[[#This Row],[Customer Gender]]="F","Female", orders[[#This Row],[Customer Gender]]="O","Other", TRUE,"Unknown")</f>
        <v>Male</v>
      </c>
    </row>
    <row r="1639" spans="1:15">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f t="array" ref="O1639">_xlfn.IFS(orders[[#This Row],[Customer Gender]]="M","Male", orders[[#This Row],[Customer Gender]]="F","Female", orders[[#This Row],[Customer Gender]]="O","Other", TRUE,"Unknown")</f>
        <v>Other</v>
      </c>
    </row>
    <row r="1640" spans="1:15">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f t="array" ref="O1640">_xlfn.IFS(orders[[#This Row],[Customer Gender]]="M","Male", orders[[#This Row],[Customer Gender]]="F","Female", orders[[#This Row],[Customer Gender]]="O","Other", TRUE,"Unknown")</f>
        <v>Male</v>
      </c>
    </row>
    <row r="1641" spans="1:15">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f t="array" ref="O1641">_xlfn.IFS(orders[[#This Row],[Customer Gender]]="M","Male", orders[[#This Row],[Customer Gender]]="F","Female", orders[[#This Row],[Customer Gender]]="O","Other", TRUE,"Unknown")</f>
        <v>Male</v>
      </c>
    </row>
    <row r="1642" spans="1:15">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f t="array" ref="O1642">_xlfn.IFS(orders[[#This Row],[Customer Gender]]="M","Male", orders[[#This Row],[Customer Gender]]="F","Female", orders[[#This Row],[Customer Gender]]="O","Other", TRUE,"Unknown")</f>
        <v>Male</v>
      </c>
    </row>
    <row r="1643" spans="1:15">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f t="array" ref="O1643">_xlfn.IFS(orders[[#This Row],[Customer Gender]]="M","Male", orders[[#This Row],[Customer Gender]]="F","Female", orders[[#This Row],[Customer Gender]]="O","Other", TRUE,"Unknown")</f>
        <v>Female</v>
      </c>
    </row>
    <row r="1644" spans="1:15">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f t="array" ref="O1644">_xlfn.IFS(orders[[#This Row],[Customer Gender]]="M","Male", orders[[#This Row],[Customer Gender]]="F","Female", orders[[#This Row],[Customer Gender]]="O","Other", TRUE,"Unknown")</f>
        <v>Male</v>
      </c>
    </row>
    <row r="1645" spans="1:15">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f t="array" ref="O1645">_xlfn.IFS(orders[[#This Row],[Customer Gender]]="M","Male", orders[[#This Row],[Customer Gender]]="F","Female", orders[[#This Row],[Customer Gender]]="O","Other", TRUE,"Unknown")</f>
        <v>Male</v>
      </c>
    </row>
    <row r="1646" spans="1:15">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f t="array" ref="O1646">_xlfn.IFS(orders[[#This Row],[Customer Gender]]="M","Male", orders[[#This Row],[Customer Gender]]="F","Female", orders[[#This Row],[Customer Gender]]="O","Other", TRUE,"Unknown")</f>
        <v>Male</v>
      </c>
    </row>
    <row r="1647" spans="1:15">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f t="array" ref="O1647">_xlfn.IFS(orders[[#This Row],[Customer Gender]]="M","Male", orders[[#This Row],[Customer Gender]]="F","Female", orders[[#This Row],[Customer Gender]]="O","Other", TRUE,"Unknown")</f>
        <v>Male</v>
      </c>
    </row>
    <row r="1648" spans="1:15">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f t="array" ref="O1648">_xlfn.IFS(orders[[#This Row],[Customer Gender]]="M","Male", orders[[#This Row],[Customer Gender]]="F","Female", orders[[#This Row],[Customer Gender]]="O","Other", TRUE,"Unknown")</f>
        <v>Male</v>
      </c>
    </row>
    <row r="1649" spans="1:15">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f t="array" ref="O1649">_xlfn.IFS(orders[[#This Row],[Customer Gender]]="M","Male", orders[[#This Row],[Customer Gender]]="F","Female", orders[[#This Row],[Customer Gender]]="O","Other", TRUE,"Unknown")</f>
        <v>Male</v>
      </c>
    </row>
    <row r="1650" spans="1:15">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f t="array" ref="O1650">_xlfn.IFS(orders[[#This Row],[Customer Gender]]="M","Male", orders[[#This Row],[Customer Gender]]="F","Female", orders[[#This Row],[Customer Gender]]="O","Other", TRUE,"Unknown")</f>
        <v>Female</v>
      </c>
    </row>
    <row r="1651" spans="1:15">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f t="array" ref="O1651">_xlfn.IFS(orders[[#This Row],[Customer Gender]]="M","Male", orders[[#This Row],[Customer Gender]]="F","Female", orders[[#This Row],[Customer Gender]]="O","Other", TRUE,"Unknown")</f>
        <v>Female</v>
      </c>
    </row>
    <row r="1652" spans="1:15">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f t="array" ref="O1652">_xlfn.IFS(orders[[#This Row],[Customer Gender]]="M","Male", orders[[#This Row],[Customer Gender]]="F","Female", orders[[#This Row],[Customer Gender]]="O","Other", TRUE,"Unknown")</f>
        <v>Female</v>
      </c>
    </row>
    <row r="1653" spans="1:15">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f t="array" ref="O1653">_xlfn.IFS(orders[[#This Row],[Customer Gender]]="M","Male", orders[[#This Row],[Customer Gender]]="F","Female", orders[[#This Row],[Customer Gender]]="O","Other", TRUE,"Unknown")</f>
        <v>Female</v>
      </c>
    </row>
    <row r="1654" spans="1:15">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f t="array" ref="O1654">_xlfn.IFS(orders[[#This Row],[Customer Gender]]="M","Male", orders[[#This Row],[Customer Gender]]="F","Female", orders[[#This Row],[Customer Gender]]="O","Other", TRUE,"Unknown")</f>
        <v>Male</v>
      </c>
    </row>
    <row r="1655" spans="1:15">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f t="array" ref="O1655">_xlfn.IFS(orders[[#This Row],[Customer Gender]]="M","Male", orders[[#This Row],[Customer Gender]]="F","Female", orders[[#This Row],[Customer Gender]]="O","Other", TRUE,"Unknown")</f>
        <v>Female</v>
      </c>
    </row>
    <row r="1656" spans="1:15">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f t="array" ref="O1656">_xlfn.IFS(orders[[#This Row],[Customer Gender]]="M","Male", orders[[#This Row],[Customer Gender]]="F","Female", orders[[#This Row],[Customer Gender]]="O","Other", TRUE,"Unknown")</f>
        <v>Male</v>
      </c>
    </row>
    <row r="1657" spans="1:15">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f t="array" ref="O1657">_xlfn.IFS(orders[[#This Row],[Customer Gender]]="M","Male", orders[[#This Row],[Customer Gender]]="F","Female", orders[[#This Row],[Customer Gender]]="O","Other", TRUE,"Unknown")</f>
        <v>Female</v>
      </c>
    </row>
    <row r="1658" spans="1:15">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f t="array" ref="O1658">_xlfn.IFS(orders[[#This Row],[Customer Gender]]="M","Male", orders[[#This Row],[Customer Gender]]="F","Female", orders[[#This Row],[Customer Gender]]="O","Other", TRUE,"Unknown")</f>
        <v>Male</v>
      </c>
    </row>
    <row r="1659" spans="1:15">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f t="array" ref="O1659">_xlfn.IFS(orders[[#This Row],[Customer Gender]]="M","Male", orders[[#This Row],[Customer Gender]]="F","Female", orders[[#This Row],[Customer Gender]]="O","Other", TRUE,"Unknown")</f>
        <v>Female</v>
      </c>
    </row>
    <row r="1660" spans="1:15">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f t="array" ref="O1660">_xlfn.IFS(orders[[#This Row],[Customer Gender]]="M","Male", orders[[#This Row],[Customer Gender]]="F","Female", orders[[#This Row],[Customer Gender]]="O","Other", TRUE,"Unknown")</f>
        <v>Male</v>
      </c>
    </row>
    <row r="1661" spans="1:15">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f t="array" ref="O1661">_xlfn.IFS(orders[[#This Row],[Customer Gender]]="M","Male", orders[[#This Row],[Customer Gender]]="F","Female", orders[[#This Row],[Customer Gender]]="O","Other", TRUE,"Unknown")</f>
        <v>Female</v>
      </c>
    </row>
    <row r="1662" spans="1:15">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f t="array" ref="O1662">_xlfn.IFS(orders[[#This Row],[Customer Gender]]="M","Male", orders[[#This Row],[Customer Gender]]="F","Female", orders[[#This Row],[Customer Gender]]="O","Other", TRUE,"Unknown")</f>
        <v>Female</v>
      </c>
    </row>
    <row r="1663" spans="1:15">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f t="array" ref="O1663">_xlfn.IFS(orders[[#This Row],[Customer Gender]]="M","Male", orders[[#This Row],[Customer Gender]]="F","Female", orders[[#This Row],[Customer Gender]]="O","Other", TRUE,"Unknown")</f>
        <v>Male</v>
      </c>
    </row>
    <row r="1664" spans="1:15">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f t="array" ref="O1664">_xlfn.IFS(orders[[#This Row],[Customer Gender]]="M","Male", orders[[#This Row],[Customer Gender]]="F","Female", orders[[#This Row],[Customer Gender]]="O","Other", TRUE,"Unknown")</f>
        <v>Male</v>
      </c>
    </row>
    <row r="1665" spans="1:15">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f t="array" ref="O1665">_xlfn.IFS(orders[[#This Row],[Customer Gender]]="M","Male", orders[[#This Row],[Customer Gender]]="F","Female", orders[[#This Row],[Customer Gender]]="O","Other", TRUE,"Unknown")</f>
        <v>Female</v>
      </c>
    </row>
    <row r="1666" spans="1:15">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f t="array" ref="O1666">_xlfn.IFS(orders[[#This Row],[Customer Gender]]="M","Male", orders[[#This Row],[Customer Gender]]="F","Female", orders[[#This Row],[Customer Gender]]="O","Other", TRUE,"Unknown")</f>
        <v>Female</v>
      </c>
    </row>
    <row r="1667" spans="1:15">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f t="array" ref="O1667">_xlfn.IFS(orders[[#This Row],[Customer Gender]]="M","Male", orders[[#This Row],[Customer Gender]]="F","Female", orders[[#This Row],[Customer Gender]]="O","Other", TRUE,"Unknown")</f>
        <v>Female</v>
      </c>
    </row>
    <row r="1668" spans="1:15">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f t="array" ref="O1668">_xlfn.IFS(orders[[#This Row],[Customer Gender]]="M","Male", orders[[#This Row],[Customer Gender]]="F","Female", orders[[#This Row],[Customer Gender]]="O","Other", TRUE,"Unknown")</f>
        <v>Female</v>
      </c>
    </row>
    <row r="1669" spans="1:15">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f t="array" ref="O1669">_xlfn.IFS(orders[[#This Row],[Customer Gender]]="M","Male", orders[[#This Row],[Customer Gender]]="F","Female", orders[[#This Row],[Customer Gender]]="O","Other", TRUE,"Unknown")</f>
        <v>Female</v>
      </c>
    </row>
    <row r="1670" spans="1:15">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f t="array" ref="O1670">_xlfn.IFS(orders[[#This Row],[Customer Gender]]="M","Male", orders[[#This Row],[Customer Gender]]="F","Female", orders[[#This Row],[Customer Gender]]="O","Other", TRUE,"Unknown")</f>
        <v>Male</v>
      </c>
    </row>
    <row r="1671" spans="1:15">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f t="array" ref="O1671">_xlfn.IFS(orders[[#This Row],[Customer Gender]]="M","Male", orders[[#This Row],[Customer Gender]]="F","Female", orders[[#This Row],[Customer Gender]]="O","Other", TRUE,"Unknown")</f>
        <v>Male</v>
      </c>
    </row>
    <row r="1672" spans="1:15">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f t="array" ref="O1672">_xlfn.IFS(orders[[#This Row],[Customer Gender]]="M","Male", orders[[#This Row],[Customer Gender]]="F","Female", orders[[#This Row],[Customer Gender]]="O","Other", TRUE,"Unknown")</f>
        <v>Female</v>
      </c>
    </row>
    <row r="1673" spans="1:15">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f t="array" ref="O1673">_xlfn.IFS(orders[[#This Row],[Customer Gender]]="M","Male", orders[[#This Row],[Customer Gender]]="F","Female", orders[[#This Row],[Customer Gender]]="O","Other", TRUE,"Unknown")</f>
        <v>Male</v>
      </c>
    </row>
    <row r="1674" spans="1:15">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f t="array" ref="O1674">_xlfn.IFS(orders[[#This Row],[Customer Gender]]="M","Male", orders[[#This Row],[Customer Gender]]="F","Female", orders[[#This Row],[Customer Gender]]="O","Other", TRUE,"Unknown")</f>
        <v>Female</v>
      </c>
    </row>
    <row r="1675" spans="1:15">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f t="array" ref="O1675">_xlfn.IFS(orders[[#This Row],[Customer Gender]]="M","Male", orders[[#This Row],[Customer Gender]]="F","Female", orders[[#This Row],[Customer Gender]]="O","Other", TRUE,"Unknown")</f>
        <v>Female</v>
      </c>
    </row>
    <row r="1676" spans="1:15">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f t="array" ref="O1676">_xlfn.IFS(orders[[#This Row],[Customer Gender]]="M","Male", orders[[#This Row],[Customer Gender]]="F","Female", orders[[#This Row],[Customer Gender]]="O","Other", TRUE,"Unknown")</f>
        <v>Female</v>
      </c>
    </row>
    <row r="1677" spans="1:15">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f t="array" ref="O1677">_xlfn.IFS(orders[[#This Row],[Customer Gender]]="M","Male", orders[[#This Row],[Customer Gender]]="F","Female", orders[[#This Row],[Customer Gender]]="O","Other", TRUE,"Unknown")</f>
        <v>Female</v>
      </c>
    </row>
    <row r="1678" spans="1:15">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f t="array" ref="O1678">_xlfn.IFS(orders[[#This Row],[Customer Gender]]="M","Male", orders[[#This Row],[Customer Gender]]="F","Female", orders[[#This Row],[Customer Gender]]="O","Other", TRUE,"Unknown")</f>
        <v>Female</v>
      </c>
    </row>
    <row r="1679" spans="1:15">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f t="array" ref="O1679">_xlfn.IFS(orders[[#This Row],[Customer Gender]]="M","Male", orders[[#This Row],[Customer Gender]]="F","Female", orders[[#This Row],[Customer Gender]]="O","Other", TRUE,"Unknown")</f>
        <v>Other</v>
      </c>
    </row>
    <row r="1680" spans="1:15">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f t="array" ref="O1680">_xlfn.IFS(orders[[#This Row],[Customer Gender]]="M","Male", orders[[#This Row],[Customer Gender]]="F","Female", orders[[#This Row],[Customer Gender]]="O","Other", TRUE,"Unknown")</f>
        <v>Female</v>
      </c>
    </row>
    <row r="1681" spans="1:15">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f t="array" ref="O1681">_xlfn.IFS(orders[[#This Row],[Customer Gender]]="M","Male", orders[[#This Row],[Customer Gender]]="F","Female", orders[[#This Row],[Customer Gender]]="O","Other", TRUE,"Unknown")</f>
        <v>Female</v>
      </c>
    </row>
    <row r="1682" spans="1:15">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f t="array" ref="O1682">_xlfn.IFS(orders[[#This Row],[Customer Gender]]="M","Male", orders[[#This Row],[Customer Gender]]="F","Female", orders[[#This Row],[Customer Gender]]="O","Other", TRUE,"Unknown")</f>
        <v>Male</v>
      </c>
    </row>
    <row r="1683" spans="1:15">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f t="array" ref="O1683">_xlfn.IFS(orders[[#This Row],[Customer Gender]]="M","Male", orders[[#This Row],[Customer Gender]]="F","Female", orders[[#This Row],[Customer Gender]]="O","Other", TRUE,"Unknown")</f>
        <v>Female</v>
      </c>
    </row>
    <row r="1684" spans="1:15">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f t="array" ref="O1684">_xlfn.IFS(orders[[#This Row],[Customer Gender]]="M","Male", orders[[#This Row],[Customer Gender]]="F","Female", orders[[#This Row],[Customer Gender]]="O","Other", TRUE,"Unknown")</f>
        <v>Male</v>
      </c>
    </row>
    <row r="1685" spans="1:15">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f t="array" ref="O1685">_xlfn.IFS(orders[[#This Row],[Customer Gender]]="M","Male", orders[[#This Row],[Customer Gender]]="F","Female", orders[[#This Row],[Customer Gender]]="O","Other", TRUE,"Unknown")</f>
        <v>Female</v>
      </c>
    </row>
    <row r="1686" spans="1:15">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f t="array" ref="O1686">_xlfn.IFS(orders[[#This Row],[Customer Gender]]="M","Male", orders[[#This Row],[Customer Gender]]="F","Female", orders[[#This Row],[Customer Gender]]="O","Other", TRUE,"Unknown")</f>
        <v>Female</v>
      </c>
    </row>
    <row r="1687" spans="1:15">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f t="array" ref="O1687">_xlfn.IFS(orders[[#This Row],[Customer Gender]]="M","Male", orders[[#This Row],[Customer Gender]]="F","Female", orders[[#This Row],[Customer Gender]]="O","Other", TRUE,"Unknown")</f>
        <v>Unknown</v>
      </c>
    </row>
    <row r="1688" spans="1:15">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f t="array" ref="O1688">_xlfn.IFS(orders[[#This Row],[Customer Gender]]="M","Male", orders[[#This Row],[Customer Gender]]="F","Female", orders[[#This Row],[Customer Gender]]="O","Other", TRUE,"Unknown")</f>
        <v>Female</v>
      </c>
    </row>
    <row r="1689" spans="1:15">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f t="array" ref="O1689">_xlfn.IFS(orders[[#This Row],[Customer Gender]]="M","Male", orders[[#This Row],[Customer Gender]]="F","Female", orders[[#This Row],[Customer Gender]]="O","Other", TRUE,"Unknown")</f>
        <v>Female</v>
      </c>
    </row>
    <row r="1690" spans="1:15">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f t="array" ref="O1690">_xlfn.IFS(orders[[#This Row],[Customer Gender]]="M","Male", orders[[#This Row],[Customer Gender]]="F","Female", orders[[#This Row],[Customer Gender]]="O","Other", TRUE,"Unknown")</f>
        <v>Female</v>
      </c>
    </row>
    <row r="1691" spans="1:15">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f t="array" ref="O1691">_xlfn.IFS(orders[[#This Row],[Customer Gender]]="M","Male", orders[[#This Row],[Customer Gender]]="F","Female", orders[[#This Row],[Customer Gender]]="O","Other", TRUE,"Unknown")</f>
        <v>Female</v>
      </c>
    </row>
    <row r="1692" spans="1:15">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f t="array" ref="O1692">_xlfn.IFS(orders[[#This Row],[Customer Gender]]="M","Male", orders[[#This Row],[Customer Gender]]="F","Female", orders[[#This Row],[Customer Gender]]="O","Other", TRUE,"Unknown")</f>
        <v>Female</v>
      </c>
    </row>
    <row r="1693" spans="1:15">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f t="array" ref="O1693">_xlfn.IFS(orders[[#This Row],[Customer Gender]]="M","Male", orders[[#This Row],[Customer Gender]]="F","Female", orders[[#This Row],[Customer Gender]]="O","Other", TRUE,"Unknown")</f>
        <v>Female</v>
      </c>
    </row>
    <row r="1694" spans="1:15">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f t="array" ref="O1694">_xlfn.IFS(orders[[#This Row],[Customer Gender]]="M","Male", orders[[#This Row],[Customer Gender]]="F","Female", orders[[#This Row],[Customer Gender]]="O","Other", TRUE,"Unknown")</f>
        <v>Male</v>
      </c>
    </row>
    <row r="1695" spans="1:15">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f t="array" ref="O1695">_xlfn.IFS(orders[[#This Row],[Customer Gender]]="M","Male", orders[[#This Row],[Customer Gender]]="F","Female", orders[[#This Row],[Customer Gender]]="O","Other", TRUE,"Unknown")</f>
        <v>Female</v>
      </c>
    </row>
    <row r="1696" spans="1:15">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f t="array" ref="O1696">_xlfn.IFS(orders[[#This Row],[Customer Gender]]="M","Male", orders[[#This Row],[Customer Gender]]="F","Female", orders[[#This Row],[Customer Gender]]="O","Other", TRUE,"Unknown")</f>
        <v>Female</v>
      </c>
    </row>
    <row r="1697" spans="1:15">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f t="array" ref="O1697">_xlfn.IFS(orders[[#This Row],[Customer Gender]]="M","Male", orders[[#This Row],[Customer Gender]]="F","Female", orders[[#This Row],[Customer Gender]]="O","Other", TRUE,"Unknown")</f>
        <v>Male</v>
      </c>
    </row>
    <row r="1698" spans="1:15">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f t="array" ref="O1698">_xlfn.IFS(orders[[#This Row],[Customer Gender]]="M","Male", orders[[#This Row],[Customer Gender]]="F","Female", orders[[#This Row],[Customer Gender]]="O","Other", TRUE,"Unknown")</f>
        <v>Female</v>
      </c>
    </row>
    <row r="1699" spans="1:15">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f t="array" ref="O1699">_xlfn.IFS(orders[[#This Row],[Customer Gender]]="M","Male", orders[[#This Row],[Customer Gender]]="F","Female", orders[[#This Row],[Customer Gender]]="O","Other", TRUE,"Unknown")</f>
        <v>Male</v>
      </c>
    </row>
    <row r="1700" spans="1:15">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f t="array" ref="O1700">_xlfn.IFS(orders[[#This Row],[Customer Gender]]="M","Male", orders[[#This Row],[Customer Gender]]="F","Female", orders[[#This Row],[Customer Gender]]="O","Other", TRUE,"Unknown")</f>
        <v>Female</v>
      </c>
    </row>
    <row r="1701" spans="1:15">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f t="array" ref="O1701">_xlfn.IFS(orders[[#This Row],[Customer Gender]]="M","Male", orders[[#This Row],[Customer Gender]]="F","Female", orders[[#This Row],[Customer Gender]]="O","Other", TRUE,"Unknown")</f>
        <v>Female</v>
      </c>
    </row>
    <row r="1702" spans="1:15">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f t="array" ref="O1702">_xlfn.IFS(orders[[#This Row],[Customer Gender]]="M","Male", orders[[#This Row],[Customer Gender]]="F","Female", orders[[#This Row],[Customer Gender]]="O","Other", TRUE,"Unknown")</f>
        <v>Female</v>
      </c>
    </row>
    <row r="1703" spans="1:15">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f t="array" ref="O1703">_xlfn.IFS(orders[[#This Row],[Customer Gender]]="M","Male", orders[[#This Row],[Customer Gender]]="F","Female", orders[[#This Row],[Customer Gender]]="O","Other", TRUE,"Unknown")</f>
        <v>Male</v>
      </c>
    </row>
    <row r="1704" spans="1:15">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f t="array" ref="O1704">_xlfn.IFS(orders[[#This Row],[Customer Gender]]="M","Male", orders[[#This Row],[Customer Gender]]="F","Female", orders[[#This Row],[Customer Gender]]="O","Other", TRUE,"Unknown")</f>
        <v>Male</v>
      </c>
    </row>
    <row r="1705" spans="1:15">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f t="array" ref="O1705">_xlfn.IFS(orders[[#This Row],[Customer Gender]]="M","Male", orders[[#This Row],[Customer Gender]]="F","Female", orders[[#This Row],[Customer Gender]]="O","Other", TRUE,"Unknown")</f>
        <v>Female</v>
      </c>
    </row>
    <row r="1706" spans="1:15">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f t="array" ref="O1706">_xlfn.IFS(orders[[#This Row],[Customer Gender]]="M","Male", orders[[#This Row],[Customer Gender]]="F","Female", orders[[#This Row],[Customer Gender]]="O","Other", TRUE,"Unknown")</f>
        <v>Female</v>
      </c>
    </row>
    <row r="1707" spans="1:15">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f t="array" ref="O1707">_xlfn.IFS(orders[[#This Row],[Customer Gender]]="M","Male", orders[[#This Row],[Customer Gender]]="F","Female", orders[[#This Row],[Customer Gender]]="O","Other", TRUE,"Unknown")</f>
        <v>Female</v>
      </c>
    </row>
    <row r="1708" spans="1:15">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f t="array" ref="O1708">_xlfn.IFS(orders[[#This Row],[Customer Gender]]="M","Male", orders[[#This Row],[Customer Gender]]="F","Female", orders[[#This Row],[Customer Gender]]="O","Other", TRUE,"Unknown")</f>
        <v>Male</v>
      </c>
    </row>
    <row r="1709" spans="1:15">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f t="array" ref="O1709">_xlfn.IFS(orders[[#This Row],[Customer Gender]]="M","Male", orders[[#This Row],[Customer Gender]]="F","Female", orders[[#This Row],[Customer Gender]]="O","Other", TRUE,"Unknown")</f>
        <v>Female</v>
      </c>
    </row>
    <row r="1710" spans="1:15">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f t="array" ref="O1710">_xlfn.IFS(orders[[#This Row],[Customer Gender]]="M","Male", orders[[#This Row],[Customer Gender]]="F","Female", orders[[#This Row],[Customer Gender]]="O","Other", TRUE,"Unknown")</f>
        <v>Female</v>
      </c>
    </row>
    <row r="1711" spans="1:15">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f t="array" ref="O1711">_xlfn.IFS(orders[[#This Row],[Customer Gender]]="M","Male", orders[[#This Row],[Customer Gender]]="F","Female", orders[[#This Row],[Customer Gender]]="O","Other", TRUE,"Unknown")</f>
        <v>Female</v>
      </c>
    </row>
    <row r="1712" spans="1:15">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f t="array" ref="O1712">_xlfn.IFS(orders[[#This Row],[Customer Gender]]="M","Male", orders[[#This Row],[Customer Gender]]="F","Female", orders[[#This Row],[Customer Gender]]="O","Other", TRUE,"Unknown")</f>
        <v>Male</v>
      </c>
    </row>
    <row r="1713" spans="1:15">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f t="array" ref="O1713">_xlfn.IFS(orders[[#This Row],[Customer Gender]]="M","Male", orders[[#This Row],[Customer Gender]]="F","Female", orders[[#This Row],[Customer Gender]]="O","Other", TRUE,"Unknown")</f>
        <v>Male</v>
      </c>
    </row>
    <row r="1714" spans="1:15">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f t="array" ref="O1714">_xlfn.IFS(orders[[#This Row],[Customer Gender]]="M","Male", orders[[#This Row],[Customer Gender]]="F","Female", orders[[#This Row],[Customer Gender]]="O","Other", TRUE,"Unknown")</f>
        <v>Female</v>
      </c>
    </row>
    <row r="1715" spans="1:15">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f t="array" ref="O1715">_xlfn.IFS(orders[[#This Row],[Customer Gender]]="M","Male", orders[[#This Row],[Customer Gender]]="F","Female", orders[[#This Row],[Customer Gender]]="O","Other", TRUE,"Unknown")</f>
        <v>Male</v>
      </c>
    </row>
    <row r="1716" spans="1:15">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f t="array" ref="O1716">_xlfn.IFS(orders[[#This Row],[Customer Gender]]="M","Male", orders[[#This Row],[Customer Gender]]="F","Female", orders[[#This Row],[Customer Gender]]="O","Other", TRUE,"Unknown")</f>
        <v>Female</v>
      </c>
    </row>
    <row r="1717" spans="1:15">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f t="array" ref="O1717">_xlfn.IFS(orders[[#This Row],[Customer Gender]]="M","Male", orders[[#This Row],[Customer Gender]]="F","Female", orders[[#This Row],[Customer Gender]]="O","Other", TRUE,"Unknown")</f>
        <v>Male</v>
      </c>
    </row>
    <row r="1718" spans="1:15">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f t="array" ref="O1718">_xlfn.IFS(orders[[#This Row],[Customer Gender]]="M","Male", orders[[#This Row],[Customer Gender]]="F","Female", orders[[#This Row],[Customer Gender]]="O","Other", TRUE,"Unknown")</f>
        <v>Female</v>
      </c>
    </row>
    <row r="1719" spans="1:15">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f t="array" ref="O1719">_xlfn.IFS(orders[[#This Row],[Customer Gender]]="M","Male", orders[[#This Row],[Customer Gender]]="F","Female", orders[[#This Row],[Customer Gender]]="O","Other", TRUE,"Unknown")</f>
        <v>Female</v>
      </c>
    </row>
    <row r="1720" spans="1:15">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f t="array" ref="O1720">_xlfn.IFS(orders[[#This Row],[Customer Gender]]="M","Male", orders[[#This Row],[Customer Gender]]="F","Female", orders[[#This Row],[Customer Gender]]="O","Other", TRUE,"Unknown")</f>
        <v>Female</v>
      </c>
    </row>
    <row r="1721" spans="1:15">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f t="array" ref="O1721">_xlfn.IFS(orders[[#This Row],[Customer Gender]]="M","Male", orders[[#This Row],[Customer Gender]]="F","Female", orders[[#This Row],[Customer Gender]]="O","Other", TRUE,"Unknown")</f>
        <v>Female</v>
      </c>
    </row>
    <row r="1722" spans="1:15">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f t="array" ref="O1722">_xlfn.IFS(orders[[#This Row],[Customer Gender]]="M","Male", orders[[#This Row],[Customer Gender]]="F","Female", orders[[#This Row],[Customer Gender]]="O","Other", TRUE,"Unknown")</f>
        <v>Female</v>
      </c>
    </row>
    <row r="1723" spans="1:15">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f t="array" ref="O1723">_xlfn.IFS(orders[[#This Row],[Customer Gender]]="M","Male", orders[[#This Row],[Customer Gender]]="F","Female", orders[[#This Row],[Customer Gender]]="O","Other", TRUE,"Unknown")</f>
        <v>Male</v>
      </c>
    </row>
    <row r="1724" spans="1:15">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f t="array" ref="O1724">_xlfn.IFS(orders[[#This Row],[Customer Gender]]="M","Male", orders[[#This Row],[Customer Gender]]="F","Female", orders[[#This Row],[Customer Gender]]="O","Other", TRUE,"Unknown")</f>
        <v>Female</v>
      </c>
    </row>
    <row r="1725" spans="1:15">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f t="array" ref="O1725">_xlfn.IFS(orders[[#This Row],[Customer Gender]]="M","Male", orders[[#This Row],[Customer Gender]]="F","Female", orders[[#This Row],[Customer Gender]]="O","Other", TRUE,"Unknown")</f>
        <v>Male</v>
      </c>
    </row>
    <row r="1726" spans="1:15">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f t="array" ref="O1726">_xlfn.IFS(orders[[#This Row],[Customer Gender]]="M","Male", orders[[#This Row],[Customer Gender]]="F","Female", orders[[#This Row],[Customer Gender]]="O","Other", TRUE,"Unknown")</f>
        <v>Female</v>
      </c>
    </row>
    <row r="1727" spans="1:15">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f t="array" ref="O1727">_xlfn.IFS(orders[[#This Row],[Customer Gender]]="M","Male", orders[[#This Row],[Customer Gender]]="F","Female", orders[[#This Row],[Customer Gender]]="O","Other", TRUE,"Unknown")</f>
        <v>Other</v>
      </c>
    </row>
    <row r="1728" spans="1:15">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f t="array" ref="O1728">_xlfn.IFS(orders[[#This Row],[Customer Gender]]="M","Male", orders[[#This Row],[Customer Gender]]="F","Female", orders[[#This Row],[Customer Gender]]="O","Other", TRUE,"Unknown")</f>
        <v>Male</v>
      </c>
    </row>
    <row r="1729" spans="1:15">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f t="array" ref="O1729">_xlfn.IFS(orders[[#This Row],[Customer Gender]]="M","Male", orders[[#This Row],[Customer Gender]]="F","Female", orders[[#This Row],[Customer Gender]]="O","Other", TRUE,"Unknown")</f>
        <v>Female</v>
      </c>
    </row>
    <row r="1730" spans="1:15">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f t="array" ref="O1730">_xlfn.IFS(orders[[#This Row],[Customer Gender]]="M","Male", orders[[#This Row],[Customer Gender]]="F","Female", orders[[#This Row],[Customer Gender]]="O","Other", TRUE,"Unknown")</f>
        <v>Unknown</v>
      </c>
    </row>
    <row r="1731" spans="1:15">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f t="array" ref="O1731">_xlfn.IFS(orders[[#This Row],[Customer Gender]]="M","Male", orders[[#This Row],[Customer Gender]]="F","Female", orders[[#This Row],[Customer Gender]]="O","Other", TRUE,"Unknown")</f>
        <v>Male</v>
      </c>
    </row>
    <row r="1732" spans="1:15">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f t="array" ref="O1732">_xlfn.IFS(orders[[#This Row],[Customer Gender]]="M","Male", orders[[#This Row],[Customer Gender]]="F","Female", orders[[#This Row],[Customer Gender]]="O","Other", TRUE,"Unknown")</f>
        <v>Female</v>
      </c>
    </row>
    <row r="1733" spans="1:15">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f t="array" ref="O1733">_xlfn.IFS(orders[[#This Row],[Customer Gender]]="M","Male", orders[[#This Row],[Customer Gender]]="F","Female", orders[[#This Row],[Customer Gender]]="O","Other", TRUE,"Unknown")</f>
        <v>Female</v>
      </c>
    </row>
    <row r="1734" spans="1:15">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f t="array" ref="O1734">_xlfn.IFS(orders[[#This Row],[Customer Gender]]="M","Male", orders[[#This Row],[Customer Gender]]="F","Female", orders[[#This Row],[Customer Gender]]="O","Other", TRUE,"Unknown")</f>
        <v>Female</v>
      </c>
    </row>
    <row r="1735" spans="1:15">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f t="array" ref="O1735">_xlfn.IFS(orders[[#This Row],[Customer Gender]]="M","Male", orders[[#This Row],[Customer Gender]]="F","Female", orders[[#This Row],[Customer Gender]]="O","Other", TRUE,"Unknown")</f>
        <v>Male</v>
      </c>
    </row>
    <row r="1736" spans="1:15">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f t="array" ref="O1736">_xlfn.IFS(orders[[#This Row],[Customer Gender]]="M","Male", orders[[#This Row],[Customer Gender]]="F","Female", orders[[#This Row],[Customer Gender]]="O","Other", TRUE,"Unknown")</f>
        <v>Male</v>
      </c>
    </row>
    <row r="1737" spans="1:15">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f t="array" ref="O1737">_xlfn.IFS(orders[[#This Row],[Customer Gender]]="M","Male", orders[[#This Row],[Customer Gender]]="F","Female", orders[[#This Row],[Customer Gender]]="O","Other", TRUE,"Unknown")</f>
        <v>Male</v>
      </c>
    </row>
    <row r="1738" spans="1:15">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f t="array" ref="O1738">_xlfn.IFS(orders[[#This Row],[Customer Gender]]="M","Male", orders[[#This Row],[Customer Gender]]="F","Female", orders[[#This Row],[Customer Gender]]="O","Other", TRUE,"Unknown")</f>
        <v>Female</v>
      </c>
    </row>
    <row r="1739" spans="1:15">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f t="array" ref="O1739">_xlfn.IFS(orders[[#This Row],[Customer Gender]]="M","Male", orders[[#This Row],[Customer Gender]]="F","Female", orders[[#This Row],[Customer Gender]]="O","Other", TRUE,"Unknown")</f>
        <v>Female</v>
      </c>
    </row>
    <row r="1740" spans="1:15">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f t="array" ref="O1740">_xlfn.IFS(orders[[#This Row],[Customer Gender]]="M","Male", orders[[#This Row],[Customer Gender]]="F","Female", orders[[#This Row],[Customer Gender]]="O","Other", TRUE,"Unknown")</f>
        <v>Other</v>
      </c>
    </row>
    <row r="1741" spans="1:15">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f t="array" ref="O1741">_xlfn.IFS(orders[[#This Row],[Customer Gender]]="M","Male", orders[[#This Row],[Customer Gender]]="F","Female", orders[[#This Row],[Customer Gender]]="O","Other", TRUE,"Unknown")</f>
        <v>Female</v>
      </c>
    </row>
    <row r="1742" spans="1:15">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f t="array" ref="O1742">_xlfn.IFS(orders[[#This Row],[Customer Gender]]="M","Male", orders[[#This Row],[Customer Gender]]="F","Female", orders[[#This Row],[Customer Gender]]="O","Other", TRUE,"Unknown")</f>
        <v>Male</v>
      </c>
    </row>
    <row r="1743" spans="1:15">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f t="array" ref="O1743">_xlfn.IFS(orders[[#This Row],[Customer Gender]]="M","Male", orders[[#This Row],[Customer Gender]]="F","Female", orders[[#This Row],[Customer Gender]]="O","Other", TRUE,"Unknown")</f>
        <v>Female</v>
      </c>
    </row>
    <row r="1744" spans="1:15">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f t="array" ref="O1744">_xlfn.IFS(orders[[#This Row],[Customer Gender]]="M","Male", orders[[#This Row],[Customer Gender]]="F","Female", orders[[#This Row],[Customer Gender]]="O","Other", TRUE,"Unknown")</f>
        <v>Male</v>
      </c>
    </row>
    <row r="1745" spans="1:15">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f t="array" ref="O1745">_xlfn.IFS(orders[[#This Row],[Customer Gender]]="M","Male", orders[[#This Row],[Customer Gender]]="F","Female", orders[[#This Row],[Customer Gender]]="O","Other", TRUE,"Unknown")</f>
        <v>Other</v>
      </c>
    </row>
    <row r="1746" spans="1:15">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f t="array" ref="O1746">_xlfn.IFS(orders[[#This Row],[Customer Gender]]="M","Male", orders[[#This Row],[Customer Gender]]="F","Female", orders[[#This Row],[Customer Gender]]="O","Other", TRUE,"Unknown")</f>
        <v>Male</v>
      </c>
    </row>
    <row r="1747" spans="1:15">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f t="array" ref="O1747">_xlfn.IFS(orders[[#This Row],[Customer Gender]]="M","Male", orders[[#This Row],[Customer Gender]]="F","Female", orders[[#This Row],[Customer Gender]]="O","Other", TRUE,"Unknown")</f>
        <v>Female</v>
      </c>
    </row>
    <row r="1748" spans="1:15">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f t="array" ref="O1748">_xlfn.IFS(orders[[#This Row],[Customer Gender]]="M","Male", orders[[#This Row],[Customer Gender]]="F","Female", orders[[#This Row],[Customer Gender]]="O","Other", TRUE,"Unknown")</f>
        <v>Female</v>
      </c>
    </row>
    <row r="1749" spans="1:15">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f t="array" ref="O1749">_xlfn.IFS(orders[[#This Row],[Customer Gender]]="M","Male", orders[[#This Row],[Customer Gender]]="F","Female", orders[[#This Row],[Customer Gender]]="O","Other", TRUE,"Unknown")</f>
        <v>Female</v>
      </c>
    </row>
    <row r="1750" spans="1:15">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f t="array" ref="O1750">_xlfn.IFS(orders[[#This Row],[Customer Gender]]="M","Male", orders[[#This Row],[Customer Gender]]="F","Female", orders[[#This Row],[Customer Gender]]="O","Other", TRUE,"Unknown")</f>
        <v>Male</v>
      </c>
    </row>
    <row r="1751" spans="1:15">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f t="array" ref="O1751">_xlfn.IFS(orders[[#This Row],[Customer Gender]]="M","Male", orders[[#This Row],[Customer Gender]]="F","Female", orders[[#This Row],[Customer Gender]]="O","Other", TRUE,"Unknown")</f>
        <v>Male</v>
      </c>
    </row>
    <row r="1752" spans="1:15">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f t="array" ref="O1752">_xlfn.IFS(orders[[#This Row],[Customer Gender]]="M","Male", orders[[#This Row],[Customer Gender]]="F","Female", orders[[#This Row],[Customer Gender]]="O","Other", TRUE,"Unknown")</f>
        <v>Male</v>
      </c>
    </row>
    <row r="1753" spans="1:15">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f t="array" ref="O1753">_xlfn.IFS(orders[[#This Row],[Customer Gender]]="M","Male", orders[[#This Row],[Customer Gender]]="F","Female", orders[[#This Row],[Customer Gender]]="O","Other", TRUE,"Unknown")</f>
        <v>Female</v>
      </c>
    </row>
    <row r="1754" spans="1:15">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f t="array" ref="O1754">_xlfn.IFS(orders[[#This Row],[Customer Gender]]="M","Male", orders[[#This Row],[Customer Gender]]="F","Female", orders[[#This Row],[Customer Gender]]="O","Other", TRUE,"Unknown")</f>
        <v>Male</v>
      </c>
    </row>
    <row r="1755" spans="1:15">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f t="array" ref="O1755">_xlfn.IFS(orders[[#This Row],[Customer Gender]]="M","Male", orders[[#This Row],[Customer Gender]]="F","Female", orders[[#This Row],[Customer Gender]]="O","Other", TRUE,"Unknown")</f>
        <v>Female</v>
      </c>
    </row>
    <row r="1756" spans="1:15">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f t="array" ref="O1756">_xlfn.IFS(orders[[#This Row],[Customer Gender]]="M","Male", orders[[#This Row],[Customer Gender]]="F","Female", orders[[#This Row],[Customer Gender]]="O","Other", TRUE,"Unknown")</f>
        <v>Male</v>
      </c>
    </row>
    <row r="1757" spans="1:15">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f t="array" ref="O1757">_xlfn.IFS(orders[[#This Row],[Customer Gender]]="M","Male", orders[[#This Row],[Customer Gender]]="F","Female", orders[[#This Row],[Customer Gender]]="O","Other", TRUE,"Unknown")</f>
        <v>Female</v>
      </c>
    </row>
    <row r="1758" spans="1:15">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f t="array" ref="O1758">_xlfn.IFS(orders[[#This Row],[Customer Gender]]="M","Male", orders[[#This Row],[Customer Gender]]="F","Female", orders[[#This Row],[Customer Gender]]="O","Other", TRUE,"Unknown")</f>
        <v>Other</v>
      </c>
    </row>
    <row r="1759" spans="1:15">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f t="array" ref="O1759">_xlfn.IFS(orders[[#This Row],[Customer Gender]]="M","Male", orders[[#This Row],[Customer Gender]]="F","Female", orders[[#This Row],[Customer Gender]]="O","Other", TRUE,"Unknown")</f>
        <v>Male</v>
      </c>
    </row>
    <row r="1760" spans="1:15">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f t="array" ref="O1760">_xlfn.IFS(orders[[#This Row],[Customer Gender]]="M","Male", orders[[#This Row],[Customer Gender]]="F","Female", orders[[#This Row],[Customer Gender]]="O","Other", TRUE,"Unknown")</f>
        <v>Male</v>
      </c>
    </row>
    <row r="1761" spans="1:15">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f t="array" ref="O1761">_xlfn.IFS(orders[[#This Row],[Customer Gender]]="M","Male", orders[[#This Row],[Customer Gender]]="F","Female", orders[[#This Row],[Customer Gender]]="O","Other", TRUE,"Unknown")</f>
        <v>Female</v>
      </c>
    </row>
    <row r="1762" spans="1:15">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f t="array" ref="O1762">_xlfn.IFS(orders[[#This Row],[Customer Gender]]="M","Male", orders[[#This Row],[Customer Gender]]="F","Female", orders[[#This Row],[Customer Gender]]="O","Other", TRUE,"Unknown")</f>
        <v>Male</v>
      </c>
    </row>
    <row r="1763" spans="1:15">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f t="array" ref="O1763">_xlfn.IFS(orders[[#This Row],[Customer Gender]]="M","Male", orders[[#This Row],[Customer Gender]]="F","Female", orders[[#This Row],[Customer Gender]]="O","Other", TRUE,"Unknown")</f>
        <v>Male</v>
      </c>
    </row>
    <row r="1764" spans="1:15">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f t="array" ref="O1764">_xlfn.IFS(orders[[#This Row],[Customer Gender]]="M","Male", orders[[#This Row],[Customer Gender]]="F","Female", orders[[#This Row],[Customer Gender]]="O","Other", TRUE,"Unknown")</f>
        <v>Male</v>
      </c>
    </row>
    <row r="1765" spans="1:15">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f t="array" ref="O1765">_xlfn.IFS(orders[[#This Row],[Customer Gender]]="M","Male", orders[[#This Row],[Customer Gender]]="F","Female", orders[[#This Row],[Customer Gender]]="O","Other", TRUE,"Unknown")</f>
        <v>Male</v>
      </c>
    </row>
    <row r="1766" spans="1:15">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f t="array" ref="O1766">_xlfn.IFS(orders[[#This Row],[Customer Gender]]="M","Male", orders[[#This Row],[Customer Gender]]="F","Female", orders[[#This Row],[Customer Gender]]="O","Other", TRUE,"Unknown")</f>
        <v>Male</v>
      </c>
    </row>
    <row r="1767" spans="1:15">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f t="array" ref="O1767">_xlfn.IFS(orders[[#This Row],[Customer Gender]]="M","Male", orders[[#This Row],[Customer Gender]]="F","Female", orders[[#This Row],[Customer Gender]]="O","Other", TRUE,"Unknown")</f>
        <v>Male</v>
      </c>
    </row>
    <row r="1768" spans="1:15">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f t="array" ref="O1768">_xlfn.IFS(orders[[#This Row],[Customer Gender]]="M","Male", orders[[#This Row],[Customer Gender]]="F","Female", orders[[#This Row],[Customer Gender]]="O","Other", TRUE,"Unknown")</f>
        <v>Male</v>
      </c>
    </row>
    <row r="1769" spans="1:15">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f t="array" ref="O1769">_xlfn.IFS(orders[[#This Row],[Customer Gender]]="M","Male", orders[[#This Row],[Customer Gender]]="F","Female", orders[[#This Row],[Customer Gender]]="O","Other", TRUE,"Unknown")</f>
        <v>Male</v>
      </c>
    </row>
    <row r="1770" spans="1:15">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f t="array" ref="O1770">_xlfn.IFS(orders[[#This Row],[Customer Gender]]="M","Male", orders[[#This Row],[Customer Gender]]="F","Female", orders[[#This Row],[Customer Gender]]="O","Other", TRUE,"Unknown")</f>
        <v>Female</v>
      </c>
    </row>
    <row r="1771" spans="1:15">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f t="array" ref="O1771">_xlfn.IFS(orders[[#This Row],[Customer Gender]]="M","Male", orders[[#This Row],[Customer Gender]]="F","Female", orders[[#This Row],[Customer Gender]]="O","Other", TRUE,"Unknown")</f>
        <v>Female</v>
      </c>
    </row>
    <row r="1772" spans="1:15">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f t="array" ref="O1772">_xlfn.IFS(orders[[#This Row],[Customer Gender]]="M","Male", orders[[#This Row],[Customer Gender]]="F","Female", orders[[#This Row],[Customer Gender]]="O","Other", TRUE,"Unknown")</f>
        <v>Male</v>
      </c>
    </row>
    <row r="1773" spans="1:15">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f t="array" ref="O1773">_xlfn.IFS(orders[[#This Row],[Customer Gender]]="M","Male", orders[[#This Row],[Customer Gender]]="F","Female", orders[[#This Row],[Customer Gender]]="O","Other", TRUE,"Unknown")</f>
        <v>Male</v>
      </c>
    </row>
    <row r="1774" spans="1:15">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f t="array" ref="O1774">_xlfn.IFS(orders[[#This Row],[Customer Gender]]="M","Male", orders[[#This Row],[Customer Gender]]="F","Female", orders[[#This Row],[Customer Gender]]="O","Other", TRUE,"Unknown")</f>
        <v>Female</v>
      </c>
    </row>
    <row r="1775" spans="1:15">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f t="array" ref="O1775">_xlfn.IFS(orders[[#This Row],[Customer Gender]]="M","Male", orders[[#This Row],[Customer Gender]]="F","Female", orders[[#This Row],[Customer Gender]]="O","Other", TRUE,"Unknown")</f>
        <v>Female</v>
      </c>
    </row>
    <row r="1776" spans="1:15">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f t="array" ref="O1776">_xlfn.IFS(orders[[#This Row],[Customer Gender]]="M","Male", orders[[#This Row],[Customer Gender]]="F","Female", orders[[#This Row],[Customer Gender]]="O","Other", TRUE,"Unknown")</f>
        <v>Male</v>
      </c>
    </row>
    <row r="1777" spans="1:15">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f t="array" ref="O1777">_xlfn.IFS(orders[[#This Row],[Customer Gender]]="M","Male", orders[[#This Row],[Customer Gender]]="F","Female", orders[[#This Row],[Customer Gender]]="O","Other", TRUE,"Unknown")</f>
        <v>Male</v>
      </c>
    </row>
    <row r="1778" spans="1:15">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f t="array" ref="O1778">_xlfn.IFS(orders[[#This Row],[Customer Gender]]="M","Male", orders[[#This Row],[Customer Gender]]="F","Female", orders[[#This Row],[Customer Gender]]="O","Other", TRUE,"Unknown")</f>
        <v>Male</v>
      </c>
    </row>
    <row r="1779" spans="1:15">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f t="array" ref="O1779">_xlfn.IFS(orders[[#This Row],[Customer Gender]]="M","Male", orders[[#This Row],[Customer Gender]]="F","Female", orders[[#This Row],[Customer Gender]]="O","Other", TRUE,"Unknown")</f>
        <v>Male</v>
      </c>
    </row>
    <row r="1780" spans="1:15">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f t="array" ref="O1780">_xlfn.IFS(orders[[#This Row],[Customer Gender]]="M","Male", orders[[#This Row],[Customer Gender]]="F","Female", orders[[#This Row],[Customer Gender]]="O","Other", TRUE,"Unknown")</f>
        <v>Female</v>
      </c>
    </row>
    <row r="1781" spans="1:15">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f t="array" ref="O1781">_xlfn.IFS(orders[[#This Row],[Customer Gender]]="M","Male", orders[[#This Row],[Customer Gender]]="F","Female", orders[[#This Row],[Customer Gender]]="O","Other", TRUE,"Unknown")</f>
        <v>Female</v>
      </c>
    </row>
    <row r="1782" spans="1:15">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f t="array" ref="O1782">_xlfn.IFS(orders[[#This Row],[Customer Gender]]="M","Male", orders[[#This Row],[Customer Gender]]="F","Female", orders[[#This Row],[Customer Gender]]="O","Other", TRUE,"Unknown")</f>
        <v>Female</v>
      </c>
    </row>
    <row r="1783" spans="1:15">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f t="array" ref="O1783">_xlfn.IFS(orders[[#This Row],[Customer Gender]]="M","Male", orders[[#This Row],[Customer Gender]]="F","Female", orders[[#This Row],[Customer Gender]]="O","Other", TRUE,"Unknown")</f>
        <v>Female</v>
      </c>
    </row>
    <row r="1784" spans="1:15">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f t="array" ref="O1784">_xlfn.IFS(orders[[#This Row],[Customer Gender]]="M","Male", orders[[#This Row],[Customer Gender]]="F","Female", orders[[#This Row],[Customer Gender]]="O","Other", TRUE,"Unknown")</f>
        <v>Male</v>
      </c>
    </row>
    <row r="1785" spans="1:15">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f t="array" ref="O1785">_xlfn.IFS(orders[[#This Row],[Customer Gender]]="M","Male", orders[[#This Row],[Customer Gender]]="F","Female", orders[[#This Row],[Customer Gender]]="O","Other", TRUE,"Unknown")</f>
        <v>Female</v>
      </c>
    </row>
    <row r="1786" spans="1:15">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f t="array" ref="O1786">_xlfn.IFS(orders[[#This Row],[Customer Gender]]="M","Male", orders[[#This Row],[Customer Gender]]="F","Female", orders[[#This Row],[Customer Gender]]="O","Other", TRUE,"Unknown")</f>
        <v>Female</v>
      </c>
    </row>
    <row r="1787" spans="1:15">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f t="array" ref="O1787">_xlfn.IFS(orders[[#This Row],[Customer Gender]]="M","Male", orders[[#This Row],[Customer Gender]]="F","Female", orders[[#This Row],[Customer Gender]]="O","Other", TRUE,"Unknown")</f>
        <v>Female</v>
      </c>
    </row>
    <row r="1788" spans="1:15">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f t="array" ref="O1788">_xlfn.IFS(orders[[#This Row],[Customer Gender]]="M","Male", orders[[#This Row],[Customer Gender]]="F","Female", orders[[#This Row],[Customer Gender]]="O","Other", TRUE,"Unknown")</f>
        <v>Female</v>
      </c>
    </row>
    <row r="1789" spans="1:15">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f t="array" ref="O1789">_xlfn.IFS(orders[[#This Row],[Customer Gender]]="M","Male", orders[[#This Row],[Customer Gender]]="F","Female", orders[[#This Row],[Customer Gender]]="O","Other", TRUE,"Unknown")</f>
        <v>Male</v>
      </c>
    </row>
    <row r="1790" spans="1:15">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f t="array" ref="O1790">_xlfn.IFS(orders[[#This Row],[Customer Gender]]="M","Male", orders[[#This Row],[Customer Gender]]="F","Female", orders[[#This Row],[Customer Gender]]="O","Other", TRUE,"Unknown")</f>
        <v>Female</v>
      </c>
    </row>
    <row r="1791" spans="1:15">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f t="array" ref="O1791">_xlfn.IFS(orders[[#This Row],[Customer Gender]]="M","Male", orders[[#This Row],[Customer Gender]]="F","Female", orders[[#This Row],[Customer Gender]]="O","Other", TRUE,"Unknown")</f>
        <v>Female</v>
      </c>
    </row>
    <row r="1792" spans="1:15">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f t="array" ref="O1792">_xlfn.IFS(orders[[#This Row],[Customer Gender]]="M","Male", orders[[#This Row],[Customer Gender]]="F","Female", orders[[#This Row],[Customer Gender]]="O","Other", TRUE,"Unknown")</f>
        <v>Male</v>
      </c>
    </row>
    <row r="1793" spans="1:15">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f t="array" ref="O1793">_xlfn.IFS(orders[[#This Row],[Customer Gender]]="M","Male", orders[[#This Row],[Customer Gender]]="F","Female", orders[[#This Row],[Customer Gender]]="O","Other", TRUE,"Unknown")</f>
        <v>Male</v>
      </c>
    </row>
    <row r="1794" spans="1:15">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f t="array" ref="O1794">_xlfn.IFS(orders[[#This Row],[Customer Gender]]="M","Male", orders[[#This Row],[Customer Gender]]="F","Female", orders[[#This Row],[Customer Gender]]="O","Other", TRUE,"Unknown")</f>
        <v>Female</v>
      </c>
    </row>
    <row r="1795" spans="1:15">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f t="array" ref="O1795">_xlfn.IFS(orders[[#This Row],[Customer Gender]]="M","Male", orders[[#This Row],[Customer Gender]]="F","Female", orders[[#This Row],[Customer Gender]]="O","Other", TRUE,"Unknown")</f>
        <v>Male</v>
      </c>
    </row>
    <row r="1796" spans="1:15">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f t="array" ref="O1796">_xlfn.IFS(orders[[#This Row],[Customer Gender]]="M","Male", orders[[#This Row],[Customer Gender]]="F","Female", orders[[#This Row],[Customer Gender]]="O","Other", TRUE,"Unknown")</f>
        <v>Male</v>
      </c>
    </row>
    <row r="1797" spans="1:15">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f t="array" ref="O1797">_xlfn.IFS(orders[[#This Row],[Customer Gender]]="M","Male", orders[[#This Row],[Customer Gender]]="F","Female", orders[[#This Row],[Customer Gender]]="O","Other", TRUE,"Unknown")</f>
        <v>Male</v>
      </c>
    </row>
    <row r="1798" spans="1:15">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f t="array" ref="O1798">_xlfn.IFS(orders[[#This Row],[Customer Gender]]="M","Male", orders[[#This Row],[Customer Gender]]="F","Female", orders[[#This Row],[Customer Gender]]="O","Other", TRUE,"Unknown")</f>
        <v>Female</v>
      </c>
    </row>
    <row r="1799" spans="1:15">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f t="array" ref="O1799">_xlfn.IFS(orders[[#This Row],[Customer Gender]]="M","Male", orders[[#This Row],[Customer Gender]]="F","Female", orders[[#This Row],[Customer Gender]]="O","Other", TRUE,"Unknown")</f>
        <v>Male</v>
      </c>
    </row>
    <row r="1800" spans="1:15">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f t="array" ref="O1800">_xlfn.IFS(orders[[#This Row],[Customer Gender]]="M","Male", orders[[#This Row],[Customer Gender]]="F","Female", orders[[#This Row],[Customer Gender]]="O","Other", TRUE,"Unknown")</f>
        <v>Female</v>
      </c>
    </row>
    <row r="1801" spans="1:15">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f t="array" ref="O1801">_xlfn.IFS(orders[[#This Row],[Customer Gender]]="M","Male", orders[[#This Row],[Customer Gender]]="F","Female", orders[[#This Row],[Customer Gender]]="O","Other", TRUE,"Unknown")</f>
        <v>Female</v>
      </c>
    </row>
    <row r="1802" spans="1:15">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f t="array" ref="O1802">_xlfn.IFS(orders[[#This Row],[Customer Gender]]="M","Male", orders[[#This Row],[Customer Gender]]="F","Female", orders[[#This Row],[Customer Gender]]="O","Other", TRUE,"Unknown")</f>
        <v>Female</v>
      </c>
    </row>
    <row r="1803" spans="1:15">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f t="array" ref="O1803">_xlfn.IFS(orders[[#This Row],[Customer Gender]]="M","Male", orders[[#This Row],[Customer Gender]]="F","Female", orders[[#This Row],[Customer Gender]]="O","Other", TRUE,"Unknown")</f>
        <v>Female</v>
      </c>
    </row>
    <row r="1804" spans="1:15">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f t="array" ref="O1804">_xlfn.IFS(orders[[#This Row],[Customer Gender]]="M","Male", orders[[#This Row],[Customer Gender]]="F","Female", orders[[#This Row],[Customer Gender]]="O","Other", TRUE,"Unknown")</f>
        <v>Female</v>
      </c>
    </row>
    <row r="1805" spans="1:15">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f t="array" ref="O1805">_xlfn.IFS(orders[[#This Row],[Customer Gender]]="M","Male", orders[[#This Row],[Customer Gender]]="F","Female", orders[[#This Row],[Customer Gender]]="O","Other", TRUE,"Unknown")</f>
        <v>Male</v>
      </c>
    </row>
    <row r="1806" spans="1:15">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f t="array" ref="O1806">_xlfn.IFS(orders[[#This Row],[Customer Gender]]="M","Male", orders[[#This Row],[Customer Gender]]="F","Female", orders[[#This Row],[Customer Gender]]="O","Other", TRUE,"Unknown")</f>
        <v>Male</v>
      </c>
    </row>
    <row r="1807" spans="1:15">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f t="array" ref="O1807">_xlfn.IFS(orders[[#This Row],[Customer Gender]]="M","Male", orders[[#This Row],[Customer Gender]]="F","Female", orders[[#This Row],[Customer Gender]]="O","Other", TRUE,"Unknown")</f>
        <v>Female</v>
      </c>
    </row>
    <row r="1808" spans="1:15">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f t="array" ref="O1808">_xlfn.IFS(orders[[#This Row],[Customer Gender]]="M","Male", orders[[#This Row],[Customer Gender]]="F","Female", orders[[#This Row],[Customer Gender]]="O","Other", TRUE,"Unknown")</f>
        <v>Male</v>
      </c>
    </row>
    <row r="1809" spans="1:15">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f t="array" ref="O1809">_xlfn.IFS(orders[[#This Row],[Customer Gender]]="M","Male", orders[[#This Row],[Customer Gender]]="F","Female", orders[[#This Row],[Customer Gender]]="O","Other", TRUE,"Unknown")</f>
        <v>Female</v>
      </c>
    </row>
    <row r="1810" spans="1:15">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f t="array" ref="O1810">_xlfn.IFS(orders[[#This Row],[Customer Gender]]="M","Male", orders[[#This Row],[Customer Gender]]="F","Female", orders[[#This Row],[Customer Gender]]="O","Other", TRUE,"Unknown")</f>
        <v>Female</v>
      </c>
    </row>
    <row r="1811" spans="1:15">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f t="array" ref="O1811">_xlfn.IFS(orders[[#This Row],[Customer Gender]]="M","Male", orders[[#This Row],[Customer Gender]]="F","Female", orders[[#This Row],[Customer Gender]]="O","Other", TRUE,"Unknown")</f>
        <v>Female</v>
      </c>
    </row>
    <row r="1812" spans="1:15">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f t="array" ref="O1812">_xlfn.IFS(orders[[#This Row],[Customer Gender]]="M","Male", orders[[#This Row],[Customer Gender]]="F","Female", orders[[#This Row],[Customer Gender]]="O","Other", TRUE,"Unknown")</f>
        <v>Other</v>
      </c>
    </row>
    <row r="1813" spans="1:15">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f t="array" ref="O1813">_xlfn.IFS(orders[[#This Row],[Customer Gender]]="M","Male", orders[[#This Row],[Customer Gender]]="F","Female", orders[[#This Row],[Customer Gender]]="O","Other", TRUE,"Unknown")</f>
        <v>Female</v>
      </c>
    </row>
    <row r="1814" spans="1:15">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f t="array" ref="O1814">_xlfn.IFS(orders[[#This Row],[Customer Gender]]="M","Male", orders[[#This Row],[Customer Gender]]="F","Female", orders[[#This Row],[Customer Gender]]="O","Other", TRUE,"Unknown")</f>
        <v>Female</v>
      </c>
    </row>
    <row r="1815" spans="1:15">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f t="array" ref="O1815">_xlfn.IFS(orders[[#This Row],[Customer Gender]]="M","Male", orders[[#This Row],[Customer Gender]]="F","Female", orders[[#This Row],[Customer Gender]]="O","Other", TRUE,"Unknown")</f>
        <v>Male</v>
      </c>
    </row>
    <row r="1816" spans="1:15">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f t="array" ref="O1816">_xlfn.IFS(orders[[#This Row],[Customer Gender]]="M","Male", orders[[#This Row],[Customer Gender]]="F","Female", orders[[#This Row],[Customer Gender]]="O","Other", TRUE,"Unknown")</f>
        <v>Female</v>
      </c>
    </row>
    <row r="1817" spans="1:15">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f t="array" ref="O1817">_xlfn.IFS(orders[[#This Row],[Customer Gender]]="M","Male", orders[[#This Row],[Customer Gender]]="F","Female", orders[[#This Row],[Customer Gender]]="O","Other", TRUE,"Unknown")</f>
        <v>Male</v>
      </c>
    </row>
    <row r="1818" spans="1:15">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f t="array" ref="O1818">_xlfn.IFS(orders[[#This Row],[Customer Gender]]="M","Male", orders[[#This Row],[Customer Gender]]="F","Female", orders[[#This Row],[Customer Gender]]="O","Other", TRUE,"Unknown")</f>
        <v>Other</v>
      </c>
    </row>
    <row r="1819" spans="1:15">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f t="array" ref="O1819">_xlfn.IFS(orders[[#This Row],[Customer Gender]]="M","Male", orders[[#This Row],[Customer Gender]]="F","Female", orders[[#This Row],[Customer Gender]]="O","Other", TRUE,"Unknown")</f>
        <v>Female</v>
      </c>
    </row>
    <row r="1820" spans="1:15">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f t="array" ref="O1820">_xlfn.IFS(orders[[#This Row],[Customer Gender]]="M","Male", orders[[#This Row],[Customer Gender]]="F","Female", orders[[#This Row],[Customer Gender]]="O","Other", TRUE,"Unknown")</f>
        <v>Unknown</v>
      </c>
    </row>
    <row r="1821" spans="1:15">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f t="array" ref="O1821">_xlfn.IFS(orders[[#This Row],[Customer Gender]]="M","Male", orders[[#This Row],[Customer Gender]]="F","Female", orders[[#This Row],[Customer Gender]]="O","Other", TRUE,"Unknown")</f>
        <v>Female</v>
      </c>
    </row>
    <row r="1822" spans="1:15">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f t="array" ref="O1822">_xlfn.IFS(orders[[#This Row],[Customer Gender]]="M","Male", orders[[#This Row],[Customer Gender]]="F","Female", orders[[#This Row],[Customer Gender]]="O","Other", TRUE,"Unknown")</f>
        <v>Female</v>
      </c>
    </row>
    <row r="1823" spans="1:15">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f t="array" ref="O1823">_xlfn.IFS(orders[[#This Row],[Customer Gender]]="M","Male", orders[[#This Row],[Customer Gender]]="F","Female", orders[[#This Row],[Customer Gender]]="O","Other", TRUE,"Unknown")</f>
        <v>Unknown</v>
      </c>
    </row>
    <row r="1824" spans="1:15">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f t="array" ref="O1824">_xlfn.IFS(orders[[#This Row],[Customer Gender]]="M","Male", orders[[#This Row],[Customer Gender]]="F","Female", orders[[#This Row],[Customer Gender]]="O","Other", TRUE,"Unknown")</f>
        <v>Male</v>
      </c>
    </row>
    <row r="1825" spans="1:15">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f t="array" ref="O1825">_xlfn.IFS(orders[[#This Row],[Customer Gender]]="M","Male", orders[[#This Row],[Customer Gender]]="F","Female", orders[[#This Row],[Customer Gender]]="O","Other", TRUE,"Unknown")</f>
        <v>Other</v>
      </c>
    </row>
    <row r="1826" spans="1:15">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f t="array" ref="O1826">_xlfn.IFS(orders[[#This Row],[Customer Gender]]="M","Male", orders[[#This Row],[Customer Gender]]="F","Female", orders[[#This Row],[Customer Gender]]="O","Other", TRUE,"Unknown")</f>
        <v>Male</v>
      </c>
    </row>
    <row r="1827" spans="1:15">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f t="array" ref="O1827">_xlfn.IFS(orders[[#This Row],[Customer Gender]]="M","Male", orders[[#This Row],[Customer Gender]]="F","Female", orders[[#This Row],[Customer Gender]]="O","Other", TRUE,"Unknown")</f>
        <v>Female</v>
      </c>
    </row>
    <row r="1828" spans="1:15">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f t="array" ref="O1828">_xlfn.IFS(orders[[#This Row],[Customer Gender]]="M","Male", orders[[#This Row],[Customer Gender]]="F","Female", orders[[#This Row],[Customer Gender]]="O","Other", TRUE,"Unknown")</f>
        <v>Unknown</v>
      </c>
    </row>
    <row r="1829" spans="1:15">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f t="array" ref="O1829">_xlfn.IFS(orders[[#This Row],[Customer Gender]]="M","Male", orders[[#This Row],[Customer Gender]]="F","Female", orders[[#This Row],[Customer Gender]]="O","Other", TRUE,"Unknown")</f>
        <v>Male</v>
      </c>
    </row>
    <row r="1830" spans="1:15">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f t="array" ref="O1830">_xlfn.IFS(orders[[#This Row],[Customer Gender]]="M","Male", orders[[#This Row],[Customer Gender]]="F","Female", orders[[#This Row],[Customer Gender]]="O","Other", TRUE,"Unknown")</f>
        <v>Female</v>
      </c>
    </row>
    <row r="1831" spans="1:15">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f t="array" ref="O1831">_xlfn.IFS(orders[[#This Row],[Customer Gender]]="M","Male", orders[[#This Row],[Customer Gender]]="F","Female", orders[[#This Row],[Customer Gender]]="O","Other", TRUE,"Unknown")</f>
        <v>Male</v>
      </c>
    </row>
    <row r="1832" spans="1:15">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f t="array" ref="O1832">_xlfn.IFS(orders[[#This Row],[Customer Gender]]="M","Male", orders[[#This Row],[Customer Gender]]="F","Female", orders[[#This Row],[Customer Gender]]="O","Other", TRUE,"Unknown")</f>
        <v>Female</v>
      </c>
    </row>
    <row r="1833" spans="1:15">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f t="array" ref="O1833">_xlfn.IFS(orders[[#This Row],[Customer Gender]]="M","Male", orders[[#This Row],[Customer Gender]]="F","Female", orders[[#This Row],[Customer Gender]]="O","Other", TRUE,"Unknown")</f>
        <v>Unknown</v>
      </c>
    </row>
    <row r="1834" spans="1:15">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f t="array" ref="O1834">_xlfn.IFS(orders[[#This Row],[Customer Gender]]="M","Male", orders[[#This Row],[Customer Gender]]="F","Female", orders[[#This Row],[Customer Gender]]="O","Other", TRUE,"Unknown")</f>
        <v>Female</v>
      </c>
    </row>
    <row r="1835" spans="1:15">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f t="array" ref="O1835">_xlfn.IFS(orders[[#This Row],[Customer Gender]]="M","Male", orders[[#This Row],[Customer Gender]]="F","Female", orders[[#This Row],[Customer Gender]]="O","Other", TRUE,"Unknown")</f>
        <v>Male</v>
      </c>
    </row>
    <row r="1836" spans="1:15">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f t="array" ref="O1836">_xlfn.IFS(orders[[#This Row],[Customer Gender]]="M","Male", orders[[#This Row],[Customer Gender]]="F","Female", orders[[#This Row],[Customer Gender]]="O","Other", TRUE,"Unknown")</f>
        <v>Male</v>
      </c>
    </row>
    <row r="1837" spans="1:15">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f t="array" ref="O1837">_xlfn.IFS(orders[[#This Row],[Customer Gender]]="M","Male", orders[[#This Row],[Customer Gender]]="F","Female", orders[[#This Row],[Customer Gender]]="O","Other", TRUE,"Unknown")</f>
        <v>Female</v>
      </c>
    </row>
    <row r="1838" spans="1:15">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f t="array" ref="O1838">_xlfn.IFS(orders[[#This Row],[Customer Gender]]="M","Male", orders[[#This Row],[Customer Gender]]="F","Female", orders[[#This Row],[Customer Gender]]="O","Other", TRUE,"Unknown")</f>
        <v>Female</v>
      </c>
    </row>
    <row r="1839" spans="1:15">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f t="array" ref="O1839">_xlfn.IFS(orders[[#This Row],[Customer Gender]]="M","Male", orders[[#This Row],[Customer Gender]]="F","Female", orders[[#This Row],[Customer Gender]]="O","Other", TRUE,"Unknown")</f>
        <v>Female</v>
      </c>
    </row>
    <row r="1840" spans="1:15">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f t="array" ref="O1840">_xlfn.IFS(orders[[#This Row],[Customer Gender]]="M","Male", orders[[#This Row],[Customer Gender]]="F","Female", orders[[#This Row],[Customer Gender]]="O","Other", TRUE,"Unknown")</f>
        <v>Male</v>
      </c>
    </row>
    <row r="1841" spans="1:15">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f t="array" ref="O1841">_xlfn.IFS(orders[[#This Row],[Customer Gender]]="M","Male", orders[[#This Row],[Customer Gender]]="F","Female", orders[[#This Row],[Customer Gender]]="O","Other", TRUE,"Unknown")</f>
        <v>Female</v>
      </c>
    </row>
    <row r="1842" spans="1:15">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f t="array" ref="O1842">_xlfn.IFS(orders[[#This Row],[Customer Gender]]="M","Male", orders[[#This Row],[Customer Gender]]="F","Female", orders[[#This Row],[Customer Gender]]="O","Other", TRUE,"Unknown")</f>
        <v>Male</v>
      </c>
    </row>
    <row r="1843" spans="1:15">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f t="array" ref="O1843">_xlfn.IFS(orders[[#This Row],[Customer Gender]]="M","Male", orders[[#This Row],[Customer Gender]]="F","Female", orders[[#This Row],[Customer Gender]]="O","Other", TRUE,"Unknown")</f>
        <v>Female</v>
      </c>
    </row>
    <row r="1844" spans="1:15">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f t="array" ref="O1844">_xlfn.IFS(orders[[#This Row],[Customer Gender]]="M","Male", orders[[#This Row],[Customer Gender]]="F","Female", orders[[#This Row],[Customer Gender]]="O","Other", TRUE,"Unknown")</f>
        <v>Unknown</v>
      </c>
    </row>
    <row r="1845" spans="1:15">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f t="array" ref="O1845">_xlfn.IFS(orders[[#This Row],[Customer Gender]]="M","Male", orders[[#This Row],[Customer Gender]]="F","Female", orders[[#This Row],[Customer Gender]]="O","Other", TRUE,"Unknown")</f>
        <v>Female</v>
      </c>
    </row>
    <row r="1846" spans="1:15">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f t="array" ref="O1846">_xlfn.IFS(orders[[#This Row],[Customer Gender]]="M","Male", orders[[#This Row],[Customer Gender]]="F","Female", orders[[#This Row],[Customer Gender]]="O","Other", TRUE,"Unknown")</f>
        <v>Male</v>
      </c>
    </row>
    <row r="1847" spans="1:15">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f t="array" ref="O1847">_xlfn.IFS(orders[[#This Row],[Customer Gender]]="M","Male", orders[[#This Row],[Customer Gender]]="F","Female", orders[[#This Row],[Customer Gender]]="O","Other", TRUE,"Unknown")</f>
        <v>Other</v>
      </c>
    </row>
    <row r="1848" spans="1:15">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f t="array" ref="O1848">_xlfn.IFS(orders[[#This Row],[Customer Gender]]="M","Male", orders[[#This Row],[Customer Gender]]="F","Female", orders[[#This Row],[Customer Gender]]="O","Other", TRUE,"Unknown")</f>
        <v>Female</v>
      </c>
    </row>
    <row r="1849" spans="1:15">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f t="array" ref="O1849">_xlfn.IFS(orders[[#This Row],[Customer Gender]]="M","Male", orders[[#This Row],[Customer Gender]]="F","Female", orders[[#This Row],[Customer Gender]]="O","Other", TRUE,"Unknown")</f>
        <v>Female</v>
      </c>
    </row>
    <row r="1850" spans="1:15">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f t="array" ref="O1850">_xlfn.IFS(orders[[#This Row],[Customer Gender]]="M","Male", orders[[#This Row],[Customer Gender]]="F","Female", orders[[#This Row],[Customer Gender]]="O","Other", TRUE,"Unknown")</f>
        <v>Female</v>
      </c>
    </row>
    <row r="1851" spans="1:15">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f t="array" ref="O1851">_xlfn.IFS(orders[[#This Row],[Customer Gender]]="M","Male", orders[[#This Row],[Customer Gender]]="F","Female", orders[[#This Row],[Customer Gender]]="O","Other", TRUE,"Unknown")</f>
        <v>Male</v>
      </c>
    </row>
    <row r="1852" spans="1:15">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f t="array" ref="O1852">_xlfn.IFS(orders[[#This Row],[Customer Gender]]="M","Male", orders[[#This Row],[Customer Gender]]="F","Female", orders[[#This Row],[Customer Gender]]="O","Other", TRUE,"Unknown")</f>
        <v>Female</v>
      </c>
    </row>
    <row r="1853" spans="1:15">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f t="array" ref="O1853">_xlfn.IFS(orders[[#This Row],[Customer Gender]]="M","Male", orders[[#This Row],[Customer Gender]]="F","Female", orders[[#This Row],[Customer Gender]]="O","Other", TRUE,"Unknown")</f>
        <v>Female</v>
      </c>
    </row>
    <row r="1854" spans="1:15">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f t="array" ref="O1854">_xlfn.IFS(orders[[#This Row],[Customer Gender]]="M","Male", orders[[#This Row],[Customer Gender]]="F","Female", orders[[#This Row],[Customer Gender]]="O","Other", TRUE,"Unknown")</f>
        <v>Female</v>
      </c>
    </row>
    <row r="1855" spans="1:15">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f t="array" ref="O1855">_xlfn.IFS(orders[[#This Row],[Customer Gender]]="M","Male", orders[[#This Row],[Customer Gender]]="F","Female", orders[[#This Row],[Customer Gender]]="O","Other", TRUE,"Unknown")</f>
        <v>Male</v>
      </c>
    </row>
    <row r="1856" spans="1:15">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f t="array" ref="O1856">_xlfn.IFS(orders[[#This Row],[Customer Gender]]="M","Male", orders[[#This Row],[Customer Gender]]="F","Female", orders[[#This Row],[Customer Gender]]="O","Other", TRUE,"Unknown")</f>
        <v>Female</v>
      </c>
    </row>
    <row r="1857" spans="1:15">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f t="array" ref="O1857">_xlfn.IFS(orders[[#This Row],[Customer Gender]]="M","Male", orders[[#This Row],[Customer Gender]]="F","Female", orders[[#This Row],[Customer Gender]]="O","Other", TRUE,"Unknown")</f>
        <v>Male</v>
      </c>
    </row>
    <row r="1858" spans="1:15">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f t="array" ref="O1858">_xlfn.IFS(orders[[#This Row],[Customer Gender]]="M","Male", orders[[#This Row],[Customer Gender]]="F","Female", orders[[#This Row],[Customer Gender]]="O","Other", TRUE,"Unknown")</f>
        <v>Female</v>
      </c>
    </row>
    <row r="1859" spans="1:15">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f t="array" ref="O1859">_xlfn.IFS(orders[[#This Row],[Customer Gender]]="M","Male", orders[[#This Row],[Customer Gender]]="F","Female", orders[[#This Row],[Customer Gender]]="O","Other", TRUE,"Unknown")</f>
        <v>Female</v>
      </c>
    </row>
    <row r="1860" spans="1:15">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f t="array" ref="O1860">_xlfn.IFS(orders[[#This Row],[Customer Gender]]="M","Male", orders[[#This Row],[Customer Gender]]="F","Female", orders[[#This Row],[Customer Gender]]="O","Other", TRUE,"Unknown")</f>
        <v>Female</v>
      </c>
    </row>
    <row r="1861" spans="1:15">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f t="array" ref="O1861">_xlfn.IFS(orders[[#This Row],[Customer Gender]]="M","Male", orders[[#This Row],[Customer Gender]]="F","Female", orders[[#This Row],[Customer Gender]]="O","Other", TRUE,"Unknown")</f>
        <v>Male</v>
      </c>
    </row>
    <row r="1862" spans="1:15">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f t="array" ref="O1862">_xlfn.IFS(orders[[#This Row],[Customer Gender]]="M","Male", orders[[#This Row],[Customer Gender]]="F","Female", orders[[#This Row],[Customer Gender]]="O","Other", TRUE,"Unknown")</f>
        <v>Male</v>
      </c>
    </row>
    <row r="1863" spans="1:15">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f t="array" ref="O1863">_xlfn.IFS(orders[[#This Row],[Customer Gender]]="M","Male", orders[[#This Row],[Customer Gender]]="F","Female", orders[[#This Row],[Customer Gender]]="O","Other", TRUE,"Unknown")</f>
        <v>Other</v>
      </c>
    </row>
    <row r="1864" spans="1:15">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f t="array" ref="O1864">_xlfn.IFS(orders[[#This Row],[Customer Gender]]="M","Male", orders[[#This Row],[Customer Gender]]="F","Female", orders[[#This Row],[Customer Gender]]="O","Other", TRUE,"Unknown")</f>
        <v>Male</v>
      </c>
    </row>
    <row r="1865" spans="1:15">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f t="array" ref="O1865">_xlfn.IFS(orders[[#This Row],[Customer Gender]]="M","Male", orders[[#This Row],[Customer Gender]]="F","Female", orders[[#This Row],[Customer Gender]]="O","Other", TRUE,"Unknown")</f>
        <v>Female</v>
      </c>
    </row>
    <row r="1866" spans="1:15">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f t="array" ref="O1866">_xlfn.IFS(orders[[#This Row],[Customer Gender]]="M","Male", orders[[#This Row],[Customer Gender]]="F","Female", orders[[#This Row],[Customer Gender]]="O","Other", TRUE,"Unknown")</f>
        <v>Female</v>
      </c>
    </row>
    <row r="1867" spans="1:15">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f t="array" ref="O1867">_xlfn.IFS(orders[[#This Row],[Customer Gender]]="M","Male", orders[[#This Row],[Customer Gender]]="F","Female", orders[[#This Row],[Customer Gender]]="O","Other", TRUE,"Unknown")</f>
        <v>Male</v>
      </c>
    </row>
    <row r="1868" spans="1:15">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f t="array" ref="O1868">_xlfn.IFS(orders[[#This Row],[Customer Gender]]="M","Male", orders[[#This Row],[Customer Gender]]="F","Female", orders[[#This Row],[Customer Gender]]="O","Other", TRUE,"Unknown")</f>
        <v>Other</v>
      </c>
    </row>
    <row r="1869" spans="1:15">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f t="array" ref="O1869">_xlfn.IFS(orders[[#This Row],[Customer Gender]]="M","Male", orders[[#This Row],[Customer Gender]]="F","Female", orders[[#This Row],[Customer Gender]]="O","Other", TRUE,"Unknown")</f>
        <v>Female</v>
      </c>
    </row>
    <row r="1870" spans="1:15">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f t="array" ref="O1870">_xlfn.IFS(orders[[#This Row],[Customer Gender]]="M","Male", orders[[#This Row],[Customer Gender]]="F","Female", orders[[#This Row],[Customer Gender]]="O","Other", TRUE,"Unknown")</f>
        <v>Other</v>
      </c>
    </row>
    <row r="1871" spans="1:15">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f t="array" ref="O1871">_xlfn.IFS(orders[[#This Row],[Customer Gender]]="M","Male", orders[[#This Row],[Customer Gender]]="F","Female", orders[[#This Row],[Customer Gender]]="O","Other", TRUE,"Unknown")</f>
        <v>Female</v>
      </c>
    </row>
    <row r="1872" spans="1:15">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f t="array" ref="O1872">_xlfn.IFS(orders[[#This Row],[Customer Gender]]="M","Male", orders[[#This Row],[Customer Gender]]="F","Female", orders[[#This Row],[Customer Gender]]="O","Other", TRUE,"Unknown")</f>
        <v>Female</v>
      </c>
    </row>
    <row r="1873" spans="1:15">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f t="array" ref="O1873">_xlfn.IFS(orders[[#This Row],[Customer Gender]]="M","Male", orders[[#This Row],[Customer Gender]]="F","Female", orders[[#This Row],[Customer Gender]]="O","Other", TRUE,"Unknown")</f>
        <v>Male</v>
      </c>
    </row>
    <row r="1874" spans="1:15">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f t="array" ref="O1874">_xlfn.IFS(orders[[#This Row],[Customer Gender]]="M","Male", orders[[#This Row],[Customer Gender]]="F","Female", orders[[#This Row],[Customer Gender]]="O","Other", TRUE,"Unknown")</f>
        <v>Female</v>
      </c>
    </row>
    <row r="1875" spans="1:15">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f t="array" ref="O1875">_xlfn.IFS(orders[[#This Row],[Customer Gender]]="M","Male", orders[[#This Row],[Customer Gender]]="F","Female", orders[[#This Row],[Customer Gender]]="O","Other", TRUE,"Unknown")</f>
        <v>Other</v>
      </c>
    </row>
    <row r="1876" spans="1:15">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f t="array" ref="O1876">_xlfn.IFS(orders[[#This Row],[Customer Gender]]="M","Male", orders[[#This Row],[Customer Gender]]="F","Female", orders[[#This Row],[Customer Gender]]="O","Other", TRUE,"Unknown")</f>
        <v>Female</v>
      </c>
    </row>
    <row r="1877" spans="1:15">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f t="array" ref="O1877">_xlfn.IFS(orders[[#This Row],[Customer Gender]]="M","Male", orders[[#This Row],[Customer Gender]]="F","Female", orders[[#This Row],[Customer Gender]]="O","Other", TRUE,"Unknown")</f>
        <v>Female</v>
      </c>
    </row>
    <row r="1878" spans="1:15">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f t="array" ref="O1878">_xlfn.IFS(orders[[#This Row],[Customer Gender]]="M","Male", orders[[#This Row],[Customer Gender]]="F","Female", orders[[#This Row],[Customer Gender]]="O","Other", TRUE,"Unknown")</f>
        <v>Female</v>
      </c>
    </row>
    <row r="1879" spans="1:15">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f t="array" ref="O1879">_xlfn.IFS(orders[[#This Row],[Customer Gender]]="M","Male", orders[[#This Row],[Customer Gender]]="F","Female", orders[[#This Row],[Customer Gender]]="O","Other", TRUE,"Unknown")</f>
        <v>Female</v>
      </c>
    </row>
    <row r="1880" spans="1:15">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f t="array" ref="O1880">_xlfn.IFS(orders[[#This Row],[Customer Gender]]="M","Male", orders[[#This Row],[Customer Gender]]="F","Female", orders[[#This Row],[Customer Gender]]="O","Other", TRUE,"Unknown")</f>
        <v>Female</v>
      </c>
    </row>
    <row r="1881" spans="1:15">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f t="array" ref="O1881">_xlfn.IFS(orders[[#This Row],[Customer Gender]]="M","Male", orders[[#This Row],[Customer Gender]]="F","Female", orders[[#This Row],[Customer Gender]]="O","Other", TRUE,"Unknown")</f>
        <v>Male</v>
      </c>
    </row>
    <row r="1882" spans="1:15">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f t="array" ref="O1882">_xlfn.IFS(orders[[#This Row],[Customer Gender]]="M","Male", orders[[#This Row],[Customer Gender]]="F","Female", orders[[#This Row],[Customer Gender]]="O","Other", TRUE,"Unknown")</f>
        <v>Female</v>
      </c>
    </row>
    <row r="1883" spans="1:15">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f t="array" ref="O1883">_xlfn.IFS(orders[[#This Row],[Customer Gender]]="M","Male", orders[[#This Row],[Customer Gender]]="F","Female", orders[[#This Row],[Customer Gender]]="O","Other", TRUE,"Unknown")</f>
        <v>Female</v>
      </c>
    </row>
    <row r="1884" spans="1:15">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f t="array" ref="O1884">_xlfn.IFS(orders[[#This Row],[Customer Gender]]="M","Male", orders[[#This Row],[Customer Gender]]="F","Female", orders[[#This Row],[Customer Gender]]="O","Other", TRUE,"Unknown")</f>
        <v>Male</v>
      </c>
    </row>
    <row r="1885" spans="1:15">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f t="array" ref="O1885">_xlfn.IFS(orders[[#This Row],[Customer Gender]]="M","Male", orders[[#This Row],[Customer Gender]]="F","Female", orders[[#This Row],[Customer Gender]]="O","Other", TRUE,"Unknown")</f>
        <v>Male</v>
      </c>
    </row>
    <row r="1886" spans="1:15">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f t="array" ref="O1886">_xlfn.IFS(orders[[#This Row],[Customer Gender]]="M","Male", orders[[#This Row],[Customer Gender]]="F","Female", orders[[#This Row],[Customer Gender]]="O","Other", TRUE,"Unknown")</f>
        <v>Unknown</v>
      </c>
    </row>
    <row r="1887" spans="1:15">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f t="array" ref="O1887">_xlfn.IFS(orders[[#This Row],[Customer Gender]]="M","Male", orders[[#This Row],[Customer Gender]]="F","Female", orders[[#This Row],[Customer Gender]]="O","Other", TRUE,"Unknown")</f>
        <v>Male</v>
      </c>
    </row>
    <row r="1888" spans="1:15">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f t="array" ref="O1888">_xlfn.IFS(orders[[#This Row],[Customer Gender]]="M","Male", orders[[#This Row],[Customer Gender]]="F","Female", orders[[#This Row],[Customer Gender]]="O","Other", TRUE,"Unknown")</f>
        <v>Female</v>
      </c>
    </row>
    <row r="1889" spans="1:15">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f t="array" ref="O1889">_xlfn.IFS(orders[[#This Row],[Customer Gender]]="M","Male", orders[[#This Row],[Customer Gender]]="F","Female", orders[[#This Row],[Customer Gender]]="O","Other", TRUE,"Unknown")</f>
        <v>Female</v>
      </c>
    </row>
    <row r="1890" spans="1:15">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f t="array" ref="O1890">_xlfn.IFS(orders[[#This Row],[Customer Gender]]="M","Male", orders[[#This Row],[Customer Gender]]="F","Female", orders[[#This Row],[Customer Gender]]="O","Other", TRUE,"Unknown")</f>
        <v>Female</v>
      </c>
    </row>
    <row r="1891" spans="1:15">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f t="array" ref="O1891">_xlfn.IFS(orders[[#This Row],[Customer Gender]]="M","Male", orders[[#This Row],[Customer Gender]]="F","Female", orders[[#This Row],[Customer Gender]]="O","Other", TRUE,"Unknown")</f>
        <v>Male</v>
      </c>
    </row>
    <row r="1892" spans="1:15">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f t="array" ref="O1892">_xlfn.IFS(orders[[#This Row],[Customer Gender]]="M","Male", orders[[#This Row],[Customer Gender]]="F","Female", orders[[#This Row],[Customer Gender]]="O","Other", TRUE,"Unknown")</f>
        <v>Female</v>
      </c>
    </row>
    <row r="1893" spans="1:15">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f t="array" ref="O1893">_xlfn.IFS(orders[[#This Row],[Customer Gender]]="M","Male", orders[[#This Row],[Customer Gender]]="F","Female", orders[[#This Row],[Customer Gender]]="O","Other", TRUE,"Unknown")</f>
        <v>Male</v>
      </c>
    </row>
    <row r="1894" spans="1:15">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f t="array" ref="O1894">_xlfn.IFS(orders[[#This Row],[Customer Gender]]="M","Male", orders[[#This Row],[Customer Gender]]="F","Female", orders[[#This Row],[Customer Gender]]="O","Other", TRUE,"Unknown")</f>
        <v>Male</v>
      </c>
    </row>
    <row r="1895" spans="1:15">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f t="array" ref="O1895">_xlfn.IFS(orders[[#This Row],[Customer Gender]]="M","Male", orders[[#This Row],[Customer Gender]]="F","Female", orders[[#This Row],[Customer Gender]]="O","Other", TRUE,"Unknown")</f>
        <v>Male</v>
      </c>
    </row>
    <row r="1896" spans="1:15">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f t="array" ref="O1896">_xlfn.IFS(orders[[#This Row],[Customer Gender]]="M","Male", orders[[#This Row],[Customer Gender]]="F","Female", orders[[#This Row],[Customer Gender]]="O","Other", TRUE,"Unknown")</f>
        <v>Female</v>
      </c>
    </row>
    <row r="1897" spans="1:15">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f t="array" ref="O1897">_xlfn.IFS(orders[[#This Row],[Customer Gender]]="M","Male", orders[[#This Row],[Customer Gender]]="F","Female", orders[[#This Row],[Customer Gender]]="O","Other", TRUE,"Unknown")</f>
        <v>Male</v>
      </c>
    </row>
    <row r="1898" spans="1:15">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f t="array" ref="O1898">_xlfn.IFS(orders[[#This Row],[Customer Gender]]="M","Male", orders[[#This Row],[Customer Gender]]="F","Female", orders[[#This Row],[Customer Gender]]="O","Other", TRUE,"Unknown")</f>
        <v>Male</v>
      </c>
    </row>
    <row r="1899" spans="1:15">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f t="array" ref="O1899">_xlfn.IFS(orders[[#This Row],[Customer Gender]]="M","Male", orders[[#This Row],[Customer Gender]]="F","Female", orders[[#This Row],[Customer Gender]]="O","Other", TRUE,"Unknown")</f>
        <v>Male</v>
      </c>
    </row>
    <row r="1900" spans="1:15">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f t="array" ref="O1900">_xlfn.IFS(orders[[#This Row],[Customer Gender]]="M","Male", orders[[#This Row],[Customer Gender]]="F","Female", orders[[#This Row],[Customer Gender]]="O","Other", TRUE,"Unknown")</f>
        <v>Female</v>
      </c>
    </row>
    <row r="1901" spans="1:15">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f t="array" ref="O1901">_xlfn.IFS(orders[[#This Row],[Customer Gender]]="M","Male", orders[[#This Row],[Customer Gender]]="F","Female", orders[[#This Row],[Customer Gender]]="O","Other", TRUE,"Unknown")</f>
        <v>Female</v>
      </c>
    </row>
    <row r="1902" spans="1:15">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f t="array" ref="O1902">_xlfn.IFS(orders[[#This Row],[Customer Gender]]="M","Male", orders[[#This Row],[Customer Gender]]="F","Female", orders[[#This Row],[Customer Gender]]="O","Other", TRUE,"Unknown")</f>
        <v>Female</v>
      </c>
    </row>
    <row r="1903" spans="1:15">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f t="array" ref="O1903">_xlfn.IFS(orders[[#This Row],[Customer Gender]]="M","Male", orders[[#This Row],[Customer Gender]]="F","Female", orders[[#This Row],[Customer Gender]]="O","Other", TRUE,"Unknown")</f>
        <v>Female</v>
      </c>
    </row>
    <row r="1904" spans="1:15">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f t="array" ref="O1904">_xlfn.IFS(orders[[#This Row],[Customer Gender]]="M","Male", orders[[#This Row],[Customer Gender]]="F","Female", orders[[#This Row],[Customer Gender]]="O","Other", TRUE,"Unknown")</f>
        <v>Male</v>
      </c>
    </row>
    <row r="1905" spans="1:15">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f t="array" ref="O1905">_xlfn.IFS(orders[[#This Row],[Customer Gender]]="M","Male", orders[[#This Row],[Customer Gender]]="F","Female", orders[[#This Row],[Customer Gender]]="O","Other", TRUE,"Unknown")</f>
        <v>Female</v>
      </c>
    </row>
    <row r="1906" spans="1:15">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f t="array" ref="O1906">_xlfn.IFS(orders[[#This Row],[Customer Gender]]="M","Male", orders[[#This Row],[Customer Gender]]="F","Female", orders[[#This Row],[Customer Gender]]="O","Other", TRUE,"Unknown")</f>
        <v>Female</v>
      </c>
    </row>
    <row r="1907" spans="1:15">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f t="array" ref="O1907">_xlfn.IFS(orders[[#This Row],[Customer Gender]]="M","Male", orders[[#This Row],[Customer Gender]]="F","Female", orders[[#This Row],[Customer Gender]]="O","Other", TRUE,"Unknown")</f>
        <v>Male</v>
      </c>
    </row>
    <row r="1908" spans="1:15">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f t="array" ref="O1908">_xlfn.IFS(orders[[#This Row],[Customer Gender]]="M","Male", orders[[#This Row],[Customer Gender]]="F","Female", orders[[#This Row],[Customer Gender]]="O","Other", TRUE,"Unknown")</f>
        <v>Male</v>
      </c>
    </row>
    <row r="1909" spans="1:15">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f t="array" ref="O1909">_xlfn.IFS(orders[[#This Row],[Customer Gender]]="M","Male", orders[[#This Row],[Customer Gender]]="F","Female", orders[[#This Row],[Customer Gender]]="O","Other", TRUE,"Unknown")</f>
        <v>Female</v>
      </c>
    </row>
    <row r="1910" spans="1:15">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f t="array" ref="O1910">_xlfn.IFS(orders[[#This Row],[Customer Gender]]="M","Male", orders[[#This Row],[Customer Gender]]="F","Female", orders[[#This Row],[Customer Gender]]="O","Other", TRUE,"Unknown")</f>
        <v>Unknown</v>
      </c>
    </row>
    <row r="1911" spans="1:15">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f t="array" ref="O1911">_xlfn.IFS(orders[[#This Row],[Customer Gender]]="M","Male", orders[[#This Row],[Customer Gender]]="F","Female", orders[[#This Row],[Customer Gender]]="O","Other", TRUE,"Unknown")</f>
        <v>Female</v>
      </c>
    </row>
    <row r="1912" spans="1:15">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f t="array" ref="O1912">_xlfn.IFS(orders[[#This Row],[Customer Gender]]="M","Male", orders[[#This Row],[Customer Gender]]="F","Female", orders[[#This Row],[Customer Gender]]="O","Other", TRUE,"Unknown")</f>
        <v>Female</v>
      </c>
    </row>
    <row r="1913" spans="1:15">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f t="array" ref="O1913">_xlfn.IFS(orders[[#This Row],[Customer Gender]]="M","Male", orders[[#This Row],[Customer Gender]]="F","Female", orders[[#This Row],[Customer Gender]]="O","Other", TRUE,"Unknown")</f>
        <v>Other</v>
      </c>
    </row>
    <row r="1914" spans="1:15">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f t="array" ref="O1914">_xlfn.IFS(orders[[#This Row],[Customer Gender]]="M","Male", orders[[#This Row],[Customer Gender]]="F","Female", orders[[#This Row],[Customer Gender]]="O","Other", TRUE,"Unknown")</f>
        <v>Male</v>
      </c>
    </row>
    <row r="1915" spans="1:15">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f t="array" ref="O1915">_xlfn.IFS(orders[[#This Row],[Customer Gender]]="M","Male", orders[[#This Row],[Customer Gender]]="F","Female", orders[[#This Row],[Customer Gender]]="O","Other", TRUE,"Unknown")</f>
        <v>Female</v>
      </c>
    </row>
    <row r="1916" spans="1:15">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f t="array" ref="O1916">_xlfn.IFS(orders[[#This Row],[Customer Gender]]="M","Male", orders[[#This Row],[Customer Gender]]="F","Female", orders[[#This Row],[Customer Gender]]="O","Other", TRUE,"Unknown")</f>
        <v>Female</v>
      </c>
    </row>
    <row r="1917" spans="1:15">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f t="array" ref="O1917">_xlfn.IFS(orders[[#This Row],[Customer Gender]]="M","Male", orders[[#This Row],[Customer Gender]]="F","Female", orders[[#This Row],[Customer Gender]]="O","Other", TRUE,"Unknown")</f>
        <v>Female</v>
      </c>
    </row>
    <row r="1918" spans="1:15">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f t="array" ref="O1918">_xlfn.IFS(orders[[#This Row],[Customer Gender]]="M","Male", orders[[#This Row],[Customer Gender]]="F","Female", orders[[#This Row],[Customer Gender]]="O","Other", TRUE,"Unknown")</f>
        <v>Other</v>
      </c>
    </row>
    <row r="1919" spans="1:15">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f t="array" ref="O1919">_xlfn.IFS(orders[[#This Row],[Customer Gender]]="M","Male", orders[[#This Row],[Customer Gender]]="F","Female", orders[[#This Row],[Customer Gender]]="O","Other", TRUE,"Unknown")</f>
        <v>Female</v>
      </c>
    </row>
    <row r="1920" spans="1:15">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f t="array" ref="O1920">_xlfn.IFS(orders[[#This Row],[Customer Gender]]="M","Male", orders[[#This Row],[Customer Gender]]="F","Female", orders[[#This Row],[Customer Gender]]="O","Other", TRUE,"Unknown")</f>
        <v>Female</v>
      </c>
    </row>
    <row r="1921" spans="1:15">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f t="array" ref="O1921">_xlfn.IFS(orders[[#This Row],[Customer Gender]]="M","Male", orders[[#This Row],[Customer Gender]]="F","Female", orders[[#This Row],[Customer Gender]]="O","Other", TRUE,"Unknown")</f>
        <v>Male</v>
      </c>
    </row>
    <row r="1922" spans="1:15">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f t="array" ref="O1922">_xlfn.IFS(orders[[#This Row],[Customer Gender]]="M","Male", orders[[#This Row],[Customer Gender]]="F","Female", orders[[#This Row],[Customer Gender]]="O","Other", TRUE,"Unknown")</f>
        <v>Male</v>
      </c>
    </row>
    <row r="1923" spans="1:15">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f t="array" ref="O1923">_xlfn.IFS(orders[[#This Row],[Customer Gender]]="M","Male", orders[[#This Row],[Customer Gender]]="F","Female", orders[[#This Row],[Customer Gender]]="O","Other", TRUE,"Unknown")</f>
        <v>Male</v>
      </c>
    </row>
    <row r="1924" spans="1:15">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f t="array" ref="O1924">_xlfn.IFS(orders[[#This Row],[Customer Gender]]="M","Male", orders[[#This Row],[Customer Gender]]="F","Female", orders[[#This Row],[Customer Gender]]="O","Other", TRUE,"Unknown")</f>
        <v>Male</v>
      </c>
    </row>
    <row r="1925" spans="1:15">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f t="array" ref="O1925">_xlfn.IFS(orders[[#This Row],[Customer Gender]]="M","Male", orders[[#This Row],[Customer Gender]]="F","Female", orders[[#This Row],[Customer Gender]]="O","Other", TRUE,"Unknown")</f>
        <v>Female</v>
      </c>
    </row>
    <row r="1926" spans="1:15">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f t="array" ref="O1926">_xlfn.IFS(orders[[#This Row],[Customer Gender]]="M","Male", orders[[#This Row],[Customer Gender]]="F","Female", orders[[#This Row],[Customer Gender]]="O","Other", TRUE,"Unknown")</f>
        <v>Female</v>
      </c>
    </row>
    <row r="1927" spans="1:15">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f t="array" ref="O1927">_xlfn.IFS(orders[[#This Row],[Customer Gender]]="M","Male", orders[[#This Row],[Customer Gender]]="F","Female", orders[[#This Row],[Customer Gender]]="O","Other", TRUE,"Unknown")</f>
        <v>Female</v>
      </c>
    </row>
    <row r="1928" spans="1:15">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f t="array" ref="O1928">_xlfn.IFS(orders[[#This Row],[Customer Gender]]="M","Male", orders[[#This Row],[Customer Gender]]="F","Female", orders[[#This Row],[Customer Gender]]="O","Other", TRUE,"Unknown")</f>
        <v>Unknown</v>
      </c>
    </row>
    <row r="1929" spans="1:15">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f t="array" ref="O1929">_xlfn.IFS(orders[[#This Row],[Customer Gender]]="M","Male", orders[[#This Row],[Customer Gender]]="F","Female", orders[[#This Row],[Customer Gender]]="O","Other", TRUE,"Unknown")</f>
        <v>Other</v>
      </c>
    </row>
    <row r="1930" spans="1:15">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f t="array" ref="O1930">_xlfn.IFS(orders[[#This Row],[Customer Gender]]="M","Male", orders[[#This Row],[Customer Gender]]="F","Female", orders[[#This Row],[Customer Gender]]="O","Other", TRUE,"Unknown")</f>
        <v>Female</v>
      </c>
    </row>
    <row r="1931" spans="1:15">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f t="array" ref="O1931">_xlfn.IFS(orders[[#This Row],[Customer Gender]]="M","Male", orders[[#This Row],[Customer Gender]]="F","Female", orders[[#This Row],[Customer Gender]]="O","Other", TRUE,"Unknown")</f>
        <v>Male</v>
      </c>
    </row>
    <row r="1932" spans="1:15">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f t="array" ref="O1932">_xlfn.IFS(orders[[#This Row],[Customer Gender]]="M","Male", orders[[#This Row],[Customer Gender]]="F","Female", orders[[#This Row],[Customer Gender]]="O","Other", TRUE,"Unknown")</f>
        <v>Male</v>
      </c>
    </row>
    <row r="1933" spans="1:15">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f t="array" ref="O1933">_xlfn.IFS(orders[[#This Row],[Customer Gender]]="M","Male", orders[[#This Row],[Customer Gender]]="F","Female", orders[[#This Row],[Customer Gender]]="O","Other", TRUE,"Unknown")</f>
        <v>Female</v>
      </c>
    </row>
    <row r="1934" spans="1:15">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f t="array" ref="O1934">_xlfn.IFS(orders[[#This Row],[Customer Gender]]="M","Male", orders[[#This Row],[Customer Gender]]="F","Female", orders[[#This Row],[Customer Gender]]="O","Other", TRUE,"Unknown")</f>
        <v>Female</v>
      </c>
    </row>
    <row r="1935" spans="1:15">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f t="array" ref="O1935">_xlfn.IFS(orders[[#This Row],[Customer Gender]]="M","Male", orders[[#This Row],[Customer Gender]]="F","Female", orders[[#This Row],[Customer Gender]]="O","Other", TRUE,"Unknown")</f>
        <v>Male</v>
      </c>
    </row>
    <row r="1936" spans="1:15">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f t="array" ref="O1936">_xlfn.IFS(orders[[#This Row],[Customer Gender]]="M","Male", orders[[#This Row],[Customer Gender]]="F","Female", orders[[#This Row],[Customer Gender]]="O","Other", TRUE,"Unknown")</f>
        <v>Female</v>
      </c>
    </row>
    <row r="1937" spans="1:15">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f t="array" ref="O1937">_xlfn.IFS(orders[[#This Row],[Customer Gender]]="M","Male", orders[[#This Row],[Customer Gender]]="F","Female", orders[[#This Row],[Customer Gender]]="O","Other", TRUE,"Unknown")</f>
        <v>Male</v>
      </c>
    </row>
    <row r="1938" spans="1:15">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f t="array" ref="O1938">_xlfn.IFS(orders[[#This Row],[Customer Gender]]="M","Male", orders[[#This Row],[Customer Gender]]="F","Female", orders[[#This Row],[Customer Gender]]="O","Other", TRUE,"Unknown")</f>
        <v>Female</v>
      </c>
    </row>
    <row r="1939" spans="1:15">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f t="array" ref="O1939">_xlfn.IFS(orders[[#This Row],[Customer Gender]]="M","Male", orders[[#This Row],[Customer Gender]]="F","Female", orders[[#This Row],[Customer Gender]]="O","Other", TRUE,"Unknown")</f>
        <v>Female</v>
      </c>
    </row>
    <row r="1940" spans="1:15">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f t="array" ref="O1940">_xlfn.IFS(orders[[#This Row],[Customer Gender]]="M","Male", orders[[#This Row],[Customer Gender]]="F","Female", orders[[#This Row],[Customer Gender]]="O","Other", TRUE,"Unknown")</f>
        <v>Male</v>
      </c>
    </row>
    <row r="1941" spans="1:15">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f t="array" ref="O1941">_xlfn.IFS(orders[[#This Row],[Customer Gender]]="M","Male", orders[[#This Row],[Customer Gender]]="F","Female", orders[[#This Row],[Customer Gender]]="O","Other", TRUE,"Unknown")</f>
        <v>Male</v>
      </c>
    </row>
    <row r="1942" spans="1:15">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f t="array" ref="O1942">_xlfn.IFS(orders[[#This Row],[Customer Gender]]="M","Male", orders[[#This Row],[Customer Gender]]="F","Female", orders[[#This Row],[Customer Gender]]="O","Other", TRUE,"Unknown")</f>
        <v>Male</v>
      </c>
    </row>
    <row r="1943" spans="1:15">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f t="array" ref="O1943">_xlfn.IFS(orders[[#This Row],[Customer Gender]]="M","Male", orders[[#This Row],[Customer Gender]]="F","Female", orders[[#This Row],[Customer Gender]]="O","Other", TRUE,"Unknown")</f>
        <v>Female</v>
      </c>
    </row>
    <row r="1944" spans="1:15">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f t="array" ref="O1944">_xlfn.IFS(orders[[#This Row],[Customer Gender]]="M","Male", orders[[#This Row],[Customer Gender]]="F","Female", orders[[#This Row],[Customer Gender]]="O","Other", TRUE,"Unknown")</f>
        <v>Male</v>
      </c>
    </row>
    <row r="1945" spans="1:15">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f t="array" ref="O1945">_xlfn.IFS(orders[[#This Row],[Customer Gender]]="M","Male", orders[[#This Row],[Customer Gender]]="F","Female", orders[[#This Row],[Customer Gender]]="O","Other", TRUE,"Unknown")</f>
        <v>Male</v>
      </c>
    </row>
    <row r="1946" spans="1:15">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f t="array" ref="O1946">_xlfn.IFS(orders[[#This Row],[Customer Gender]]="M","Male", orders[[#This Row],[Customer Gender]]="F","Female", orders[[#This Row],[Customer Gender]]="O","Other", TRUE,"Unknown")</f>
        <v>Male</v>
      </c>
    </row>
    <row r="1947" spans="1:15">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f t="array" ref="O1947">_xlfn.IFS(orders[[#This Row],[Customer Gender]]="M","Male", orders[[#This Row],[Customer Gender]]="F","Female", orders[[#This Row],[Customer Gender]]="O","Other", TRUE,"Unknown")</f>
        <v>Male</v>
      </c>
    </row>
    <row r="1948" spans="1:15">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f t="array" ref="O1948">_xlfn.IFS(orders[[#This Row],[Customer Gender]]="M","Male", orders[[#This Row],[Customer Gender]]="F","Female", orders[[#This Row],[Customer Gender]]="O","Other", TRUE,"Unknown")</f>
        <v>Unknown</v>
      </c>
    </row>
    <row r="1949" spans="1:15">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f t="array" ref="O1949">_xlfn.IFS(orders[[#This Row],[Customer Gender]]="M","Male", orders[[#This Row],[Customer Gender]]="F","Female", orders[[#This Row],[Customer Gender]]="O","Other", TRUE,"Unknown")</f>
        <v>Male</v>
      </c>
    </row>
    <row r="1950" spans="1:15">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f t="array" ref="O1950">_xlfn.IFS(orders[[#This Row],[Customer Gender]]="M","Male", orders[[#This Row],[Customer Gender]]="F","Female", orders[[#This Row],[Customer Gender]]="O","Other", TRUE,"Unknown")</f>
        <v>Female</v>
      </c>
    </row>
    <row r="1951" spans="1:15">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f t="array" ref="O1951">_xlfn.IFS(orders[[#This Row],[Customer Gender]]="M","Male", orders[[#This Row],[Customer Gender]]="F","Female", orders[[#This Row],[Customer Gender]]="O","Other", TRUE,"Unknown")</f>
        <v>Female</v>
      </c>
    </row>
    <row r="1952" spans="1:15">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f t="array" ref="O1952">_xlfn.IFS(orders[[#This Row],[Customer Gender]]="M","Male", orders[[#This Row],[Customer Gender]]="F","Female", orders[[#This Row],[Customer Gender]]="O","Other", TRUE,"Unknown")</f>
        <v>Male</v>
      </c>
    </row>
    <row r="1953" spans="1:15">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f t="array" ref="O1953">_xlfn.IFS(orders[[#This Row],[Customer Gender]]="M","Male", orders[[#This Row],[Customer Gender]]="F","Female", orders[[#This Row],[Customer Gender]]="O","Other", TRUE,"Unknown")</f>
        <v>Female</v>
      </c>
    </row>
    <row r="1954" spans="1:15">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f t="array" ref="O1954">_xlfn.IFS(orders[[#This Row],[Customer Gender]]="M","Male", orders[[#This Row],[Customer Gender]]="F","Female", orders[[#This Row],[Customer Gender]]="O","Other", TRUE,"Unknown")</f>
        <v>Male</v>
      </c>
    </row>
    <row r="1955" spans="1:15">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f t="array" ref="O1955">_xlfn.IFS(orders[[#This Row],[Customer Gender]]="M","Male", orders[[#This Row],[Customer Gender]]="F","Female", orders[[#This Row],[Customer Gender]]="O","Other", TRUE,"Unknown")</f>
        <v>Male</v>
      </c>
    </row>
    <row r="1956" spans="1:15">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f t="array" ref="O1956">_xlfn.IFS(orders[[#This Row],[Customer Gender]]="M","Male", orders[[#This Row],[Customer Gender]]="F","Female", orders[[#This Row],[Customer Gender]]="O","Other", TRUE,"Unknown")</f>
        <v>Female</v>
      </c>
    </row>
    <row r="1957" spans="1:15">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f t="array" ref="O1957">_xlfn.IFS(orders[[#This Row],[Customer Gender]]="M","Male", orders[[#This Row],[Customer Gender]]="F","Female", orders[[#This Row],[Customer Gender]]="O","Other", TRUE,"Unknown")</f>
        <v>Female</v>
      </c>
    </row>
    <row r="1958" spans="1:15">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f t="array" ref="O1958">_xlfn.IFS(orders[[#This Row],[Customer Gender]]="M","Male", orders[[#This Row],[Customer Gender]]="F","Female", orders[[#This Row],[Customer Gender]]="O","Other", TRUE,"Unknown")</f>
        <v>Female</v>
      </c>
    </row>
    <row r="1959" spans="1:15">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f t="array" ref="O1959">_xlfn.IFS(orders[[#This Row],[Customer Gender]]="M","Male", orders[[#This Row],[Customer Gender]]="F","Female", orders[[#This Row],[Customer Gender]]="O","Other", TRUE,"Unknown")</f>
        <v>Male</v>
      </c>
    </row>
    <row r="1960" spans="1:15">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f t="array" ref="O1960">_xlfn.IFS(orders[[#This Row],[Customer Gender]]="M","Male", orders[[#This Row],[Customer Gender]]="F","Female", orders[[#This Row],[Customer Gender]]="O","Other", TRUE,"Unknown")</f>
        <v>Female</v>
      </c>
    </row>
    <row r="1961" spans="1:15">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f t="array" ref="O1961">_xlfn.IFS(orders[[#This Row],[Customer Gender]]="M","Male", orders[[#This Row],[Customer Gender]]="F","Female", orders[[#This Row],[Customer Gender]]="O","Other", TRUE,"Unknown")</f>
        <v>Male</v>
      </c>
    </row>
    <row r="1962" spans="1:15">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f t="array" ref="O1962">_xlfn.IFS(orders[[#This Row],[Customer Gender]]="M","Male", orders[[#This Row],[Customer Gender]]="F","Female", orders[[#This Row],[Customer Gender]]="O","Other", TRUE,"Unknown")</f>
        <v>Male</v>
      </c>
    </row>
    <row r="1963" spans="1:15">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f t="array" ref="O1963">_xlfn.IFS(orders[[#This Row],[Customer Gender]]="M","Male", orders[[#This Row],[Customer Gender]]="F","Female", orders[[#This Row],[Customer Gender]]="O","Other", TRUE,"Unknown")</f>
        <v>Male</v>
      </c>
    </row>
    <row r="1964" spans="1:15">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f t="array" ref="O1964">_xlfn.IFS(orders[[#This Row],[Customer Gender]]="M","Male", orders[[#This Row],[Customer Gender]]="F","Female", orders[[#This Row],[Customer Gender]]="O","Other", TRUE,"Unknown")</f>
        <v>Female</v>
      </c>
    </row>
    <row r="1965" spans="1:15">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f t="array" ref="O1965">_xlfn.IFS(orders[[#This Row],[Customer Gender]]="M","Male", orders[[#This Row],[Customer Gender]]="F","Female", orders[[#This Row],[Customer Gender]]="O","Other", TRUE,"Unknown")</f>
        <v>Male</v>
      </c>
    </row>
    <row r="1966" spans="1:15">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f t="array" ref="O1966">_xlfn.IFS(orders[[#This Row],[Customer Gender]]="M","Male", orders[[#This Row],[Customer Gender]]="F","Female", orders[[#This Row],[Customer Gender]]="O","Other", TRUE,"Unknown")</f>
        <v>Female</v>
      </c>
    </row>
    <row r="1967" spans="1:15">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f t="array" ref="O1967">_xlfn.IFS(orders[[#This Row],[Customer Gender]]="M","Male", orders[[#This Row],[Customer Gender]]="F","Female", orders[[#This Row],[Customer Gender]]="O","Other", TRUE,"Unknown")</f>
        <v>Male</v>
      </c>
    </row>
    <row r="1968" spans="1:15">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f t="array" ref="O1968">_xlfn.IFS(orders[[#This Row],[Customer Gender]]="M","Male", orders[[#This Row],[Customer Gender]]="F","Female", orders[[#This Row],[Customer Gender]]="O","Other", TRUE,"Unknown")</f>
        <v>Male</v>
      </c>
    </row>
    <row r="1969" spans="1:15">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f t="array" ref="O1969">_xlfn.IFS(orders[[#This Row],[Customer Gender]]="M","Male", orders[[#This Row],[Customer Gender]]="F","Female", orders[[#This Row],[Customer Gender]]="O","Other", TRUE,"Unknown")</f>
        <v>Female</v>
      </c>
    </row>
    <row r="1970" spans="1:15">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f t="array" ref="O1970">_xlfn.IFS(orders[[#This Row],[Customer Gender]]="M","Male", orders[[#This Row],[Customer Gender]]="F","Female", orders[[#This Row],[Customer Gender]]="O","Other", TRUE,"Unknown")</f>
        <v>Other</v>
      </c>
    </row>
    <row r="1971" spans="1:15">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f t="array" ref="O1971">_xlfn.IFS(orders[[#This Row],[Customer Gender]]="M","Male", orders[[#This Row],[Customer Gender]]="F","Female", orders[[#This Row],[Customer Gender]]="O","Other", TRUE,"Unknown")</f>
        <v>Unknown</v>
      </c>
    </row>
    <row r="1972" spans="1:15">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f t="array" ref="O1972">_xlfn.IFS(orders[[#This Row],[Customer Gender]]="M","Male", orders[[#This Row],[Customer Gender]]="F","Female", orders[[#This Row],[Customer Gender]]="O","Other", TRUE,"Unknown")</f>
        <v>Female</v>
      </c>
    </row>
    <row r="1973" spans="1:15">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f t="array" ref="O1973">_xlfn.IFS(orders[[#This Row],[Customer Gender]]="M","Male", orders[[#This Row],[Customer Gender]]="F","Female", orders[[#This Row],[Customer Gender]]="O","Other", TRUE,"Unknown")</f>
        <v>Male</v>
      </c>
    </row>
    <row r="1974" spans="1:15">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f t="array" ref="O1974">_xlfn.IFS(orders[[#This Row],[Customer Gender]]="M","Male", orders[[#This Row],[Customer Gender]]="F","Female", orders[[#This Row],[Customer Gender]]="O","Other", TRUE,"Unknown")</f>
        <v>Male</v>
      </c>
    </row>
    <row r="1975" spans="1:15">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f t="array" ref="O1975">_xlfn.IFS(orders[[#This Row],[Customer Gender]]="M","Male", orders[[#This Row],[Customer Gender]]="F","Female", orders[[#This Row],[Customer Gender]]="O","Other", TRUE,"Unknown")</f>
        <v>Female</v>
      </c>
    </row>
    <row r="1976" spans="1:15">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f t="array" ref="O1976">_xlfn.IFS(orders[[#This Row],[Customer Gender]]="M","Male", orders[[#This Row],[Customer Gender]]="F","Female", orders[[#This Row],[Customer Gender]]="O","Other", TRUE,"Unknown")</f>
        <v>Female</v>
      </c>
    </row>
    <row r="1977" spans="1:15">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f t="array" ref="O1977">_xlfn.IFS(orders[[#This Row],[Customer Gender]]="M","Male", orders[[#This Row],[Customer Gender]]="F","Female", orders[[#This Row],[Customer Gender]]="O","Other", TRUE,"Unknown")</f>
        <v>Male</v>
      </c>
    </row>
    <row r="1978" spans="1:15">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f t="array" ref="O1978">_xlfn.IFS(orders[[#This Row],[Customer Gender]]="M","Male", orders[[#This Row],[Customer Gender]]="F","Female", orders[[#This Row],[Customer Gender]]="O","Other", TRUE,"Unknown")</f>
        <v>Male</v>
      </c>
    </row>
    <row r="1979" spans="1:15">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f t="array" ref="O1979">_xlfn.IFS(orders[[#This Row],[Customer Gender]]="M","Male", orders[[#This Row],[Customer Gender]]="F","Female", orders[[#This Row],[Customer Gender]]="O","Other", TRUE,"Unknown")</f>
        <v>Other</v>
      </c>
    </row>
    <row r="1980" spans="1:15">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f t="array" ref="O1980">_xlfn.IFS(orders[[#This Row],[Customer Gender]]="M","Male", orders[[#This Row],[Customer Gender]]="F","Female", orders[[#This Row],[Customer Gender]]="O","Other", TRUE,"Unknown")</f>
        <v>Male</v>
      </c>
    </row>
    <row r="1981" spans="1:15">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f t="array" ref="O1981">_xlfn.IFS(orders[[#This Row],[Customer Gender]]="M","Male", orders[[#This Row],[Customer Gender]]="F","Female", orders[[#This Row],[Customer Gender]]="O","Other", TRUE,"Unknown")</f>
        <v>Male</v>
      </c>
    </row>
    <row r="1982" spans="1:15">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f t="array" ref="O1982">_xlfn.IFS(orders[[#This Row],[Customer Gender]]="M","Male", orders[[#This Row],[Customer Gender]]="F","Female", orders[[#This Row],[Customer Gender]]="O","Other", TRUE,"Unknown")</f>
        <v>Female</v>
      </c>
    </row>
    <row r="1983" spans="1:15">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f t="array" ref="O1983">_xlfn.IFS(orders[[#This Row],[Customer Gender]]="M","Male", orders[[#This Row],[Customer Gender]]="F","Female", orders[[#This Row],[Customer Gender]]="O","Other", TRUE,"Unknown")</f>
        <v>Female</v>
      </c>
    </row>
    <row r="1984" spans="1:15">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f t="array" ref="O1984">_xlfn.IFS(orders[[#This Row],[Customer Gender]]="M","Male", orders[[#This Row],[Customer Gender]]="F","Female", orders[[#This Row],[Customer Gender]]="O","Other", TRUE,"Unknown")</f>
        <v>Male</v>
      </c>
    </row>
    <row r="1985" spans="1:15">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f t="array" ref="O1985">_xlfn.IFS(orders[[#This Row],[Customer Gender]]="M","Male", orders[[#This Row],[Customer Gender]]="F","Female", orders[[#This Row],[Customer Gender]]="O","Other", TRUE,"Unknown")</f>
        <v>Female</v>
      </c>
    </row>
    <row r="1986" spans="1:15">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f t="array" ref="O1986">_xlfn.IFS(orders[[#This Row],[Customer Gender]]="M","Male", orders[[#This Row],[Customer Gender]]="F","Female", orders[[#This Row],[Customer Gender]]="O","Other", TRUE,"Unknown")</f>
        <v>Female</v>
      </c>
    </row>
    <row r="1987" spans="1:15">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f t="array" ref="O1987">_xlfn.IFS(orders[[#This Row],[Customer Gender]]="M","Male", orders[[#This Row],[Customer Gender]]="F","Female", orders[[#This Row],[Customer Gender]]="O","Other", TRUE,"Unknown")</f>
        <v>Female</v>
      </c>
    </row>
    <row r="1988" spans="1:15">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f t="array" ref="O1988">_xlfn.IFS(orders[[#This Row],[Customer Gender]]="M","Male", orders[[#This Row],[Customer Gender]]="F","Female", orders[[#This Row],[Customer Gender]]="O","Other", TRUE,"Unknown")</f>
        <v>Male</v>
      </c>
    </row>
    <row r="1989" spans="1:15">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f t="array" ref="O1989">_xlfn.IFS(orders[[#This Row],[Customer Gender]]="M","Male", orders[[#This Row],[Customer Gender]]="F","Female", orders[[#This Row],[Customer Gender]]="O","Other", TRUE,"Unknown")</f>
        <v>Unknown</v>
      </c>
    </row>
    <row r="1990" spans="1:15">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f t="array" ref="O1990">_xlfn.IFS(orders[[#This Row],[Customer Gender]]="M","Male", orders[[#This Row],[Customer Gender]]="F","Female", orders[[#This Row],[Customer Gender]]="O","Other", TRUE,"Unknown")</f>
        <v>Female</v>
      </c>
    </row>
    <row r="1991" spans="1:15">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f t="array" ref="O1991">_xlfn.IFS(orders[[#This Row],[Customer Gender]]="M","Male", orders[[#This Row],[Customer Gender]]="F","Female", orders[[#This Row],[Customer Gender]]="O","Other", TRUE,"Unknown")</f>
        <v>Unknown</v>
      </c>
    </row>
    <row r="1992" spans="1:15">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f t="array" ref="O1992">_xlfn.IFS(orders[[#This Row],[Customer Gender]]="M","Male", orders[[#This Row],[Customer Gender]]="F","Female", orders[[#This Row],[Customer Gender]]="O","Other", TRUE,"Unknown")</f>
        <v>Unknown</v>
      </c>
    </row>
    <row r="1993" spans="1:15">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f t="array" ref="O1993">_xlfn.IFS(orders[[#This Row],[Customer Gender]]="M","Male", orders[[#This Row],[Customer Gender]]="F","Female", orders[[#This Row],[Customer Gender]]="O","Other", TRUE,"Unknown")</f>
        <v>Female</v>
      </c>
    </row>
    <row r="1994" spans="1:15">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f t="array" ref="O1994">_xlfn.IFS(orders[[#This Row],[Customer Gender]]="M","Male", orders[[#This Row],[Customer Gender]]="F","Female", orders[[#This Row],[Customer Gender]]="O","Other", TRUE,"Unknown")</f>
        <v>Female</v>
      </c>
    </row>
    <row r="1995" spans="1:15">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f t="array" ref="O1995">_xlfn.IFS(orders[[#This Row],[Customer Gender]]="M","Male", orders[[#This Row],[Customer Gender]]="F","Female", orders[[#This Row],[Customer Gender]]="O","Other", TRUE,"Unknown")</f>
        <v>Male</v>
      </c>
    </row>
    <row r="1996" spans="1:15">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f t="array" ref="O1996">_xlfn.IFS(orders[[#This Row],[Customer Gender]]="M","Male", orders[[#This Row],[Customer Gender]]="F","Female", orders[[#This Row],[Customer Gender]]="O","Other", TRUE,"Unknown")</f>
        <v>Male</v>
      </c>
    </row>
    <row r="1997" spans="1:15">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f t="array" ref="O1997">_xlfn.IFS(orders[[#This Row],[Customer Gender]]="M","Male", orders[[#This Row],[Customer Gender]]="F","Female", orders[[#This Row],[Customer Gender]]="O","Other", TRUE,"Unknown")</f>
        <v>Female</v>
      </c>
    </row>
    <row r="1998" spans="1:15">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f t="array" ref="O1998">_xlfn.IFS(orders[[#This Row],[Customer Gender]]="M","Male", orders[[#This Row],[Customer Gender]]="F","Female", orders[[#This Row],[Customer Gender]]="O","Other", TRUE,"Unknown")</f>
        <v>Female</v>
      </c>
    </row>
    <row r="1999" spans="1:15">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f t="array" ref="O1999">_xlfn.IFS(orders[[#This Row],[Customer Gender]]="M","Male", orders[[#This Row],[Customer Gender]]="F","Female", orders[[#This Row],[Customer Gender]]="O","Other", TRUE,"Unknown")</f>
        <v>Male</v>
      </c>
    </row>
    <row r="2000" spans="1:15">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f t="array" ref="O2000">_xlfn.IFS(orders[[#This Row],[Customer Gender]]="M","Male", orders[[#This Row],[Customer Gender]]="F","Female", orders[[#This Row],[Customer Gender]]="O","Other", TRUE,"Unknown")</f>
        <v>Male</v>
      </c>
    </row>
    <row r="2001" spans="1:15">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f t="array" ref="O2001">_xlfn.IFS(orders[[#This Row],[Customer Gender]]="M","Male", orders[[#This Row],[Customer Gender]]="F","Female", orders[[#This Row],[Customer Gender]]="O","Other", TRUE,"Unknown")</f>
        <v>Male</v>
      </c>
    </row>
    <row r="2002" spans="1:15">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f t="array" ref="O2002">_xlfn.IFS(orders[[#This Row],[Customer Gender]]="M","Male", orders[[#This Row],[Customer Gender]]="F","Female", orders[[#This Row],[Customer Gender]]="O","Other", TRUE,"Unknown")</f>
        <v>Female</v>
      </c>
    </row>
    <row r="2003" spans="1:15">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f t="array" ref="O2003">_xlfn.IFS(orders[[#This Row],[Customer Gender]]="M","Male", orders[[#This Row],[Customer Gender]]="F","Female", orders[[#This Row],[Customer Gender]]="O","Other", TRUE,"Unknown")</f>
        <v>Male</v>
      </c>
    </row>
    <row r="2004" spans="1:15">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f t="array" ref="O2004">_xlfn.IFS(orders[[#This Row],[Customer Gender]]="M","Male", orders[[#This Row],[Customer Gender]]="F","Female", orders[[#This Row],[Customer Gender]]="O","Other", TRUE,"Unknown")</f>
        <v>Other</v>
      </c>
    </row>
    <row r="2005" spans="1:15">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f t="array" ref="O2005">_xlfn.IFS(orders[[#This Row],[Customer Gender]]="M","Male", orders[[#This Row],[Customer Gender]]="F","Female", orders[[#This Row],[Customer Gender]]="O","Other", TRUE,"Unknown")</f>
        <v>Unknown</v>
      </c>
    </row>
    <row r="2006" spans="1:15">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f t="array" ref="O2006">_xlfn.IFS(orders[[#This Row],[Customer Gender]]="M","Male", orders[[#This Row],[Customer Gender]]="F","Female", orders[[#This Row],[Customer Gender]]="O","Other", TRUE,"Unknown")</f>
        <v>Female</v>
      </c>
    </row>
    <row r="2007" spans="1:15">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f t="array" ref="O2007">_xlfn.IFS(orders[[#This Row],[Customer Gender]]="M","Male", orders[[#This Row],[Customer Gender]]="F","Female", orders[[#This Row],[Customer Gender]]="O","Other", TRUE,"Unknown")</f>
        <v>Unknown</v>
      </c>
    </row>
    <row r="2008" spans="1:15">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f t="array" ref="O2008">_xlfn.IFS(orders[[#This Row],[Customer Gender]]="M","Male", orders[[#This Row],[Customer Gender]]="F","Female", orders[[#This Row],[Customer Gender]]="O","Other", TRUE,"Unknown")</f>
        <v>Male</v>
      </c>
    </row>
    <row r="2009" spans="1:15">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f t="array" ref="O2009">_xlfn.IFS(orders[[#This Row],[Customer Gender]]="M","Male", orders[[#This Row],[Customer Gender]]="F","Female", orders[[#This Row],[Customer Gender]]="O","Other", TRUE,"Unknown")</f>
        <v>Male</v>
      </c>
    </row>
    <row r="2010" spans="1:15">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f t="array" ref="O2010">_xlfn.IFS(orders[[#This Row],[Customer Gender]]="M","Male", orders[[#This Row],[Customer Gender]]="F","Female", orders[[#This Row],[Customer Gender]]="O","Other", TRUE,"Unknown")</f>
        <v>Female</v>
      </c>
    </row>
    <row r="2011" spans="1:15">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f t="array" ref="O2011">_xlfn.IFS(orders[[#This Row],[Customer Gender]]="M","Male", orders[[#This Row],[Customer Gender]]="F","Female", orders[[#This Row],[Customer Gender]]="O","Other", TRUE,"Unknown")</f>
        <v>Female</v>
      </c>
    </row>
    <row r="2012" spans="1:15">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f t="array" ref="O2012">_xlfn.IFS(orders[[#This Row],[Customer Gender]]="M","Male", orders[[#This Row],[Customer Gender]]="F","Female", orders[[#This Row],[Customer Gender]]="O","Other", TRUE,"Unknown")</f>
        <v>Female</v>
      </c>
    </row>
    <row r="2013" spans="1:15">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f t="array" ref="O2013">_xlfn.IFS(orders[[#This Row],[Customer Gender]]="M","Male", orders[[#This Row],[Customer Gender]]="F","Female", orders[[#This Row],[Customer Gender]]="O","Other", TRUE,"Unknown")</f>
        <v>Female</v>
      </c>
    </row>
    <row r="2014" spans="1:15">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f t="array" ref="O2014">_xlfn.IFS(orders[[#This Row],[Customer Gender]]="M","Male", orders[[#This Row],[Customer Gender]]="F","Female", orders[[#This Row],[Customer Gender]]="O","Other", TRUE,"Unknown")</f>
        <v>Male</v>
      </c>
    </row>
    <row r="2015" spans="1:15">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f t="array" ref="O2015">_xlfn.IFS(orders[[#This Row],[Customer Gender]]="M","Male", orders[[#This Row],[Customer Gender]]="F","Female", orders[[#This Row],[Customer Gender]]="O","Other", TRUE,"Unknown")</f>
        <v>Unknown</v>
      </c>
    </row>
    <row r="2016" spans="1:15">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f t="array" ref="O2016">_xlfn.IFS(orders[[#This Row],[Customer Gender]]="M","Male", orders[[#This Row],[Customer Gender]]="F","Female", orders[[#This Row],[Customer Gender]]="O","Other", TRUE,"Unknown")</f>
        <v>Male</v>
      </c>
    </row>
    <row r="2017" spans="1:15">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f t="array" ref="O2017">_xlfn.IFS(orders[[#This Row],[Customer Gender]]="M","Male", orders[[#This Row],[Customer Gender]]="F","Female", orders[[#This Row],[Customer Gender]]="O","Other", TRUE,"Unknown")</f>
        <v>Unknown</v>
      </c>
    </row>
    <row r="2018" spans="1:15">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f t="array" ref="O2018">_xlfn.IFS(orders[[#This Row],[Customer Gender]]="M","Male", orders[[#This Row],[Customer Gender]]="F","Female", orders[[#This Row],[Customer Gender]]="O","Other", TRUE,"Unknown")</f>
        <v>Female</v>
      </c>
    </row>
    <row r="2019" spans="1:15">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f t="array" ref="O2019">_xlfn.IFS(orders[[#This Row],[Customer Gender]]="M","Male", orders[[#This Row],[Customer Gender]]="F","Female", orders[[#This Row],[Customer Gender]]="O","Other", TRUE,"Unknown")</f>
        <v>Male</v>
      </c>
    </row>
    <row r="2020" spans="1:15">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f t="array" ref="O2020">_xlfn.IFS(orders[[#This Row],[Customer Gender]]="M","Male", orders[[#This Row],[Customer Gender]]="F","Female", orders[[#This Row],[Customer Gender]]="O","Other", TRUE,"Unknown")</f>
        <v>Female</v>
      </c>
    </row>
    <row r="2021" spans="1:15">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f t="array" ref="O2021">_xlfn.IFS(orders[[#This Row],[Customer Gender]]="M","Male", orders[[#This Row],[Customer Gender]]="F","Female", orders[[#This Row],[Customer Gender]]="O","Other", TRUE,"Unknown")</f>
        <v>Unknown</v>
      </c>
    </row>
    <row r="2022" spans="1:15">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f t="array" ref="O2022">_xlfn.IFS(orders[[#This Row],[Customer Gender]]="M","Male", orders[[#This Row],[Customer Gender]]="F","Female", orders[[#This Row],[Customer Gender]]="O","Other", TRUE,"Unknown")</f>
        <v>Female</v>
      </c>
    </row>
    <row r="2023" spans="1:15">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f t="array" ref="O2023">_xlfn.IFS(orders[[#This Row],[Customer Gender]]="M","Male", orders[[#This Row],[Customer Gender]]="F","Female", orders[[#This Row],[Customer Gender]]="O","Other", TRUE,"Unknown")</f>
        <v>Male</v>
      </c>
    </row>
    <row r="2024" spans="1:15">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f t="array" ref="O2024">_xlfn.IFS(orders[[#This Row],[Customer Gender]]="M","Male", orders[[#This Row],[Customer Gender]]="F","Female", orders[[#This Row],[Customer Gender]]="O","Other", TRUE,"Unknown")</f>
        <v>Other</v>
      </c>
    </row>
    <row r="2025" spans="1:15">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f t="array" ref="O2025">_xlfn.IFS(orders[[#This Row],[Customer Gender]]="M","Male", orders[[#This Row],[Customer Gender]]="F","Female", orders[[#This Row],[Customer Gender]]="O","Other", TRUE,"Unknown")</f>
        <v>Female</v>
      </c>
    </row>
    <row r="2026" spans="1:15">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f t="array" ref="O2026">_xlfn.IFS(orders[[#This Row],[Customer Gender]]="M","Male", orders[[#This Row],[Customer Gender]]="F","Female", orders[[#This Row],[Customer Gender]]="O","Other", TRUE,"Unknown")</f>
        <v>Male</v>
      </c>
    </row>
    <row r="2027" spans="1:15">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f t="array" ref="O2027">_xlfn.IFS(orders[[#This Row],[Customer Gender]]="M","Male", orders[[#This Row],[Customer Gender]]="F","Female", orders[[#This Row],[Customer Gender]]="O","Other", TRUE,"Unknown")</f>
        <v>Male</v>
      </c>
    </row>
    <row r="2028" spans="1:15">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f t="array" ref="O2028">_xlfn.IFS(orders[[#This Row],[Customer Gender]]="M","Male", orders[[#This Row],[Customer Gender]]="F","Female", orders[[#This Row],[Customer Gender]]="O","Other", TRUE,"Unknown")</f>
        <v>Female</v>
      </c>
    </row>
    <row r="2029" spans="1:15">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f t="array" ref="O2029">_xlfn.IFS(orders[[#This Row],[Customer Gender]]="M","Male", orders[[#This Row],[Customer Gender]]="F","Female", orders[[#This Row],[Customer Gender]]="O","Other", TRUE,"Unknown")</f>
        <v>Female</v>
      </c>
    </row>
    <row r="2030" spans="1:15">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f t="array" ref="O2030">_xlfn.IFS(orders[[#This Row],[Customer Gender]]="M","Male", orders[[#This Row],[Customer Gender]]="F","Female", orders[[#This Row],[Customer Gender]]="O","Other", TRUE,"Unknown")</f>
        <v>Male</v>
      </c>
    </row>
    <row r="2031" spans="1:15">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f t="array" ref="O2031">_xlfn.IFS(orders[[#This Row],[Customer Gender]]="M","Male", orders[[#This Row],[Customer Gender]]="F","Female", orders[[#This Row],[Customer Gender]]="O","Other", TRUE,"Unknown")</f>
        <v>Female</v>
      </c>
    </row>
    <row r="2032" spans="1:15">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f t="array" ref="O2032">_xlfn.IFS(orders[[#This Row],[Customer Gender]]="M","Male", orders[[#This Row],[Customer Gender]]="F","Female", orders[[#This Row],[Customer Gender]]="O","Other", TRUE,"Unknown")</f>
        <v>Female</v>
      </c>
    </row>
    <row r="2033" spans="1:15">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f t="array" ref="O2033">_xlfn.IFS(orders[[#This Row],[Customer Gender]]="M","Male", orders[[#This Row],[Customer Gender]]="F","Female", orders[[#This Row],[Customer Gender]]="O","Other", TRUE,"Unknown")</f>
        <v>Male</v>
      </c>
    </row>
    <row r="2034" spans="1:15">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f t="array" ref="O2034">_xlfn.IFS(orders[[#This Row],[Customer Gender]]="M","Male", orders[[#This Row],[Customer Gender]]="F","Female", orders[[#This Row],[Customer Gender]]="O","Other", TRUE,"Unknown")</f>
        <v>Male</v>
      </c>
    </row>
    <row r="2035" spans="1:15">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f t="array" ref="O2035">_xlfn.IFS(orders[[#This Row],[Customer Gender]]="M","Male", orders[[#This Row],[Customer Gender]]="F","Female", orders[[#This Row],[Customer Gender]]="O","Other", TRUE,"Unknown")</f>
        <v>Female</v>
      </c>
    </row>
    <row r="2036" spans="1:15">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f t="array" ref="O2036">_xlfn.IFS(orders[[#This Row],[Customer Gender]]="M","Male", orders[[#This Row],[Customer Gender]]="F","Female", orders[[#This Row],[Customer Gender]]="O","Other", TRUE,"Unknown")</f>
        <v>Female</v>
      </c>
    </row>
    <row r="2037" spans="1:15">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f t="array" ref="O2037">_xlfn.IFS(orders[[#This Row],[Customer Gender]]="M","Male", orders[[#This Row],[Customer Gender]]="F","Female", orders[[#This Row],[Customer Gender]]="O","Other", TRUE,"Unknown")</f>
        <v>Female</v>
      </c>
    </row>
    <row r="2038" spans="1:15">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f t="array" ref="O2038">_xlfn.IFS(orders[[#This Row],[Customer Gender]]="M","Male", orders[[#This Row],[Customer Gender]]="F","Female", orders[[#This Row],[Customer Gender]]="O","Other", TRUE,"Unknown")</f>
        <v>Male</v>
      </c>
    </row>
    <row r="2039" spans="1:15">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f t="array" ref="O2039">_xlfn.IFS(orders[[#This Row],[Customer Gender]]="M","Male", orders[[#This Row],[Customer Gender]]="F","Female", orders[[#This Row],[Customer Gender]]="O","Other", TRUE,"Unknown")</f>
        <v>Male</v>
      </c>
    </row>
    <row r="2040" spans="1:15">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f t="array" ref="O2040">_xlfn.IFS(orders[[#This Row],[Customer Gender]]="M","Male", orders[[#This Row],[Customer Gender]]="F","Female", orders[[#This Row],[Customer Gender]]="O","Other", TRUE,"Unknown")</f>
        <v>Male</v>
      </c>
    </row>
    <row r="2041" spans="1:15">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f t="array" ref="O2041">_xlfn.IFS(orders[[#This Row],[Customer Gender]]="M","Male", orders[[#This Row],[Customer Gender]]="F","Female", orders[[#This Row],[Customer Gender]]="O","Other", TRUE,"Unknown")</f>
        <v>Male</v>
      </c>
    </row>
    <row r="2042" spans="1:15">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f t="array" ref="O2042">_xlfn.IFS(orders[[#This Row],[Customer Gender]]="M","Male", orders[[#This Row],[Customer Gender]]="F","Female", orders[[#This Row],[Customer Gender]]="O","Other", TRUE,"Unknown")</f>
        <v>Male</v>
      </c>
    </row>
    <row r="2043" spans="1:15">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f t="array" ref="O2043">_xlfn.IFS(orders[[#This Row],[Customer Gender]]="M","Male", orders[[#This Row],[Customer Gender]]="F","Female", orders[[#This Row],[Customer Gender]]="O","Other", TRUE,"Unknown")</f>
        <v>Male</v>
      </c>
    </row>
    <row r="2044" spans="1:15">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f t="array" ref="O2044">_xlfn.IFS(orders[[#This Row],[Customer Gender]]="M","Male", orders[[#This Row],[Customer Gender]]="F","Female", orders[[#This Row],[Customer Gender]]="O","Other", TRUE,"Unknown")</f>
        <v>Female</v>
      </c>
    </row>
    <row r="2045" spans="1:15">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f t="array" ref="O2045">_xlfn.IFS(orders[[#This Row],[Customer Gender]]="M","Male", orders[[#This Row],[Customer Gender]]="F","Female", orders[[#This Row],[Customer Gender]]="O","Other", TRUE,"Unknown")</f>
        <v>Female</v>
      </c>
    </row>
    <row r="2046" spans="1:15">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f t="array" ref="O2046">_xlfn.IFS(orders[[#This Row],[Customer Gender]]="M","Male", orders[[#This Row],[Customer Gender]]="F","Female", orders[[#This Row],[Customer Gender]]="O","Other", TRUE,"Unknown")</f>
        <v>Male</v>
      </c>
    </row>
    <row r="2047" spans="1:15">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f t="array" ref="O2047">_xlfn.IFS(orders[[#This Row],[Customer Gender]]="M","Male", orders[[#This Row],[Customer Gender]]="F","Female", orders[[#This Row],[Customer Gender]]="O","Other", TRUE,"Unknown")</f>
        <v>Female</v>
      </c>
    </row>
    <row r="2048" spans="1:15">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f t="array" ref="O2048">_xlfn.IFS(orders[[#This Row],[Customer Gender]]="M","Male", orders[[#This Row],[Customer Gender]]="F","Female", orders[[#This Row],[Customer Gender]]="O","Other", TRUE,"Unknown")</f>
        <v>Female</v>
      </c>
    </row>
    <row r="2049" spans="1:15">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f t="array" ref="O2049">_xlfn.IFS(orders[[#This Row],[Customer Gender]]="M","Male", orders[[#This Row],[Customer Gender]]="F","Female", orders[[#This Row],[Customer Gender]]="O","Other", TRUE,"Unknown")</f>
        <v>Male</v>
      </c>
    </row>
    <row r="2050" spans="1:15">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f t="array" ref="O2050">_xlfn.IFS(orders[[#This Row],[Customer Gender]]="M","Male", orders[[#This Row],[Customer Gender]]="F","Female", orders[[#This Row],[Customer Gender]]="O","Other", TRUE,"Unknown")</f>
        <v>Female</v>
      </c>
    </row>
    <row r="2051" spans="1:15">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f t="array" ref="O2051">_xlfn.IFS(orders[[#This Row],[Customer Gender]]="M","Male", orders[[#This Row],[Customer Gender]]="F","Female", orders[[#This Row],[Customer Gender]]="O","Other", TRUE,"Unknown")</f>
        <v>Female</v>
      </c>
    </row>
    <row r="2052" spans="1:15">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f t="array" ref="O2052">_xlfn.IFS(orders[[#This Row],[Customer Gender]]="M","Male", orders[[#This Row],[Customer Gender]]="F","Female", orders[[#This Row],[Customer Gender]]="O","Other", TRUE,"Unknown")</f>
        <v>Female</v>
      </c>
    </row>
    <row r="2053" spans="1:15">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f t="array" ref="O2053">_xlfn.IFS(orders[[#This Row],[Customer Gender]]="M","Male", orders[[#This Row],[Customer Gender]]="F","Female", orders[[#This Row],[Customer Gender]]="O","Other", TRUE,"Unknown")</f>
        <v>Male</v>
      </c>
    </row>
    <row r="2054" spans="1:15">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f t="array" ref="O2054">_xlfn.IFS(orders[[#This Row],[Customer Gender]]="M","Male", orders[[#This Row],[Customer Gender]]="F","Female", orders[[#This Row],[Customer Gender]]="O","Other", TRUE,"Unknown")</f>
        <v>Male</v>
      </c>
    </row>
    <row r="2055" spans="1:15">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f t="array" ref="O2055">_xlfn.IFS(orders[[#This Row],[Customer Gender]]="M","Male", orders[[#This Row],[Customer Gender]]="F","Female", orders[[#This Row],[Customer Gender]]="O","Other", TRUE,"Unknown")</f>
        <v>Female</v>
      </c>
    </row>
    <row r="2056" spans="1:15">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f t="array" ref="O2056">_xlfn.IFS(orders[[#This Row],[Customer Gender]]="M","Male", orders[[#This Row],[Customer Gender]]="F","Female", orders[[#This Row],[Customer Gender]]="O","Other", TRUE,"Unknown")</f>
        <v>Female</v>
      </c>
    </row>
    <row r="2057" spans="1:15">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f t="array" ref="O2057">_xlfn.IFS(orders[[#This Row],[Customer Gender]]="M","Male", orders[[#This Row],[Customer Gender]]="F","Female", orders[[#This Row],[Customer Gender]]="O","Other", TRUE,"Unknown")</f>
        <v>Male</v>
      </c>
    </row>
    <row r="2058" spans="1:15">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f t="array" ref="O2058">_xlfn.IFS(orders[[#This Row],[Customer Gender]]="M","Male", orders[[#This Row],[Customer Gender]]="F","Female", orders[[#This Row],[Customer Gender]]="O","Other", TRUE,"Unknown")</f>
        <v>Female</v>
      </c>
    </row>
    <row r="2059" spans="1:15">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f t="array" ref="O2059">_xlfn.IFS(orders[[#This Row],[Customer Gender]]="M","Male", orders[[#This Row],[Customer Gender]]="F","Female", orders[[#This Row],[Customer Gender]]="O","Other", TRUE,"Unknown")</f>
        <v>Female</v>
      </c>
    </row>
    <row r="2060" spans="1:15">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f t="array" ref="O2060">_xlfn.IFS(orders[[#This Row],[Customer Gender]]="M","Male", orders[[#This Row],[Customer Gender]]="F","Female", orders[[#This Row],[Customer Gender]]="O","Other", TRUE,"Unknown")</f>
        <v>Male</v>
      </c>
    </row>
    <row r="2061" spans="1:15">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f t="array" ref="O2061">_xlfn.IFS(orders[[#This Row],[Customer Gender]]="M","Male", orders[[#This Row],[Customer Gender]]="F","Female", orders[[#This Row],[Customer Gender]]="O","Other", TRUE,"Unknown")</f>
        <v>Male</v>
      </c>
    </row>
    <row r="2062" spans="1:15">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f t="array" ref="O2062">_xlfn.IFS(orders[[#This Row],[Customer Gender]]="M","Male", orders[[#This Row],[Customer Gender]]="F","Female", orders[[#This Row],[Customer Gender]]="O","Other", TRUE,"Unknown")</f>
        <v>Female</v>
      </c>
    </row>
    <row r="2063" spans="1:15">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f t="array" ref="O2063">_xlfn.IFS(orders[[#This Row],[Customer Gender]]="M","Male", orders[[#This Row],[Customer Gender]]="F","Female", orders[[#This Row],[Customer Gender]]="O","Other", TRUE,"Unknown")</f>
        <v>Female</v>
      </c>
    </row>
    <row r="2064" spans="1:15">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f t="array" ref="O2064">_xlfn.IFS(orders[[#This Row],[Customer Gender]]="M","Male", orders[[#This Row],[Customer Gender]]="F","Female", orders[[#This Row],[Customer Gender]]="O","Other", TRUE,"Unknown")</f>
        <v>Female</v>
      </c>
    </row>
    <row r="2065" spans="1:15">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f t="array" ref="O2065">_xlfn.IFS(orders[[#This Row],[Customer Gender]]="M","Male", orders[[#This Row],[Customer Gender]]="F","Female", orders[[#This Row],[Customer Gender]]="O","Other", TRUE,"Unknown")</f>
        <v>Female</v>
      </c>
    </row>
    <row r="2066" spans="1:15">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f t="array" ref="O2066">_xlfn.IFS(orders[[#This Row],[Customer Gender]]="M","Male", orders[[#This Row],[Customer Gender]]="F","Female", orders[[#This Row],[Customer Gender]]="O","Other", TRUE,"Unknown")</f>
        <v>Male</v>
      </c>
    </row>
    <row r="2067" spans="1:15">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f t="array" ref="O2067">_xlfn.IFS(orders[[#This Row],[Customer Gender]]="M","Male", orders[[#This Row],[Customer Gender]]="F","Female", orders[[#This Row],[Customer Gender]]="O","Other", TRUE,"Unknown")</f>
        <v>Male</v>
      </c>
    </row>
    <row r="2068" spans="1:15">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f t="array" ref="O2068">_xlfn.IFS(orders[[#This Row],[Customer Gender]]="M","Male", orders[[#This Row],[Customer Gender]]="F","Female", orders[[#This Row],[Customer Gender]]="O","Other", TRUE,"Unknown")</f>
        <v>Female</v>
      </c>
    </row>
    <row r="2069" spans="1:15">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f t="array" ref="O2069">_xlfn.IFS(orders[[#This Row],[Customer Gender]]="M","Male", orders[[#This Row],[Customer Gender]]="F","Female", orders[[#This Row],[Customer Gender]]="O","Other", TRUE,"Unknown")</f>
        <v>Female</v>
      </c>
    </row>
    <row r="2070" spans="1:15">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f t="array" ref="O2070">_xlfn.IFS(orders[[#This Row],[Customer Gender]]="M","Male", orders[[#This Row],[Customer Gender]]="F","Female", orders[[#This Row],[Customer Gender]]="O","Other", TRUE,"Unknown")</f>
        <v>Male</v>
      </c>
    </row>
    <row r="2071" spans="1:15">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f t="array" ref="O2071">_xlfn.IFS(orders[[#This Row],[Customer Gender]]="M","Male", orders[[#This Row],[Customer Gender]]="F","Female", orders[[#This Row],[Customer Gender]]="O","Other", TRUE,"Unknown")</f>
        <v>Female</v>
      </c>
    </row>
    <row r="2072" spans="1:15">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f t="array" ref="O2072">_xlfn.IFS(orders[[#This Row],[Customer Gender]]="M","Male", orders[[#This Row],[Customer Gender]]="F","Female", orders[[#This Row],[Customer Gender]]="O","Other", TRUE,"Unknown")</f>
        <v>Male</v>
      </c>
    </row>
    <row r="2073" spans="1:15">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f t="array" ref="O2073">_xlfn.IFS(orders[[#This Row],[Customer Gender]]="M","Male", orders[[#This Row],[Customer Gender]]="F","Female", orders[[#This Row],[Customer Gender]]="O","Other", TRUE,"Unknown")</f>
        <v>Male</v>
      </c>
    </row>
    <row r="2074" spans="1:15">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f t="array" ref="O2074">_xlfn.IFS(orders[[#This Row],[Customer Gender]]="M","Male", orders[[#This Row],[Customer Gender]]="F","Female", orders[[#This Row],[Customer Gender]]="O","Other", TRUE,"Unknown")</f>
        <v>Male</v>
      </c>
    </row>
    <row r="2075" spans="1:15">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f t="array" ref="O2075">_xlfn.IFS(orders[[#This Row],[Customer Gender]]="M","Male", orders[[#This Row],[Customer Gender]]="F","Female", orders[[#This Row],[Customer Gender]]="O","Other", TRUE,"Unknown")</f>
        <v>Female</v>
      </c>
    </row>
    <row r="2076" spans="1:15">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f t="array" ref="O2076">_xlfn.IFS(orders[[#This Row],[Customer Gender]]="M","Male", orders[[#This Row],[Customer Gender]]="F","Female", orders[[#This Row],[Customer Gender]]="O","Other", TRUE,"Unknown")</f>
        <v>Female</v>
      </c>
    </row>
    <row r="2077" spans="1:15">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f t="array" ref="O2077">_xlfn.IFS(orders[[#This Row],[Customer Gender]]="M","Male", orders[[#This Row],[Customer Gender]]="F","Female", orders[[#This Row],[Customer Gender]]="O","Other", TRUE,"Unknown")</f>
        <v>Male</v>
      </c>
    </row>
    <row r="2078" spans="1:15">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f t="array" ref="O2078">_xlfn.IFS(orders[[#This Row],[Customer Gender]]="M","Male", orders[[#This Row],[Customer Gender]]="F","Female", orders[[#This Row],[Customer Gender]]="O","Other", TRUE,"Unknown")</f>
        <v>Female</v>
      </c>
    </row>
    <row r="2079" spans="1:15">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f t="array" ref="O2079">_xlfn.IFS(orders[[#This Row],[Customer Gender]]="M","Male", orders[[#This Row],[Customer Gender]]="F","Female", orders[[#This Row],[Customer Gender]]="O","Other", TRUE,"Unknown")</f>
        <v>Male</v>
      </c>
    </row>
    <row r="2080" spans="1:15">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f t="array" ref="O2080">_xlfn.IFS(orders[[#This Row],[Customer Gender]]="M","Male", orders[[#This Row],[Customer Gender]]="F","Female", orders[[#This Row],[Customer Gender]]="O","Other", TRUE,"Unknown")</f>
        <v>Female</v>
      </c>
    </row>
    <row r="2081" spans="1:15">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f t="array" ref="O2081">_xlfn.IFS(orders[[#This Row],[Customer Gender]]="M","Male", orders[[#This Row],[Customer Gender]]="F","Female", orders[[#This Row],[Customer Gender]]="O","Other", TRUE,"Unknown")</f>
        <v>Male</v>
      </c>
    </row>
    <row r="2082" spans="1:15">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f t="array" ref="O2082">_xlfn.IFS(orders[[#This Row],[Customer Gender]]="M","Male", orders[[#This Row],[Customer Gender]]="F","Female", orders[[#This Row],[Customer Gender]]="O","Other", TRUE,"Unknown")</f>
        <v>Male</v>
      </c>
    </row>
    <row r="2083" spans="1:15">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f t="array" ref="O2083">_xlfn.IFS(orders[[#This Row],[Customer Gender]]="M","Male", orders[[#This Row],[Customer Gender]]="F","Female", orders[[#This Row],[Customer Gender]]="O","Other", TRUE,"Unknown")</f>
        <v>Female</v>
      </c>
    </row>
    <row r="2084" spans="1:15">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f t="array" ref="O2084">_xlfn.IFS(orders[[#This Row],[Customer Gender]]="M","Male", orders[[#This Row],[Customer Gender]]="F","Female", orders[[#This Row],[Customer Gender]]="O","Other", TRUE,"Unknown")</f>
        <v>Other</v>
      </c>
    </row>
    <row r="2085" spans="1:15">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f t="array" ref="O2085">_xlfn.IFS(orders[[#This Row],[Customer Gender]]="M","Male", orders[[#This Row],[Customer Gender]]="F","Female", orders[[#This Row],[Customer Gender]]="O","Other", TRUE,"Unknown")</f>
        <v>Female</v>
      </c>
    </row>
    <row r="2086" spans="1:15">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f t="array" ref="O2086">_xlfn.IFS(orders[[#This Row],[Customer Gender]]="M","Male", orders[[#This Row],[Customer Gender]]="F","Female", orders[[#This Row],[Customer Gender]]="O","Other", TRUE,"Unknown")</f>
        <v>Female</v>
      </c>
    </row>
    <row r="2087" spans="1:15">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f t="array" ref="O2087">_xlfn.IFS(orders[[#This Row],[Customer Gender]]="M","Male", orders[[#This Row],[Customer Gender]]="F","Female", orders[[#This Row],[Customer Gender]]="O","Other", TRUE,"Unknown")</f>
        <v>Female</v>
      </c>
    </row>
    <row r="2088" spans="1:15">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f t="array" ref="O2088">_xlfn.IFS(orders[[#This Row],[Customer Gender]]="M","Male", orders[[#This Row],[Customer Gender]]="F","Female", orders[[#This Row],[Customer Gender]]="O","Other", TRUE,"Unknown")</f>
        <v>Female</v>
      </c>
    </row>
    <row r="2089" spans="1:15">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f t="array" ref="O2089">_xlfn.IFS(orders[[#This Row],[Customer Gender]]="M","Male", orders[[#This Row],[Customer Gender]]="F","Female", orders[[#This Row],[Customer Gender]]="O","Other", TRUE,"Unknown")</f>
        <v>Male</v>
      </c>
    </row>
    <row r="2090" spans="1:15">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f t="array" ref="O2090">_xlfn.IFS(orders[[#This Row],[Customer Gender]]="M","Male", orders[[#This Row],[Customer Gender]]="F","Female", orders[[#This Row],[Customer Gender]]="O","Other", TRUE,"Unknown")</f>
        <v>Male</v>
      </c>
    </row>
    <row r="2091" spans="1:15">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f t="array" ref="O2091">_xlfn.IFS(orders[[#This Row],[Customer Gender]]="M","Male", orders[[#This Row],[Customer Gender]]="F","Female", orders[[#This Row],[Customer Gender]]="O","Other", TRUE,"Unknown")</f>
        <v>Male</v>
      </c>
    </row>
    <row r="2092" spans="1:15">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f t="array" ref="O2092">_xlfn.IFS(orders[[#This Row],[Customer Gender]]="M","Male", orders[[#This Row],[Customer Gender]]="F","Female", orders[[#This Row],[Customer Gender]]="O","Other", TRUE,"Unknown")</f>
        <v>Female</v>
      </c>
    </row>
    <row r="2093" spans="1:15">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f t="array" ref="O2093">_xlfn.IFS(orders[[#This Row],[Customer Gender]]="M","Male", orders[[#This Row],[Customer Gender]]="F","Female", orders[[#This Row],[Customer Gender]]="O","Other", TRUE,"Unknown")</f>
        <v>Male</v>
      </c>
    </row>
    <row r="2094" spans="1:15">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f t="array" ref="O2094">_xlfn.IFS(orders[[#This Row],[Customer Gender]]="M","Male", orders[[#This Row],[Customer Gender]]="F","Female", orders[[#This Row],[Customer Gender]]="O","Other", TRUE,"Unknown")</f>
        <v>Male</v>
      </c>
    </row>
    <row r="2095" spans="1:15">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f t="array" ref="O2095">_xlfn.IFS(orders[[#This Row],[Customer Gender]]="M","Male", orders[[#This Row],[Customer Gender]]="F","Female", orders[[#This Row],[Customer Gender]]="O","Other", TRUE,"Unknown")</f>
        <v>Male</v>
      </c>
    </row>
    <row r="2096" spans="1:15">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f t="array" ref="O2096">_xlfn.IFS(orders[[#This Row],[Customer Gender]]="M","Male", orders[[#This Row],[Customer Gender]]="F","Female", orders[[#This Row],[Customer Gender]]="O","Other", TRUE,"Unknown")</f>
        <v>Female</v>
      </c>
    </row>
    <row r="2097" spans="1:15">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f t="array" ref="O2097">_xlfn.IFS(orders[[#This Row],[Customer Gender]]="M","Male", orders[[#This Row],[Customer Gender]]="F","Female", orders[[#This Row],[Customer Gender]]="O","Other", TRUE,"Unknown")</f>
        <v>Male</v>
      </c>
    </row>
    <row r="2098" spans="1:15">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f t="array" ref="O2098">_xlfn.IFS(orders[[#This Row],[Customer Gender]]="M","Male", orders[[#This Row],[Customer Gender]]="F","Female", orders[[#This Row],[Customer Gender]]="O","Other", TRUE,"Unknown")</f>
        <v>Female</v>
      </c>
    </row>
    <row r="2099" spans="1:15">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f t="array" ref="O2099">_xlfn.IFS(orders[[#This Row],[Customer Gender]]="M","Male", orders[[#This Row],[Customer Gender]]="F","Female", orders[[#This Row],[Customer Gender]]="O","Other", TRUE,"Unknown")</f>
        <v>Male</v>
      </c>
    </row>
    <row r="2100" spans="1:15">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f t="array" ref="O2100">_xlfn.IFS(orders[[#This Row],[Customer Gender]]="M","Male", orders[[#This Row],[Customer Gender]]="F","Female", orders[[#This Row],[Customer Gender]]="O","Other", TRUE,"Unknown")</f>
        <v>Male</v>
      </c>
    </row>
    <row r="2101" spans="1:15">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f t="array" ref="O2101">_xlfn.IFS(orders[[#This Row],[Customer Gender]]="M","Male", orders[[#This Row],[Customer Gender]]="F","Female", orders[[#This Row],[Customer Gender]]="O","Other", TRUE,"Unknown")</f>
        <v>Male</v>
      </c>
    </row>
    <row r="2102" spans="1:15">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f t="array" ref="O2102">_xlfn.IFS(orders[[#This Row],[Customer Gender]]="M","Male", orders[[#This Row],[Customer Gender]]="F","Female", orders[[#This Row],[Customer Gender]]="O","Other", TRUE,"Unknown")</f>
        <v>Female</v>
      </c>
    </row>
    <row r="2103" spans="1:15">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f t="array" ref="O2103">_xlfn.IFS(orders[[#This Row],[Customer Gender]]="M","Male", orders[[#This Row],[Customer Gender]]="F","Female", orders[[#This Row],[Customer Gender]]="O","Other", TRUE,"Unknown")</f>
        <v>Male</v>
      </c>
    </row>
    <row r="2104" spans="1:15">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f t="array" ref="O2104">_xlfn.IFS(orders[[#This Row],[Customer Gender]]="M","Male", orders[[#This Row],[Customer Gender]]="F","Female", orders[[#This Row],[Customer Gender]]="O","Other", TRUE,"Unknown")</f>
        <v>Female</v>
      </c>
    </row>
    <row r="2105" spans="1:15">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f t="array" ref="O2105">_xlfn.IFS(orders[[#This Row],[Customer Gender]]="M","Male", orders[[#This Row],[Customer Gender]]="F","Female", orders[[#This Row],[Customer Gender]]="O","Other", TRUE,"Unknown")</f>
        <v>Female</v>
      </c>
    </row>
    <row r="2106" spans="1:15">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f t="array" ref="O2106">_xlfn.IFS(orders[[#This Row],[Customer Gender]]="M","Male", orders[[#This Row],[Customer Gender]]="F","Female", orders[[#This Row],[Customer Gender]]="O","Other", TRUE,"Unknown")</f>
        <v>Female</v>
      </c>
    </row>
    <row r="2107" spans="1:15">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f t="array" ref="O2107">_xlfn.IFS(orders[[#This Row],[Customer Gender]]="M","Male", orders[[#This Row],[Customer Gender]]="F","Female", orders[[#This Row],[Customer Gender]]="O","Other", TRUE,"Unknown")</f>
        <v>Female</v>
      </c>
    </row>
    <row r="2108" spans="1:15">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f t="array" ref="O2108">_xlfn.IFS(orders[[#This Row],[Customer Gender]]="M","Male", orders[[#This Row],[Customer Gender]]="F","Female", orders[[#This Row],[Customer Gender]]="O","Other", TRUE,"Unknown")</f>
        <v>Male</v>
      </c>
    </row>
    <row r="2109" spans="1:15">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f t="array" ref="O2109">_xlfn.IFS(orders[[#This Row],[Customer Gender]]="M","Male", orders[[#This Row],[Customer Gender]]="F","Female", orders[[#This Row],[Customer Gender]]="O","Other", TRUE,"Unknown")</f>
        <v>Female</v>
      </c>
    </row>
    <row r="2110" spans="1:15">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f t="array" ref="O2110">_xlfn.IFS(orders[[#This Row],[Customer Gender]]="M","Male", orders[[#This Row],[Customer Gender]]="F","Female", orders[[#This Row],[Customer Gender]]="O","Other", TRUE,"Unknown")</f>
        <v>Male</v>
      </c>
    </row>
    <row r="2111" spans="1:15">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f t="array" ref="O2111">_xlfn.IFS(orders[[#This Row],[Customer Gender]]="M","Male", orders[[#This Row],[Customer Gender]]="F","Female", orders[[#This Row],[Customer Gender]]="O","Other", TRUE,"Unknown")</f>
        <v>Male</v>
      </c>
    </row>
    <row r="2112" spans="1:15">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f t="array" ref="O2112">_xlfn.IFS(orders[[#This Row],[Customer Gender]]="M","Male", orders[[#This Row],[Customer Gender]]="F","Female", orders[[#This Row],[Customer Gender]]="O","Other", TRUE,"Unknown")</f>
        <v>Female</v>
      </c>
    </row>
    <row r="2113" spans="1:15">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f t="array" ref="O2113">_xlfn.IFS(orders[[#This Row],[Customer Gender]]="M","Male", orders[[#This Row],[Customer Gender]]="F","Female", orders[[#This Row],[Customer Gender]]="O","Other", TRUE,"Unknown")</f>
        <v>Other</v>
      </c>
    </row>
    <row r="2114" spans="1:15">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f t="array" ref="O2114">_xlfn.IFS(orders[[#This Row],[Customer Gender]]="M","Male", orders[[#This Row],[Customer Gender]]="F","Female", orders[[#This Row],[Customer Gender]]="O","Other", TRUE,"Unknown")</f>
        <v>Male</v>
      </c>
    </row>
    <row r="2115" spans="1:15">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f t="array" ref="O2115">_xlfn.IFS(orders[[#This Row],[Customer Gender]]="M","Male", orders[[#This Row],[Customer Gender]]="F","Female", orders[[#This Row],[Customer Gender]]="O","Other", TRUE,"Unknown")</f>
        <v>Female</v>
      </c>
    </row>
    <row r="2116" spans="1:15">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f t="array" ref="O2116">_xlfn.IFS(orders[[#This Row],[Customer Gender]]="M","Male", orders[[#This Row],[Customer Gender]]="F","Female", orders[[#This Row],[Customer Gender]]="O","Other", TRUE,"Unknown")</f>
        <v>Female</v>
      </c>
    </row>
    <row r="2117" spans="1:15">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f t="array" ref="O2117">_xlfn.IFS(orders[[#This Row],[Customer Gender]]="M","Male", orders[[#This Row],[Customer Gender]]="F","Female", orders[[#This Row],[Customer Gender]]="O","Other", TRUE,"Unknown")</f>
        <v>Female</v>
      </c>
    </row>
    <row r="2118" spans="1:15">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f t="array" ref="O2118">_xlfn.IFS(orders[[#This Row],[Customer Gender]]="M","Male", orders[[#This Row],[Customer Gender]]="F","Female", orders[[#This Row],[Customer Gender]]="O","Other", TRUE,"Unknown")</f>
        <v>Male</v>
      </c>
    </row>
    <row r="2119" spans="1:15">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f t="array" ref="O2119">_xlfn.IFS(orders[[#This Row],[Customer Gender]]="M","Male", orders[[#This Row],[Customer Gender]]="F","Female", orders[[#This Row],[Customer Gender]]="O","Other", TRUE,"Unknown")</f>
        <v>Male</v>
      </c>
    </row>
    <row r="2120" spans="1:15">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f t="array" ref="O2120">_xlfn.IFS(orders[[#This Row],[Customer Gender]]="M","Male", orders[[#This Row],[Customer Gender]]="F","Female", orders[[#This Row],[Customer Gender]]="O","Other", TRUE,"Unknown")</f>
        <v>Male</v>
      </c>
    </row>
    <row r="2121" spans="1:15">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f t="array" ref="O2121">_xlfn.IFS(orders[[#This Row],[Customer Gender]]="M","Male", orders[[#This Row],[Customer Gender]]="F","Female", orders[[#This Row],[Customer Gender]]="O","Other", TRUE,"Unknown")</f>
        <v>Male</v>
      </c>
    </row>
    <row r="2122" spans="1:15">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f t="array" ref="O2122">_xlfn.IFS(orders[[#This Row],[Customer Gender]]="M","Male", orders[[#This Row],[Customer Gender]]="F","Female", orders[[#This Row],[Customer Gender]]="O","Other", TRUE,"Unknown")</f>
        <v>Female</v>
      </c>
    </row>
    <row r="2123" spans="1:15">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f t="array" ref="O2123">_xlfn.IFS(orders[[#This Row],[Customer Gender]]="M","Male", orders[[#This Row],[Customer Gender]]="F","Female", orders[[#This Row],[Customer Gender]]="O","Other", TRUE,"Unknown")</f>
        <v>Female</v>
      </c>
    </row>
    <row r="2124" spans="1:15">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f t="array" ref="O2124">_xlfn.IFS(orders[[#This Row],[Customer Gender]]="M","Male", orders[[#This Row],[Customer Gender]]="F","Female", orders[[#This Row],[Customer Gender]]="O","Other", TRUE,"Unknown")</f>
        <v>Unknown</v>
      </c>
    </row>
    <row r="2125" spans="1:15">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f t="array" ref="O2125">_xlfn.IFS(orders[[#This Row],[Customer Gender]]="M","Male", orders[[#This Row],[Customer Gender]]="F","Female", orders[[#This Row],[Customer Gender]]="O","Other", TRUE,"Unknown")</f>
        <v>Male</v>
      </c>
    </row>
    <row r="2126" spans="1:15">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f t="array" ref="O2126">_xlfn.IFS(orders[[#This Row],[Customer Gender]]="M","Male", orders[[#This Row],[Customer Gender]]="F","Female", orders[[#This Row],[Customer Gender]]="O","Other", TRUE,"Unknown")</f>
        <v>Female</v>
      </c>
    </row>
    <row r="2127" spans="1:15">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f t="array" ref="O2127">_xlfn.IFS(orders[[#This Row],[Customer Gender]]="M","Male", orders[[#This Row],[Customer Gender]]="F","Female", orders[[#This Row],[Customer Gender]]="O","Other", TRUE,"Unknown")</f>
        <v>Female</v>
      </c>
    </row>
    <row r="2128" spans="1:15">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f t="array" ref="O2128">_xlfn.IFS(orders[[#This Row],[Customer Gender]]="M","Male", orders[[#This Row],[Customer Gender]]="F","Female", orders[[#This Row],[Customer Gender]]="O","Other", TRUE,"Unknown")</f>
        <v>Female</v>
      </c>
    </row>
    <row r="2129" spans="1:15">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f t="array" ref="O2129">_xlfn.IFS(orders[[#This Row],[Customer Gender]]="M","Male", orders[[#This Row],[Customer Gender]]="F","Female", orders[[#This Row],[Customer Gender]]="O","Other", TRUE,"Unknown")</f>
        <v>Female</v>
      </c>
    </row>
    <row r="2130" spans="1:15">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f t="array" ref="O2130">_xlfn.IFS(orders[[#This Row],[Customer Gender]]="M","Male", orders[[#This Row],[Customer Gender]]="F","Female", orders[[#This Row],[Customer Gender]]="O","Other", TRUE,"Unknown")</f>
        <v>Male</v>
      </c>
    </row>
    <row r="2131" spans="1:15">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f t="array" ref="O2131">_xlfn.IFS(orders[[#This Row],[Customer Gender]]="M","Male", orders[[#This Row],[Customer Gender]]="F","Female", orders[[#This Row],[Customer Gender]]="O","Other", TRUE,"Unknown")</f>
        <v>Female</v>
      </c>
    </row>
    <row r="2132" spans="1:15">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f t="array" ref="O2132">_xlfn.IFS(orders[[#This Row],[Customer Gender]]="M","Male", orders[[#This Row],[Customer Gender]]="F","Female", orders[[#This Row],[Customer Gender]]="O","Other", TRUE,"Unknown")</f>
        <v>Unknown</v>
      </c>
    </row>
    <row r="2133" spans="1:15">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f t="array" ref="O2133">_xlfn.IFS(orders[[#This Row],[Customer Gender]]="M","Male", orders[[#This Row],[Customer Gender]]="F","Female", orders[[#This Row],[Customer Gender]]="O","Other", TRUE,"Unknown")</f>
        <v>Female</v>
      </c>
    </row>
    <row r="2134" spans="1:15">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f t="array" ref="O2134">_xlfn.IFS(orders[[#This Row],[Customer Gender]]="M","Male", orders[[#This Row],[Customer Gender]]="F","Female", orders[[#This Row],[Customer Gender]]="O","Other", TRUE,"Unknown")</f>
        <v>Male</v>
      </c>
    </row>
    <row r="2135" spans="1:15">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f t="array" ref="O2135">_xlfn.IFS(orders[[#This Row],[Customer Gender]]="M","Male", orders[[#This Row],[Customer Gender]]="F","Female", orders[[#This Row],[Customer Gender]]="O","Other", TRUE,"Unknown")</f>
        <v>Male</v>
      </c>
    </row>
    <row r="2136" spans="1:15">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f t="array" ref="O2136">_xlfn.IFS(orders[[#This Row],[Customer Gender]]="M","Male", orders[[#This Row],[Customer Gender]]="F","Female", orders[[#This Row],[Customer Gender]]="O","Other", TRUE,"Unknown")</f>
        <v>Male</v>
      </c>
    </row>
    <row r="2137" spans="1:15">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f t="array" ref="O2137">_xlfn.IFS(orders[[#This Row],[Customer Gender]]="M","Male", orders[[#This Row],[Customer Gender]]="F","Female", orders[[#This Row],[Customer Gender]]="O","Other", TRUE,"Unknown")</f>
        <v>Male</v>
      </c>
    </row>
    <row r="2138" spans="1:15">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f t="array" ref="O2138">_xlfn.IFS(orders[[#This Row],[Customer Gender]]="M","Male", orders[[#This Row],[Customer Gender]]="F","Female", orders[[#This Row],[Customer Gender]]="O","Other", TRUE,"Unknown")</f>
        <v>Male</v>
      </c>
    </row>
    <row r="2139" spans="1:15">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f t="array" ref="O2139">_xlfn.IFS(orders[[#This Row],[Customer Gender]]="M","Male", orders[[#This Row],[Customer Gender]]="F","Female", orders[[#This Row],[Customer Gender]]="O","Other", TRUE,"Unknown")</f>
        <v>Male</v>
      </c>
    </row>
    <row r="2140" spans="1:15">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f t="array" ref="O2140">_xlfn.IFS(orders[[#This Row],[Customer Gender]]="M","Male", orders[[#This Row],[Customer Gender]]="F","Female", orders[[#This Row],[Customer Gender]]="O","Other", TRUE,"Unknown")</f>
        <v>Female</v>
      </c>
    </row>
    <row r="2141" spans="1:15">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f t="array" ref="O2141">_xlfn.IFS(orders[[#This Row],[Customer Gender]]="M","Male", orders[[#This Row],[Customer Gender]]="F","Female", orders[[#This Row],[Customer Gender]]="O","Other", TRUE,"Unknown")</f>
        <v>Female</v>
      </c>
    </row>
    <row r="2142" spans="1:15">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f t="array" ref="O2142">_xlfn.IFS(orders[[#This Row],[Customer Gender]]="M","Male", orders[[#This Row],[Customer Gender]]="F","Female", orders[[#This Row],[Customer Gender]]="O","Other", TRUE,"Unknown")</f>
        <v>Male</v>
      </c>
    </row>
    <row r="2143" spans="1:15">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f t="array" ref="O2143">_xlfn.IFS(orders[[#This Row],[Customer Gender]]="M","Male", orders[[#This Row],[Customer Gender]]="F","Female", orders[[#This Row],[Customer Gender]]="O","Other", TRUE,"Unknown")</f>
        <v>Male</v>
      </c>
    </row>
    <row r="2144" spans="1:15">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f t="array" ref="O2144">_xlfn.IFS(orders[[#This Row],[Customer Gender]]="M","Male", orders[[#This Row],[Customer Gender]]="F","Female", orders[[#This Row],[Customer Gender]]="O","Other", TRUE,"Unknown")</f>
        <v>Male</v>
      </c>
    </row>
    <row r="2145" spans="1:15">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f t="array" ref="O2145">_xlfn.IFS(orders[[#This Row],[Customer Gender]]="M","Male", orders[[#This Row],[Customer Gender]]="F","Female", orders[[#This Row],[Customer Gender]]="O","Other", TRUE,"Unknown")</f>
        <v>Female</v>
      </c>
    </row>
    <row r="2146" spans="1:15">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f t="array" ref="O2146">_xlfn.IFS(orders[[#This Row],[Customer Gender]]="M","Male", orders[[#This Row],[Customer Gender]]="F","Female", orders[[#This Row],[Customer Gender]]="O","Other", TRUE,"Unknown")</f>
        <v>Male</v>
      </c>
    </row>
    <row r="2147" spans="1:15">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f t="array" ref="O2147">_xlfn.IFS(orders[[#This Row],[Customer Gender]]="M","Male", orders[[#This Row],[Customer Gender]]="F","Female", orders[[#This Row],[Customer Gender]]="O","Other", TRUE,"Unknown")</f>
        <v>Female</v>
      </c>
    </row>
    <row r="2148" spans="1:15">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f t="array" ref="O2148">_xlfn.IFS(orders[[#This Row],[Customer Gender]]="M","Male", orders[[#This Row],[Customer Gender]]="F","Female", orders[[#This Row],[Customer Gender]]="O","Other", TRUE,"Unknown")</f>
        <v>Female</v>
      </c>
    </row>
    <row r="2149" spans="1:15">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f t="array" ref="O2149">_xlfn.IFS(orders[[#This Row],[Customer Gender]]="M","Male", orders[[#This Row],[Customer Gender]]="F","Female", orders[[#This Row],[Customer Gender]]="O","Other", TRUE,"Unknown")</f>
        <v>Male</v>
      </c>
    </row>
    <row r="2150" spans="1:15">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f t="array" ref="O2150">_xlfn.IFS(orders[[#This Row],[Customer Gender]]="M","Male", orders[[#This Row],[Customer Gender]]="F","Female", orders[[#This Row],[Customer Gender]]="O","Other", TRUE,"Unknown")</f>
        <v>Female</v>
      </c>
    </row>
    <row r="2151" spans="1:15">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f t="array" ref="O2151">_xlfn.IFS(orders[[#This Row],[Customer Gender]]="M","Male", orders[[#This Row],[Customer Gender]]="F","Female", orders[[#This Row],[Customer Gender]]="O","Other", TRUE,"Unknown")</f>
        <v>Male</v>
      </c>
    </row>
    <row r="2152" spans="1:15">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f t="array" ref="O2152">_xlfn.IFS(orders[[#This Row],[Customer Gender]]="M","Male", orders[[#This Row],[Customer Gender]]="F","Female", orders[[#This Row],[Customer Gender]]="O","Other", TRUE,"Unknown")</f>
        <v>Female</v>
      </c>
    </row>
    <row r="2153" spans="1:15">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f t="array" ref="O2153">_xlfn.IFS(orders[[#This Row],[Customer Gender]]="M","Male", orders[[#This Row],[Customer Gender]]="F","Female", orders[[#This Row],[Customer Gender]]="O","Other", TRUE,"Unknown")</f>
        <v>Female</v>
      </c>
    </row>
    <row r="2154" spans="1:15">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f t="array" ref="O2154">_xlfn.IFS(orders[[#This Row],[Customer Gender]]="M","Male", orders[[#This Row],[Customer Gender]]="F","Female", orders[[#This Row],[Customer Gender]]="O","Other", TRUE,"Unknown")</f>
        <v>Female</v>
      </c>
    </row>
    <row r="2155" spans="1:15">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f t="array" ref="O2155">_xlfn.IFS(orders[[#This Row],[Customer Gender]]="M","Male", orders[[#This Row],[Customer Gender]]="F","Female", orders[[#This Row],[Customer Gender]]="O","Other", TRUE,"Unknown")</f>
        <v>Female</v>
      </c>
    </row>
    <row r="2156" spans="1:15">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f t="array" ref="O2156">_xlfn.IFS(orders[[#This Row],[Customer Gender]]="M","Male", orders[[#This Row],[Customer Gender]]="F","Female", orders[[#This Row],[Customer Gender]]="O","Other", TRUE,"Unknown")</f>
        <v>Male</v>
      </c>
    </row>
    <row r="2157" spans="1:15">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f t="array" ref="O2157">_xlfn.IFS(orders[[#This Row],[Customer Gender]]="M","Male", orders[[#This Row],[Customer Gender]]="F","Female", orders[[#This Row],[Customer Gender]]="O","Other", TRUE,"Unknown")</f>
        <v>Male</v>
      </c>
    </row>
    <row r="2158" spans="1:15">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f t="array" ref="O2158">_xlfn.IFS(orders[[#This Row],[Customer Gender]]="M","Male", orders[[#This Row],[Customer Gender]]="F","Female", orders[[#This Row],[Customer Gender]]="O","Other", TRUE,"Unknown")</f>
        <v>Female</v>
      </c>
    </row>
    <row r="2159" spans="1:15">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f t="array" ref="O2159">_xlfn.IFS(orders[[#This Row],[Customer Gender]]="M","Male", orders[[#This Row],[Customer Gender]]="F","Female", orders[[#This Row],[Customer Gender]]="O","Other", TRUE,"Unknown")</f>
        <v>Female</v>
      </c>
    </row>
    <row r="2160" spans="1:15">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f t="array" ref="O2160">_xlfn.IFS(orders[[#This Row],[Customer Gender]]="M","Male", orders[[#This Row],[Customer Gender]]="F","Female", orders[[#This Row],[Customer Gender]]="O","Other", TRUE,"Unknown")</f>
        <v>Unknown</v>
      </c>
    </row>
    <row r="2161" spans="1:15">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f t="array" ref="O2161">_xlfn.IFS(orders[[#This Row],[Customer Gender]]="M","Male", orders[[#This Row],[Customer Gender]]="F","Female", orders[[#This Row],[Customer Gender]]="O","Other", TRUE,"Unknown")</f>
        <v>Male</v>
      </c>
    </row>
    <row r="2162" spans="1:15">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f t="array" ref="O2162">_xlfn.IFS(orders[[#This Row],[Customer Gender]]="M","Male", orders[[#This Row],[Customer Gender]]="F","Female", orders[[#This Row],[Customer Gender]]="O","Other", TRUE,"Unknown")</f>
        <v>Female</v>
      </c>
    </row>
    <row r="2163" spans="1:15">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f t="array" ref="O2163">_xlfn.IFS(orders[[#This Row],[Customer Gender]]="M","Male", orders[[#This Row],[Customer Gender]]="F","Female", orders[[#This Row],[Customer Gender]]="O","Other", TRUE,"Unknown")</f>
        <v>Male</v>
      </c>
    </row>
    <row r="2164" spans="1:15">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f t="array" ref="O2164">_xlfn.IFS(orders[[#This Row],[Customer Gender]]="M","Male", orders[[#This Row],[Customer Gender]]="F","Female", orders[[#This Row],[Customer Gender]]="O","Other", TRUE,"Unknown")</f>
        <v>Male</v>
      </c>
    </row>
    <row r="2165" spans="1:15">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f t="array" ref="O2165">_xlfn.IFS(orders[[#This Row],[Customer Gender]]="M","Male", orders[[#This Row],[Customer Gender]]="F","Female", orders[[#This Row],[Customer Gender]]="O","Other", TRUE,"Unknown")</f>
        <v>Male</v>
      </c>
    </row>
    <row r="2166" spans="1:15">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f t="array" ref="O2166">_xlfn.IFS(orders[[#This Row],[Customer Gender]]="M","Male", orders[[#This Row],[Customer Gender]]="F","Female", orders[[#This Row],[Customer Gender]]="O","Other", TRUE,"Unknown")</f>
        <v>Male</v>
      </c>
    </row>
    <row r="2167" spans="1:15">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f t="array" ref="O2167">_xlfn.IFS(orders[[#This Row],[Customer Gender]]="M","Male", orders[[#This Row],[Customer Gender]]="F","Female", orders[[#This Row],[Customer Gender]]="O","Other", TRUE,"Unknown")</f>
        <v>Male</v>
      </c>
    </row>
    <row r="2168" spans="1:15">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f t="array" ref="O2168">_xlfn.IFS(orders[[#This Row],[Customer Gender]]="M","Male", orders[[#This Row],[Customer Gender]]="F","Female", orders[[#This Row],[Customer Gender]]="O","Other", TRUE,"Unknown")</f>
        <v>Unknown</v>
      </c>
    </row>
    <row r="2169" spans="1:15">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f t="array" ref="O2169">_xlfn.IFS(orders[[#This Row],[Customer Gender]]="M","Male", orders[[#This Row],[Customer Gender]]="F","Female", orders[[#This Row],[Customer Gender]]="O","Other", TRUE,"Unknown")</f>
        <v>Female</v>
      </c>
    </row>
    <row r="2170" spans="1:15">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f t="array" ref="O2170">_xlfn.IFS(orders[[#This Row],[Customer Gender]]="M","Male", orders[[#This Row],[Customer Gender]]="F","Female", orders[[#This Row],[Customer Gender]]="O","Other", TRUE,"Unknown")</f>
        <v>Male</v>
      </c>
    </row>
    <row r="2171" spans="1:15">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f t="array" ref="O2171">_xlfn.IFS(orders[[#This Row],[Customer Gender]]="M","Male", orders[[#This Row],[Customer Gender]]="F","Female", orders[[#This Row],[Customer Gender]]="O","Other", TRUE,"Unknown")</f>
        <v>Male</v>
      </c>
    </row>
    <row r="2172" spans="1:15">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f t="array" ref="O2172">_xlfn.IFS(orders[[#This Row],[Customer Gender]]="M","Male", orders[[#This Row],[Customer Gender]]="F","Female", orders[[#This Row],[Customer Gender]]="O","Other", TRUE,"Unknown")</f>
        <v>Female</v>
      </c>
    </row>
    <row r="2173" spans="1:15">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f t="array" ref="O2173">_xlfn.IFS(orders[[#This Row],[Customer Gender]]="M","Male", orders[[#This Row],[Customer Gender]]="F","Female", orders[[#This Row],[Customer Gender]]="O","Other", TRUE,"Unknown")</f>
        <v>Male</v>
      </c>
    </row>
    <row r="2174" spans="1:15">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f t="array" ref="O2174">_xlfn.IFS(orders[[#This Row],[Customer Gender]]="M","Male", orders[[#This Row],[Customer Gender]]="F","Female", orders[[#This Row],[Customer Gender]]="O","Other", TRUE,"Unknown")</f>
        <v>Male</v>
      </c>
    </row>
    <row r="2175" spans="1:15">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f t="array" ref="O2175">_xlfn.IFS(orders[[#This Row],[Customer Gender]]="M","Male", orders[[#This Row],[Customer Gender]]="F","Female", orders[[#This Row],[Customer Gender]]="O","Other", TRUE,"Unknown")</f>
        <v>Female</v>
      </c>
    </row>
    <row r="2176" spans="1:15">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f t="array" ref="O2176">_xlfn.IFS(orders[[#This Row],[Customer Gender]]="M","Male", orders[[#This Row],[Customer Gender]]="F","Female", orders[[#This Row],[Customer Gender]]="O","Other", TRUE,"Unknown")</f>
        <v>Female</v>
      </c>
    </row>
    <row r="2177" spans="1:15">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f t="array" ref="O2177">_xlfn.IFS(orders[[#This Row],[Customer Gender]]="M","Male", orders[[#This Row],[Customer Gender]]="F","Female", orders[[#This Row],[Customer Gender]]="O","Other", TRUE,"Unknown")</f>
        <v>Male</v>
      </c>
    </row>
    <row r="2178" spans="1:15">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f t="array" ref="O2178">_xlfn.IFS(orders[[#This Row],[Customer Gender]]="M","Male", orders[[#This Row],[Customer Gender]]="F","Female", orders[[#This Row],[Customer Gender]]="O","Other", TRUE,"Unknown")</f>
        <v>Female</v>
      </c>
    </row>
    <row r="2179" spans="1:15">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f t="array" ref="O2179">_xlfn.IFS(orders[[#This Row],[Customer Gender]]="M","Male", orders[[#This Row],[Customer Gender]]="F","Female", orders[[#This Row],[Customer Gender]]="O","Other", TRUE,"Unknown")</f>
        <v>Female</v>
      </c>
    </row>
    <row r="2180" spans="1:15">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f t="array" ref="O2180">_xlfn.IFS(orders[[#This Row],[Customer Gender]]="M","Male", orders[[#This Row],[Customer Gender]]="F","Female", orders[[#This Row],[Customer Gender]]="O","Other", TRUE,"Unknown")</f>
        <v>Female</v>
      </c>
    </row>
    <row r="2181" spans="1:15">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f t="array" ref="O2181">_xlfn.IFS(orders[[#This Row],[Customer Gender]]="M","Male", orders[[#This Row],[Customer Gender]]="F","Female", orders[[#This Row],[Customer Gender]]="O","Other", TRUE,"Unknown")</f>
        <v>Male</v>
      </c>
    </row>
    <row r="2182" spans="1:15">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f t="array" ref="O2182">_xlfn.IFS(orders[[#This Row],[Customer Gender]]="M","Male", orders[[#This Row],[Customer Gender]]="F","Female", orders[[#This Row],[Customer Gender]]="O","Other", TRUE,"Unknown")</f>
        <v>Male</v>
      </c>
    </row>
    <row r="2183" spans="1:15">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f t="array" ref="O2183">_xlfn.IFS(orders[[#This Row],[Customer Gender]]="M","Male", orders[[#This Row],[Customer Gender]]="F","Female", orders[[#This Row],[Customer Gender]]="O","Other", TRUE,"Unknown")</f>
        <v>Male</v>
      </c>
    </row>
    <row r="2184" spans="1:15">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f t="array" ref="O2184">_xlfn.IFS(orders[[#This Row],[Customer Gender]]="M","Male", orders[[#This Row],[Customer Gender]]="F","Female", orders[[#This Row],[Customer Gender]]="O","Other", TRUE,"Unknown")</f>
        <v>Other</v>
      </c>
    </row>
    <row r="2185" spans="1:15">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f t="array" ref="O2185">_xlfn.IFS(orders[[#This Row],[Customer Gender]]="M","Male", orders[[#This Row],[Customer Gender]]="F","Female", orders[[#This Row],[Customer Gender]]="O","Other", TRUE,"Unknown")</f>
        <v>Female</v>
      </c>
    </row>
    <row r="2186" spans="1:15">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f t="array" ref="O2186">_xlfn.IFS(orders[[#This Row],[Customer Gender]]="M","Male", orders[[#This Row],[Customer Gender]]="F","Female", orders[[#This Row],[Customer Gender]]="O","Other", TRUE,"Unknown")</f>
        <v>Male</v>
      </c>
    </row>
    <row r="2187" spans="1:15">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f t="array" ref="O2187">_xlfn.IFS(orders[[#This Row],[Customer Gender]]="M","Male", orders[[#This Row],[Customer Gender]]="F","Female", orders[[#This Row],[Customer Gender]]="O","Other", TRUE,"Unknown")</f>
        <v>Male</v>
      </c>
    </row>
    <row r="2188" spans="1:15">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f t="array" ref="O2188">_xlfn.IFS(orders[[#This Row],[Customer Gender]]="M","Male", orders[[#This Row],[Customer Gender]]="F","Female", orders[[#This Row],[Customer Gender]]="O","Other", TRUE,"Unknown")</f>
        <v>Female</v>
      </c>
    </row>
    <row r="2189" spans="1:15">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f t="array" ref="O2189">_xlfn.IFS(orders[[#This Row],[Customer Gender]]="M","Male", orders[[#This Row],[Customer Gender]]="F","Female", orders[[#This Row],[Customer Gender]]="O","Other", TRUE,"Unknown")</f>
        <v>Female</v>
      </c>
    </row>
    <row r="2190" spans="1:15">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f t="array" ref="O2190">_xlfn.IFS(orders[[#This Row],[Customer Gender]]="M","Male", orders[[#This Row],[Customer Gender]]="F","Female", orders[[#This Row],[Customer Gender]]="O","Other", TRUE,"Unknown")</f>
        <v>Male</v>
      </c>
    </row>
    <row r="2191" spans="1:15">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f t="array" ref="O2191">_xlfn.IFS(orders[[#This Row],[Customer Gender]]="M","Male", orders[[#This Row],[Customer Gender]]="F","Female", orders[[#This Row],[Customer Gender]]="O","Other", TRUE,"Unknown")</f>
        <v>Male</v>
      </c>
    </row>
    <row r="2192" spans="1:15">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f t="array" ref="O2192">_xlfn.IFS(orders[[#This Row],[Customer Gender]]="M","Male", orders[[#This Row],[Customer Gender]]="F","Female", orders[[#This Row],[Customer Gender]]="O","Other", TRUE,"Unknown")</f>
        <v>Male</v>
      </c>
    </row>
    <row r="2193" spans="1:15">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f t="array" ref="O2193">_xlfn.IFS(orders[[#This Row],[Customer Gender]]="M","Male", orders[[#This Row],[Customer Gender]]="F","Female", orders[[#This Row],[Customer Gender]]="O","Other", TRUE,"Unknown")</f>
        <v>Male</v>
      </c>
    </row>
    <row r="2194" spans="1:15">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f t="array" ref="O2194">_xlfn.IFS(orders[[#This Row],[Customer Gender]]="M","Male", orders[[#This Row],[Customer Gender]]="F","Female", orders[[#This Row],[Customer Gender]]="O","Other", TRUE,"Unknown")</f>
        <v>Male</v>
      </c>
    </row>
    <row r="2195" spans="1:15">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f t="array" ref="O2195">_xlfn.IFS(orders[[#This Row],[Customer Gender]]="M","Male", orders[[#This Row],[Customer Gender]]="F","Female", orders[[#This Row],[Customer Gender]]="O","Other", TRUE,"Unknown")</f>
        <v>Female</v>
      </c>
    </row>
    <row r="2196" spans="1:15">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f t="array" ref="O2196">_xlfn.IFS(orders[[#This Row],[Customer Gender]]="M","Male", orders[[#This Row],[Customer Gender]]="F","Female", orders[[#This Row],[Customer Gender]]="O","Other", TRUE,"Unknown")</f>
        <v>Male</v>
      </c>
    </row>
    <row r="2197" spans="1:15">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f t="array" ref="O2197">_xlfn.IFS(orders[[#This Row],[Customer Gender]]="M","Male", orders[[#This Row],[Customer Gender]]="F","Female", orders[[#This Row],[Customer Gender]]="O","Other", TRUE,"Unknown")</f>
        <v>Male</v>
      </c>
    </row>
    <row r="2198" spans="1:15">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f t="array" ref="O2198">_xlfn.IFS(orders[[#This Row],[Customer Gender]]="M","Male", orders[[#This Row],[Customer Gender]]="F","Female", orders[[#This Row],[Customer Gender]]="O","Other", TRUE,"Unknown")</f>
        <v>Female</v>
      </c>
    </row>
    <row r="2199" spans="1:15">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f t="array" ref="O2199">_xlfn.IFS(orders[[#This Row],[Customer Gender]]="M","Male", orders[[#This Row],[Customer Gender]]="F","Female", orders[[#This Row],[Customer Gender]]="O","Other", TRUE,"Unknown")</f>
        <v>Female</v>
      </c>
    </row>
    <row r="2200" spans="1:15">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f t="array" ref="O2200">_xlfn.IFS(orders[[#This Row],[Customer Gender]]="M","Male", orders[[#This Row],[Customer Gender]]="F","Female", orders[[#This Row],[Customer Gender]]="O","Other", TRUE,"Unknown")</f>
        <v>Male</v>
      </c>
    </row>
    <row r="2201" spans="1:15">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f t="array" ref="O2201">_xlfn.IFS(orders[[#This Row],[Customer Gender]]="M","Male", orders[[#This Row],[Customer Gender]]="F","Female", orders[[#This Row],[Customer Gender]]="O","Other", TRUE,"Unknown")</f>
        <v>Male</v>
      </c>
    </row>
    <row r="2202" spans="1:15">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f t="array" ref="O2202">_xlfn.IFS(orders[[#This Row],[Customer Gender]]="M","Male", orders[[#This Row],[Customer Gender]]="F","Female", orders[[#This Row],[Customer Gender]]="O","Other", TRUE,"Unknown")</f>
        <v>Male</v>
      </c>
    </row>
    <row r="2203" spans="1:15">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f t="array" ref="O2203">_xlfn.IFS(orders[[#This Row],[Customer Gender]]="M","Male", orders[[#This Row],[Customer Gender]]="F","Female", orders[[#This Row],[Customer Gender]]="O","Other", TRUE,"Unknown")</f>
        <v>Male</v>
      </c>
    </row>
    <row r="2204" spans="1:15">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f t="array" ref="O2204">_xlfn.IFS(orders[[#This Row],[Customer Gender]]="M","Male", orders[[#This Row],[Customer Gender]]="F","Female", orders[[#This Row],[Customer Gender]]="O","Other", TRUE,"Unknown")</f>
        <v>Male</v>
      </c>
    </row>
    <row r="2205" spans="1:15">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f t="array" ref="O2205">_xlfn.IFS(orders[[#This Row],[Customer Gender]]="M","Male", orders[[#This Row],[Customer Gender]]="F","Female", orders[[#This Row],[Customer Gender]]="O","Other", TRUE,"Unknown")</f>
        <v>Male</v>
      </c>
    </row>
    <row r="2206" spans="1:15">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f t="array" ref="O2206">_xlfn.IFS(orders[[#This Row],[Customer Gender]]="M","Male", orders[[#This Row],[Customer Gender]]="F","Female", orders[[#This Row],[Customer Gender]]="O","Other", TRUE,"Unknown")</f>
        <v>Female</v>
      </c>
    </row>
    <row r="2207" spans="1:15">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f t="array" ref="O2207">_xlfn.IFS(orders[[#This Row],[Customer Gender]]="M","Male", orders[[#This Row],[Customer Gender]]="F","Female", orders[[#This Row],[Customer Gender]]="O","Other", TRUE,"Unknown")</f>
        <v>Female</v>
      </c>
    </row>
    <row r="2208" spans="1:15">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f t="array" ref="O2208">_xlfn.IFS(orders[[#This Row],[Customer Gender]]="M","Male", orders[[#This Row],[Customer Gender]]="F","Female", orders[[#This Row],[Customer Gender]]="O","Other", TRUE,"Unknown")</f>
        <v>Female</v>
      </c>
    </row>
    <row r="2209" spans="1:15">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f t="array" ref="O2209">_xlfn.IFS(orders[[#This Row],[Customer Gender]]="M","Male", orders[[#This Row],[Customer Gender]]="F","Female", orders[[#This Row],[Customer Gender]]="O","Other", TRUE,"Unknown")</f>
        <v>Female</v>
      </c>
    </row>
    <row r="2210" spans="1:15">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f t="array" ref="O2210">_xlfn.IFS(orders[[#This Row],[Customer Gender]]="M","Male", orders[[#This Row],[Customer Gender]]="F","Female", orders[[#This Row],[Customer Gender]]="O","Other", TRUE,"Unknown")</f>
        <v>Female</v>
      </c>
    </row>
    <row r="2211" spans="1:15">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f t="array" ref="O2211">_xlfn.IFS(orders[[#This Row],[Customer Gender]]="M","Male", orders[[#This Row],[Customer Gender]]="F","Female", orders[[#This Row],[Customer Gender]]="O","Other", TRUE,"Unknown")</f>
        <v>Male</v>
      </c>
    </row>
    <row r="2212" spans="1:15">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f t="array" ref="O2212">_xlfn.IFS(orders[[#This Row],[Customer Gender]]="M","Male", orders[[#This Row],[Customer Gender]]="F","Female", orders[[#This Row],[Customer Gender]]="O","Other", TRUE,"Unknown")</f>
        <v>Unknown</v>
      </c>
    </row>
    <row r="2213" spans="1:15">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f t="array" ref="O2213">_xlfn.IFS(orders[[#This Row],[Customer Gender]]="M","Male", orders[[#This Row],[Customer Gender]]="F","Female", orders[[#This Row],[Customer Gender]]="O","Other", TRUE,"Unknown")</f>
        <v>Male</v>
      </c>
    </row>
    <row r="2214" spans="1:15">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f t="array" ref="O2214">_xlfn.IFS(orders[[#This Row],[Customer Gender]]="M","Male", orders[[#This Row],[Customer Gender]]="F","Female", orders[[#This Row],[Customer Gender]]="O","Other", TRUE,"Unknown")</f>
        <v>Female</v>
      </c>
    </row>
    <row r="2215" spans="1:15">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f t="array" ref="O2215">_xlfn.IFS(orders[[#This Row],[Customer Gender]]="M","Male", orders[[#This Row],[Customer Gender]]="F","Female", orders[[#This Row],[Customer Gender]]="O","Other", TRUE,"Unknown")</f>
        <v>Male</v>
      </c>
    </row>
    <row r="2216" spans="1:15">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f t="array" ref="O2216">_xlfn.IFS(orders[[#This Row],[Customer Gender]]="M","Male", orders[[#This Row],[Customer Gender]]="F","Female", orders[[#This Row],[Customer Gender]]="O","Other", TRUE,"Unknown")</f>
        <v>Other</v>
      </c>
    </row>
    <row r="2217" spans="1:15">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f t="array" ref="O2217">_xlfn.IFS(orders[[#This Row],[Customer Gender]]="M","Male", orders[[#This Row],[Customer Gender]]="F","Female", orders[[#This Row],[Customer Gender]]="O","Other", TRUE,"Unknown")</f>
        <v>Female</v>
      </c>
    </row>
    <row r="2218" spans="1:15">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f t="array" ref="O2218">_xlfn.IFS(orders[[#This Row],[Customer Gender]]="M","Male", orders[[#This Row],[Customer Gender]]="F","Female", orders[[#This Row],[Customer Gender]]="O","Other", TRUE,"Unknown")</f>
        <v>Male</v>
      </c>
    </row>
    <row r="2219" spans="1:15">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f t="array" ref="O2219">_xlfn.IFS(orders[[#This Row],[Customer Gender]]="M","Male", orders[[#This Row],[Customer Gender]]="F","Female", orders[[#This Row],[Customer Gender]]="O","Other", TRUE,"Unknown")</f>
        <v>Male</v>
      </c>
    </row>
    <row r="2220" spans="1:15">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f t="array" ref="O2220">_xlfn.IFS(orders[[#This Row],[Customer Gender]]="M","Male", orders[[#This Row],[Customer Gender]]="F","Female", orders[[#This Row],[Customer Gender]]="O","Other", TRUE,"Unknown")</f>
        <v>Male</v>
      </c>
    </row>
    <row r="2221" spans="1:15">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f t="array" ref="O2221">_xlfn.IFS(orders[[#This Row],[Customer Gender]]="M","Male", orders[[#This Row],[Customer Gender]]="F","Female", orders[[#This Row],[Customer Gender]]="O","Other", TRUE,"Unknown")</f>
        <v>Male</v>
      </c>
    </row>
    <row r="2222" spans="1:15">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f t="array" ref="O2222">_xlfn.IFS(orders[[#This Row],[Customer Gender]]="M","Male", orders[[#This Row],[Customer Gender]]="F","Female", orders[[#This Row],[Customer Gender]]="O","Other", TRUE,"Unknown")</f>
        <v>Male</v>
      </c>
    </row>
    <row r="2223" spans="1:15">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f t="array" ref="O2223">_xlfn.IFS(orders[[#This Row],[Customer Gender]]="M","Male", orders[[#This Row],[Customer Gender]]="F","Female", orders[[#This Row],[Customer Gender]]="O","Other", TRUE,"Unknown")</f>
        <v>Male</v>
      </c>
    </row>
    <row r="2224" spans="1:15">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f t="array" ref="O2224">_xlfn.IFS(orders[[#This Row],[Customer Gender]]="M","Male", orders[[#This Row],[Customer Gender]]="F","Female", orders[[#This Row],[Customer Gender]]="O","Other", TRUE,"Unknown")</f>
        <v>Female</v>
      </c>
    </row>
    <row r="2225" spans="1:15">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f t="array" ref="O2225">_xlfn.IFS(orders[[#This Row],[Customer Gender]]="M","Male", orders[[#This Row],[Customer Gender]]="F","Female", orders[[#This Row],[Customer Gender]]="O","Other", TRUE,"Unknown")</f>
        <v>Female</v>
      </c>
    </row>
    <row r="2226" spans="1:15">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f t="array" ref="O2226">_xlfn.IFS(orders[[#This Row],[Customer Gender]]="M","Male", orders[[#This Row],[Customer Gender]]="F","Female", orders[[#This Row],[Customer Gender]]="O","Other", TRUE,"Unknown")</f>
        <v>Female</v>
      </c>
    </row>
    <row r="2227" spans="1:15">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f t="array" ref="O2227">_xlfn.IFS(orders[[#This Row],[Customer Gender]]="M","Male", orders[[#This Row],[Customer Gender]]="F","Female", orders[[#This Row],[Customer Gender]]="O","Other", TRUE,"Unknown")</f>
        <v>Female</v>
      </c>
    </row>
    <row r="2228" spans="1:15">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f t="array" ref="O2228">_xlfn.IFS(orders[[#This Row],[Customer Gender]]="M","Male", orders[[#This Row],[Customer Gender]]="F","Female", orders[[#This Row],[Customer Gender]]="O","Other", TRUE,"Unknown")</f>
        <v>Male</v>
      </c>
    </row>
    <row r="2229" spans="1:15">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f t="array" ref="O2229">_xlfn.IFS(orders[[#This Row],[Customer Gender]]="M","Male", orders[[#This Row],[Customer Gender]]="F","Female", orders[[#This Row],[Customer Gender]]="O","Other", TRUE,"Unknown")</f>
        <v>Male</v>
      </c>
    </row>
    <row r="2230" spans="1:15">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f t="array" ref="O2230">_xlfn.IFS(orders[[#This Row],[Customer Gender]]="M","Male", orders[[#This Row],[Customer Gender]]="F","Female", orders[[#This Row],[Customer Gender]]="O","Other", TRUE,"Unknown")</f>
        <v>Female</v>
      </c>
    </row>
    <row r="2231" spans="1:15">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f t="array" ref="O2231">_xlfn.IFS(orders[[#This Row],[Customer Gender]]="M","Male", orders[[#This Row],[Customer Gender]]="F","Female", orders[[#This Row],[Customer Gender]]="O","Other", TRUE,"Unknown")</f>
        <v>Female</v>
      </c>
    </row>
    <row r="2232" spans="1:15">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f t="array" ref="O2232">_xlfn.IFS(orders[[#This Row],[Customer Gender]]="M","Male", orders[[#This Row],[Customer Gender]]="F","Female", orders[[#This Row],[Customer Gender]]="O","Other", TRUE,"Unknown")</f>
        <v>Female</v>
      </c>
    </row>
    <row r="2233" spans="1:15">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f t="array" ref="O2233">_xlfn.IFS(orders[[#This Row],[Customer Gender]]="M","Male", orders[[#This Row],[Customer Gender]]="F","Female", orders[[#This Row],[Customer Gender]]="O","Other", TRUE,"Unknown")</f>
        <v>Male</v>
      </c>
    </row>
    <row r="2234" spans="1:15">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f t="array" ref="O2234">_xlfn.IFS(orders[[#This Row],[Customer Gender]]="M","Male", orders[[#This Row],[Customer Gender]]="F","Female", orders[[#This Row],[Customer Gender]]="O","Other", TRUE,"Unknown")</f>
        <v>Female</v>
      </c>
    </row>
    <row r="2235" spans="1:15">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f t="array" ref="O2235">_xlfn.IFS(orders[[#This Row],[Customer Gender]]="M","Male", orders[[#This Row],[Customer Gender]]="F","Female", orders[[#This Row],[Customer Gender]]="O","Other", TRUE,"Unknown")</f>
        <v>Male</v>
      </c>
    </row>
    <row r="2236" spans="1:15">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f t="array" ref="O2236">_xlfn.IFS(orders[[#This Row],[Customer Gender]]="M","Male", orders[[#This Row],[Customer Gender]]="F","Female", orders[[#This Row],[Customer Gender]]="O","Other", TRUE,"Unknown")</f>
        <v>Female</v>
      </c>
    </row>
    <row r="2237" spans="1:15">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f t="array" ref="O2237">_xlfn.IFS(orders[[#This Row],[Customer Gender]]="M","Male", orders[[#This Row],[Customer Gender]]="F","Female", orders[[#This Row],[Customer Gender]]="O","Other", TRUE,"Unknown")</f>
        <v>Unknown</v>
      </c>
    </row>
    <row r="2238" spans="1:15">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f t="array" ref="O2238">_xlfn.IFS(orders[[#This Row],[Customer Gender]]="M","Male", orders[[#This Row],[Customer Gender]]="F","Female", orders[[#This Row],[Customer Gender]]="O","Other", TRUE,"Unknown")</f>
        <v>Female</v>
      </c>
    </row>
    <row r="2239" spans="1:15">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f t="array" ref="O2239">_xlfn.IFS(orders[[#This Row],[Customer Gender]]="M","Male", orders[[#This Row],[Customer Gender]]="F","Female", orders[[#This Row],[Customer Gender]]="O","Other", TRUE,"Unknown")</f>
        <v>Female</v>
      </c>
    </row>
    <row r="2240" spans="1:15">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f t="array" ref="O2240">_xlfn.IFS(orders[[#This Row],[Customer Gender]]="M","Male", orders[[#This Row],[Customer Gender]]="F","Female", orders[[#This Row],[Customer Gender]]="O","Other", TRUE,"Unknown")</f>
        <v>Male</v>
      </c>
    </row>
    <row r="2241" spans="1:15">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f t="array" ref="O2241">_xlfn.IFS(orders[[#This Row],[Customer Gender]]="M","Male", orders[[#This Row],[Customer Gender]]="F","Female", orders[[#This Row],[Customer Gender]]="O","Other", TRUE,"Unknown")</f>
        <v>Female</v>
      </c>
    </row>
    <row r="2242" spans="1:15">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f t="array" ref="O2242">_xlfn.IFS(orders[[#This Row],[Customer Gender]]="M","Male", orders[[#This Row],[Customer Gender]]="F","Female", orders[[#This Row],[Customer Gender]]="O","Other", TRUE,"Unknown")</f>
        <v>Female</v>
      </c>
    </row>
    <row r="2243" spans="1:15">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f t="array" ref="O2243">_xlfn.IFS(orders[[#This Row],[Customer Gender]]="M","Male", orders[[#This Row],[Customer Gender]]="F","Female", orders[[#This Row],[Customer Gender]]="O","Other", TRUE,"Unknown")</f>
        <v>Male</v>
      </c>
    </row>
    <row r="2244" spans="1:15">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f t="array" ref="O2244">_xlfn.IFS(orders[[#This Row],[Customer Gender]]="M","Male", orders[[#This Row],[Customer Gender]]="F","Female", orders[[#This Row],[Customer Gender]]="O","Other", TRUE,"Unknown")</f>
        <v>Male</v>
      </c>
    </row>
    <row r="2245" spans="1:15">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f t="array" ref="O2245">_xlfn.IFS(orders[[#This Row],[Customer Gender]]="M","Male", orders[[#This Row],[Customer Gender]]="F","Female", orders[[#This Row],[Customer Gender]]="O","Other", TRUE,"Unknown")</f>
        <v>Female</v>
      </c>
    </row>
    <row r="2246" spans="1:15">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f t="array" ref="O2246">_xlfn.IFS(orders[[#This Row],[Customer Gender]]="M","Male", orders[[#This Row],[Customer Gender]]="F","Female", orders[[#This Row],[Customer Gender]]="O","Other", TRUE,"Unknown")</f>
        <v>Male</v>
      </c>
    </row>
    <row r="2247" spans="1:15">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f t="array" ref="O2247">_xlfn.IFS(orders[[#This Row],[Customer Gender]]="M","Male", orders[[#This Row],[Customer Gender]]="F","Female", orders[[#This Row],[Customer Gender]]="O","Other", TRUE,"Unknown")</f>
        <v>Female</v>
      </c>
    </row>
    <row r="2248" spans="1:15">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f t="array" ref="O2248">_xlfn.IFS(orders[[#This Row],[Customer Gender]]="M","Male", orders[[#This Row],[Customer Gender]]="F","Female", orders[[#This Row],[Customer Gender]]="O","Other", TRUE,"Unknown")</f>
        <v>Female</v>
      </c>
    </row>
    <row r="2249" spans="1:15">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f t="array" ref="O2249">_xlfn.IFS(orders[[#This Row],[Customer Gender]]="M","Male", orders[[#This Row],[Customer Gender]]="F","Female", orders[[#This Row],[Customer Gender]]="O","Other", TRUE,"Unknown")</f>
        <v>Female</v>
      </c>
    </row>
    <row r="2250" spans="1:15">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f t="array" ref="O2250">_xlfn.IFS(orders[[#This Row],[Customer Gender]]="M","Male", orders[[#This Row],[Customer Gender]]="F","Female", orders[[#This Row],[Customer Gender]]="O","Other", TRUE,"Unknown")</f>
        <v>Male</v>
      </c>
    </row>
    <row r="2251" spans="1:15">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f t="array" ref="O2251">_xlfn.IFS(orders[[#This Row],[Customer Gender]]="M","Male", orders[[#This Row],[Customer Gender]]="F","Female", orders[[#This Row],[Customer Gender]]="O","Other", TRUE,"Unknown")</f>
        <v>Female</v>
      </c>
    </row>
    <row r="2252" spans="1:15">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f t="array" ref="O2252">_xlfn.IFS(orders[[#This Row],[Customer Gender]]="M","Male", orders[[#This Row],[Customer Gender]]="F","Female", orders[[#This Row],[Customer Gender]]="O","Other", TRUE,"Unknown")</f>
        <v>Female</v>
      </c>
    </row>
    <row r="2253" spans="1:15">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f t="array" ref="O2253">_xlfn.IFS(orders[[#This Row],[Customer Gender]]="M","Male", orders[[#This Row],[Customer Gender]]="F","Female", orders[[#This Row],[Customer Gender]]="O","Other", TRUE,"Unknown")</f>
        <v>Male</v>
      </c>
    </row>
    <row r="2254" spans="1:15">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f t="array" ref="O2254">_xlfn.IFS(orders[[#This Row],[Customer Gender]]="M","Male", orders[[#This Row],[Customer Gender]]="F","Female", orders[[#This Row],[Customer Gender]]="O","Other", TRUE,"Unknown")</f>
        <v>Male</v>
      </c>
    </row>
    <row r="2255" spans="1:15">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f t="array" ref="O2255">_xlfn.IFS(orders[[#This Row],[Customer Gender]]="M","Male", orders[[#This Row],[Customer Gender]]="F","Female", orders[[#This Row],[Customer Gender]]="O","Other", TRUE,"Unknown")</f>
        <v>Male</v>
      </c>
    </row>
    <row r="2256" spans="1:15">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f t="array" ref="O2256">_xlfn.IFS(orders[[#This Row],[Customer Gender]]="M","Male", orders[[#This Row],[Customer Gender]]="F","Female", orders[[#This Row],[Customer Gender]]="O","Other", TRUE,"Unknown")</f>
        <v>Female</v>
      </c>
    </row>
    <row r="2257" spans="1:15">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f t="array" ref="O2257">_xlfn.IFS(orders[[#This Row],[Customer Gender]]="M","Male", orders[[#This Row],[Customer Gender]]="F","Female", orders[[#This Row],[Customer Gender]]="O","Other", TRUE,"Unknown")</f>
        <v>Female</v>
      </c>
    </row>
    <row r="2258" spans="1:15">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f t="array" ref="O2258">_xlfn.IFS(orders[[#This Row],[Customer Gender]]="M","Male", orders[[#This Row],[Customer Gender]]="F","Female", orders[[#This Row],[Customer Gender]]="O","Other", TRUE,"Unknown")</f>
        <v>Male</v>
      </c>
    </row>
    <row r="2259" spans="1:15">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f t="array" ref="O2259">_xlfn.IFS(orders[[#This Row],[Customer Gender]]="M","Male", orders[[#This Row],[Customer Gender]]="F","Female", orders[[#This Row],[Customer Gender]]="O","Other", TRUE,"Unknown")</f>
        <v>Female</v>
      </c>
    </row>
    <row r="2260" spans="1:15">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f t="array" ref="O2260">_xlfn.IFS(orders[[#This Row],[Customer Gender]]="M","Male", orders[[#This Row],[Customer Gender]]="F","Female", orders[[#This Row],[Customer Gender]]="O","Other", TRUE,"Unknown")</f>
        <v>Female</v>
      </c>
    </row>
    <row r="2261" spans="1:15">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f t="array" ref="O2261">_xlfn.IFS(orders[[#This Row],[Customer Gender]]="M","Male", orders[[#This Row],[Customer Gender]]="F","Female", orders[[#This Row],[Customer Gender]]="O","Other", TRUE,"Unknown")</f>
        <v>Female</v>
      </c>
    </row>
    <row r="2262" spans="1:15">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f t="array" ref="O2262">_xlfn.IFS(orders[[#This Row],[Customer Gender]]="M","Male", orders[[#This Row],[Customer Gender]]="F","Female", orders[[#This Row],[Customer Gender]]="O","Other", TRUE,"Unknown")</f>
        <v>Female</v>
      </c>
    </row>
    <row r="2263" spans="1:15">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f t="array" ref="O2263">_xlfn.IFS(orders[[#This Row],[Customer Gender]]="M","Male", orders[[#This Row],[Customer Gender]]="F","Female", orders[[#This Row],[Customer Gender]]="O","Other", TRUE,"Unknown")</f>
        <v>Male</v>
      </c>
    </row>
    <row r="2264" spans="1:15">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f t="array" ref="O2264">_xlfn.IFS(orders[[#This Row],[Customer Gender]]="M","Male", orders[[#This Row],[Customer Gender]]="F","Female", orders[[#This Row],[Customer Gender]]="O","Other", TRUE,"Unknown")</f>
        <v>Male</v>
      </c>
    </row>
    <row r="2265" spans="1:15">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f t="array" ref="O2265">_xlfn.IFS(orders[[#This Row],[Customer Gender]]="M","Male", orders[[#This Row],[Customer Gender]]="F","Female", orders[[#This Row],[Customer Gender]]="O","Other", TRUE,"Unknown")</f>
        <v>Male</v>
      </c>
    </row>
    <row r="2266" spans="1:15">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f t="array" ref="O2266">_xlfn.IFS(orders[[#This Row],[Customer Gender]]="M","Male", orders[[#This Row],[Customer Gender]]="F","Female", orders[[#This Row],[Customer Gender]]="O","Other", TRUE,"Unknown")</f>
        <v>Male</v>
      </c>
    </row>
    <row r="2267" spans="1:15">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f t="array" ref="O2267">_xlfn.IFS(orders[[#This Row],[Customer Gender]]="M","Male", orders[[#This Row],[Customer Gender]]="F","Female", orders[[#This Row],[Customer Gender]]="O","Other", TRUE,"Unknown")</f>
        <v>Other</v>
      </c>
    </row>
    <row r="2268" spans="1:15">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f t="array" ref="O2268">_xlfn.IFS(orders[[#This Row],[Customer Gender]]="M","Male", orders[[#This Row],[Customer Gender]]="F","Female", orders[[#This Row],[Customer Gender]]="O","Other", TRUE,"Unknown")</f>
        <v>Female</v>
      </c>
    </row>
    <row r="2269" spans="1:15">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f t="array" ref="O2269">_xlfn.IFS(orders[[#This Row],[Customer Gender]]="M","Male", orders[[#This Row],[Customer Gender]]="F","Female", orders[[#This Row],[Customer Gender]]="O","Other", TRUE,"Unknown")</f>
        <v>Female</v>
      </c>
    </row>
    <row r="2270" spans="1:15">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f t="array" ref="O2270">_xlfn.IFS(orders[[#This Row],[Customer Gender]]="M","Male", orders[[#This Row],[Customer Gender]]="F","Female", orders[[#This Row],[Customer Gender]]="O","Other", TRUE,"Unknown")</f>
        <v>Female</v>
      </c>
    </row>
    <row r="2271" spans="1:15">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f t="array" ref="O2271">_xlfn.IFS(orders[[#This Row],[Customer Gender]]="M","Male", orders[[#This Row],[Customer Gender]]="F","Female", orders[[#This Row],[Customer Gender]]="O","Other", TRUE,"Unknown")</f>
        <v>Female</v>
      </c>
    </row>
    <row r="2272" spans="1:15">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f t="array" ref="O2272">_xlfn.IFS(orders[[#This Row],[Customer Gender]]="M","Male", orders[[#This Row],[Customer Gender]]="F","Female", orders[[#This Row],[Customer Gender]]="O","Other", TRUE,"Unknown")</f>
        <v>Female</v>
      </c>
    </row>
    <row r="2273" spans="1:15">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f t="array" ref="O2273">_xlfn.IFS(orders[[#This Row],[Customer Gender]]="M","Male", orders[[#This Row],[Customer Gender]]="F","Female", orders[[#This Row],[Customer Gender]]="O","Other", TRUE,"Unknown")</f>
        <v>Female</v>
      </c>
    </row>
    <row r="2274" spans="1:15">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f t="array" ref="O2274">_xlfn.IFS(orders[[#This Row],[Customer Gender]]="M","Male", orders[[#This Row],[Customer Gender]]="F","Female", orders[[#This Row],[Customer Gender]]="O","Other", TRUE,"Unknown")</f>
        <v>Female</v>
      </c>
    </row>
    <row r="2275" spans="1:15">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f t="array" ref="O2275">_xlfn.IFS(orders[[#This Row],[Customer Gender]]="M","Male", orders[[#This Row],[Customer Gender]]="F","Female", orders[[#This Row],[Customer Gender]]="O","Other", TRUE,"Unknown")</f>
        <v>Male</v>
      </c>
    </row>
    <row r="2276" spans="1:15">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f t="array" ref="O2276">_xlfn.IFS(orders[[#This Row],[Customer Gender]]="M","Male", orders[[#This Row],[Customer Gender]]="F","Female", orders[[#This Row],[Customer Gender]]="O","Other", TRUE,"Unknown")</f>
        <v>Male</v>
      </c>
    </row>
    <row r="2277" spans="1:15">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f t="array" ref="O2277">_xlfn.IFS(orders[[#This Row],[Customer Gender]]="M","Male", orders[[#This Row],[Customer Gender]]="F","Female", orders[[#This Row],[Customer Gender]]="O","Other", TRUE,"Unknown")</f>
        <v>Unknown</v>
      </c>
    </row>
    <row r="2278" spans="1:15">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f t="array" ref="O2278">_xlfn.IFS(orders[[#This Row],[Customer Gender]]="M","Male", orders[[#This Row],[Customer Gender]]="F","Female", orders[[#This Row],[Customer Gender]]="O","Other", TRUE,"Unknown")</f>
        <v>Female</v>
      </c>
    </row>
    <row r="2279" spans="1:15">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f t="array" ref="O2279">_xlfn.IFS(orders[[#This Row],[Customer Gender]]="M","Male", orders[[#This Row],[Customer Gender]]="F","Female", orders[[#This Row],[Customer Gender]]="O","Other", TRUE,"Unknown")</f>
        <v>Male</v>
      </c>
    </row>
    <row r="2280" spans="1:15">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f t="array" ref="O2280">_xlfn.IFS(orders[[#This Row],[Customer Gender]]="M","Male", orders[[#This Row],[Customer Gender]]="F","Female", orders[[#This Row],[Customer Gender]]="O","Other", TRUE,"Unknown")</f>
        <v>Male</v>
      </c>
    </row>
    <row r="2281" spans="1:15">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f t="array" ref="O2281">_xlfn.IFS(orders[[#This Row],[Customer Gender]]="M","Male", orders[[#This Row],[Customer Gender]]="F","Female", orders[[#This Row],[Customer Gender]]="O","Other", TRUE,"Unknown")</f>
        <v>Male</v>
      </c>
    </row>
    <row r="2282" spans="1:15">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f t="array" ref="O2282">_xlfn.IFS(orders[[#This Row],[Customer Gender]]="M","Male", orders[[#This Row],[Customer Gender]]="F","Female", orders[[#This Row],[Customer Gender]]="O","Other", TRUE,"Unknown")</f>
        <v>Male</v>
      </c>
    </row>
    <row r="2283" spans="1:15">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f t="array" ref="O2283">_xlfn.IFS(orders[[#This Row],[Customer Gender]]="M","Male", orders[[#This Row],[Customer Gender]]="F","Female", orders[[#This Row],[Customer Gender]]="O","Other", TRUE,"Unknown")</f>
        <v>Female</v>
      </c>
    </row>
    <row r="2284" spans="1:15">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f t="array" ref="O2284">_xlfn.IFS(orders[[#This Row],[Customer Gender]]="M","Male", orders[[#This Row],[Customer Gender]]="F","Female", orders[[#This Row],[Customer Gender]]="O","Other", TRUE,"Unknown")</f>
        <v>Female</v>
      </c>
    </row>
    <row r="2285" spans="1:15">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f t="array" ref="O2285">_xlfn.IFS(orders[[#This Row],[Customer Gender]]="M","Male", orders[[#This Row],[Customer Gender]]="F","Female", orders[[#This Row],[Customer Gender]]="O","Other", TRUE,"Unknown")</f>
        <v>Male</v>
      </c>
    </row>
    <row r="2286" spans="1:15">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f t="array" ref="O2286">_xlfn.IFS(orders[[#This Row],[Customer Gender]]="M","Male", orders[[#This Row],[Customer Gender]]="F","Female", orders[[#This Row],[Customer Gender]]="O","Other", TRUE,"Unknown")</f>
        <v>Male</v>
      </c>
    </row>
    <row r="2287" spans="1:15">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f t="array" ref="O2287">_xlfn.IFS(orders[[#This Row],[Customer Gender]]="M","Male", orders[[#This Row],[Customer Gender]]="F","Female", orders[[#This Row],[Customer Gender]]="O","Other", TRUE,"Unknown")</f>
        <v>Male</v>
      </c>
    </row>
    <row r="2288" spans="1:15">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f t="array" ref="O2288">_xlfn.IFS(orders[[#This Row],[Customer Gender]]="M","Male", orders[[#This Row],[Customer Gender]]="F","Female", orders[[#This Row],[Customer Gender]]="O","Other", TRUE,"Unknown")</f>
        <v>Male</v>
      </c>
    </row>
    <row r="2289" spans="1:15">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f t="array" ref="O2289">_xlfn.IFS(orders[[#This Row],[Customer Gender]]="M","Male", orders[[#This Row],[Customer Gender]]="F","Female", orders[[#This Row],[Customer Gender]]="O","Other", TRUE,"Unknown")</f>
        <v>Male</v>
      </c>
    </row>
    <row r="2290" spans="1:15">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f t="array" ref="O2290">_xlfn.IFS(orders[[#This Row],[Customer Gender]]="M","Male", orders[[#This Row],[Customer Gender]]="F","Female", orders[[#This Row],[Customer Gender]]="O","Other", TRUE,"Unknown")</f>
        <v>Other</v>
      </c>
    </row>
    <row r="2291" spans="1:15">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f t="array" ref="O2291">_xlfn.IFS(orders[[#This Row],[Customer Gender]]="M","Male", orders[[#This Row],[Customer Gender]]="F","Female", orders[[#This Row],[Customer Gender]]="O","Other", TRUE,"Unknown")</f>
        <v>Male</v>
      </c>
    </row>
    <row r="2292" spans="1:15">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f t="array" ref="O2292">_xlfn.IFS(orders[[#This Row],[Customer Gender]]="M","Male", orders[[#This Row],[Customer Gender]]="F","Female", orders[[#This Row],[Customer Gender]]="O","Other", TRUE,"Unknown")</f>
        <v>Male</v>
      </c>
    </row>
    <row r="2293" spans="1:15">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f t="array" ref="O2293">_xlfn.IFS(orders[[#This Row],[Customer Gender]]="M","Male", orders[[#This Row],[Customer Gender]]="F","Female", orders[[#This Row],[Customer Gender]]="O","Other", TRUE,"Unknown")</f>
        <v>Female</v>
      </c>
    </row>
    <row r="2294" spans="1:15">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f t="array" ref="O2294">_xlfn.IFS(orders[[#This Row],[Customer Gender]]="M","Male", orders[[#This Row],[Customer Gender]]="F","Female", orders[[#This Row],[Customer Gender]]="O","Other", TRUE,"Unknown")</f>
        <v>Male</v>
      </c>
    </row>
    <row r="2295" spans="1:15">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f t="array" ref="O2295">_xlfn.IFS(orders[[#This Row],[Customer Gender]]="M","Male", orders[[#This Row],[Customer Gender]]="F","Female", orders[[#This Row],[Customer Gender]]="O","Other", TRUE,"Unknown")</f>
        <v>Other</v>
      </c>
    </row>
    <row r="2296" spans="1:15">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f t="array" ref="O2296">_xlfn.IFS(orders[[#This Row],[Customer Gender]]="M","Male", orders[[#This Row],[Customer Gender]]="F","Female", orders[[#This Row],[Customer Gender]]="O","Other", TRUE,"Unknown")</f>
        <v>Male</v>
      </c>
    </row>
    <row r="2297" spans="1:15">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f t="array" ref="O2297">_xlfn.IFS(orders[[#This Row],[Customer Gender]]="M","Male", orders[[#This Row],[Customer Gender]]="F","Female", orders[[#This Row],[Customer Gender]]="O","Other", TRUE,"Unknown")</f>
        <v>Female</v>
      </c>
    </row>
    <row r="2298" spans="1:15">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f t="array" ref="O2298">_xlfn.IFS(orders[[#This Row],[Customer Gender]]="M","Male", orders[[#This Row],[Customer Gender]]="F","Female", orders[[#This Row],[Customer Gender]]="O","Other", TRUE,"Unknown")</f>
        <v>Male</v>
      </c>
    </row>
    <row r="2299" spans="1:15">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f t="array" ref="O2299">_xlfn.IFS(orders[[#This Row],[Customer Gender]]="M","Male", orders[[#This Row],[Customer Gender]]="F","Female", orders[[#This Row],[Customer Gender]]="O","Other", TRUE,"Unknown")</f>
        <v>Male</v>
      </c>
    </row>
    <row r="2300" spans="1:15">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f t="array" ref="O2300">_xlfn.IFS(orders[[#This Row],[Customer Gender]]="M","Male", orders[[#This Row],[Customer Gender]]="F","Female", orders[[#This Row],[Customer Gender]]="O","Other", TRUE,"Unknown")</f>
        <v>Male</v>
      </c>
    </row>
    <row r="2301" spans="1:15">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f t="array" ref="O2301">_xlfn.IFS(orders[[#This Row],[Customer Gender]]="M","Male", orders[[#This Row],[Customer Gender]]="F","Female", orders[[#This Row],[Customer Gender]]="O","Other", TRUE,"Unknown")</f>
        <v>Female</v>
      </c>
    </row>
    <row r="2302" spans="1:15">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f t="array" ref="O2302">_xlfn.IFS(orders[[#This Row],[Customer Gender]]="M","Male", orders[[#This Row],[Customer Gender]]="F","Female", orders[[#This Row],[Customer Gender]]="O","Other", TRUE,"Unknown")</f>
        <v>Male</v>
      </c>
    </row>
    <row r="2303" spans="1:15">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f t="array" ref="O2303">_xlfn.IFS(orders[[#This Row],[Customer Gender]]="M","Male", orders[[#This Row],[Customer Gender]]="F","Female", orders[[#This Row],[Customer Gender]]="O","Other", TRUE,"Unknown")</f>
        <v>Male</v>
      </c>
    </row>
    <row r="2304" spans="1:15">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f t="array" ref="O2304">_xlfn.IFS(orders[[#This Row],[Customer Gender]]="M","Male", orders[[#This Row],[Customer Gender]]="F","Female", orders[[#This Row],[Customer Gender]]="O","Other", TRUE,"Unknown")</f>
        <v>Male</v>
      </c>
    </row>
    <row r="2305" spans="1:15">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f t="array" ref="O2305">_xlfn.IFS(orders[[#This Row],[Customer Gender]]="M","Male", orders[[#This Row],[Customer Gender]]="F","Female", orders[[#This Row],[Customer Gender]]="O","Other", TRUE,"Unknown")</f>
        <v>Female</v>
      </c>
    </row>
    <row r="2306" spans="1:15">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f t="array" ref="O2306">_xlfn.IFS(orders[[#This Row],[Customer Gender]]="M","Male", orders[[#This Row],[Customer Gender]]="F","Female", orders[[#This Row],[Customer Gender]]="O","Other", TRUE,"Unknown")</f>
        <v>Female</v>
      </c>
    </row>
    <row r="2307" spans="1:15">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f t="array" ref="O2307">_xlfn.IFS(orders[[#This Row],[Customer Gender]]="M","Male", orders[[#This Row],[Customer Gender]]="F","Female", orders[[#This Row],[Customer Gender]]="O","Other", TRUE,"Unknown")</f>
        <v>Male</v>
      </c>
    </row>
    <row r="2308" spans="1:15">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f t="array" ref="O2308">_xlfn.IFS(orders[[#This Row],[Customer Gender]]="M","Male", orders[[#This Row],[Customer Gender]]="F","Female", orders[[#This Row],[Customer Gender]]="O","Other", TRUE,"Unknown")</f>
        <v>Female</v>
      </c>
    </row>
    <row r="2309" spans="1:15">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f t="array" ref="O2309">_xlfn.IFS(orders[[#This Row],[Customer Gender]]="M","Male", orders[[#This Row],[Customer Gender]]="F","Female", orders[[#This Row],[Customer Gender]]="O","Other", TRUE,"Unknown")</f>
        <v>Unknown</v>
      </c>
    </row>
    <row r="2310" spans="1:15">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f t="array" ref="O2310">_xlfn.IFS(orders[[#This Row],[Customer Gender]]="M","Male", orders[[#This Row],[Customer Gender]]="F","Female", orders[[#This Row],[Customer Gender]]="O","Other", TRUE,"Unknown")</f>
        <v>Male</v>
      </c>
    </row>
    <row r="2311" spans="1:15">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f t="array" ref="O2311">_xlfn.IFS(orders[[#This Row],[Customer Gender]]="M","Male", orders[[#This Row],[Customer Gender]]="F","Female", orders[[#This Row],[Customer Gender]]="O","Other", TRUE,"Unknown")</f>
        <v>Male</v>
      </c>
    </row>
    <row r="2312" spans="1:15">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f t="array" ref="O2312">_xlfn.IFS(orders[[#This Row],[Customer Gender]]="M","Male", orders[[#This Row],[Customer Gender]]="F","Female", orders[[#This Row],[Customer Gender]]="O","Other", TRUE,"Unknown")</f>
        <v>Male</v>
      </c>
    </row>
    <row r="2313" spans="1:15">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f t="array" ref="O2313">_xlfn.IFS(orders[[#This Row],[Customer Gender]]="M","Male", orders[[#This Row],[Customer Gender]]="F","Female", orders[[#This Row],[Customer Gender]]="O","Other", TRUE,"Unknown")</f>
        <v>Female</v>
      </c>
    </row>
    <row r="2314" spans="1:15">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f t="array" ref="O2314">_xlfn.IFS(orders[[#This Row],[Customer Gender]]="M","Male", orders[[#This Row],[Customer Gender]]="F","Female", orders[[#This Row],[Customer Gender]]="O","Other", TRUE,"Unknown")</f>
        <v>Female</v>
      </c>
    </row>
    <row r="2315" spans="1:15">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f t="array" ref="O2315">_xlfn.IFS(orders[[#This Row],[Customer Gender]]="M","Male", orders[[#This Row],[Customer Gender]]="F","Female", orders[[#This Row],[Customer Gender]]="O","Other", TRUE,"Unknown")</f>
        <v>Female</v>
      </c>
    </row>
    <row r="2316" spans="1:15">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f t="array" ref="O2316">_xlfn.IFS(orders[[#This Row],[Customer Gender]]="M","Male", orders[[#This Row],[Customer Gender]]="F","Female", orders[[#This Row],[Customer Gender]]="O","Other", TRUE,"Unknown")</f>
        <v>Female</v>
      </c>
    </row>
    <row r="2317" spans="1:15">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f t="array" ref="O2317">_xlfn.IFS(orders[[#This Row],[Customer Gender]]="M","Male", orders[[#This Row],[Customer Gender]]="F","Female", orders[[#This Row],[Customer Gender]]="O","Other", TRUE,"Unknown")</f>
        <v>Female</v>
      </c>
    </row>
    <row r="2318" spans="1:15">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f t="array" ref="O2318">_xlfn.IFS(orders[[#This Row],[Customer Gender]]="M","Male", orders[[#This Row],[Customer Gender]]="F","Female", orders[[#This Row],[Customer Gender]]="O","Other", TRUE,"Unknown")</f>
        <v>Male</v>
      </c>
    </row>
    <row r="2319" spans="1:15">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f t="array" ref="O2319">_xlfn.IFS(orders[[#This Row],[Customer Gender]]="M","Male", orders[[#This Row],[Customer Gender]]="F","Female", orders[[#This Row],[Customer Gender]]="O","Other", TRUE,"Unknown")</f>
        <v>Unknown</v>
      </c>
    </row>
    <row r="2320" spans="1:15">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f t="array" ref="O2320">_xlfn.IFS(orders[[#This Row],[Customer Gender]]="M","Male", orders[[#This Row],[Customer Gender]]="F","Female", orders[[#This Row],[Customer Gender]]="O","Other", TRUE,"Unknown")</f>
        <v>Unknown</v>
      </c>
    </row>
    <row r="2321" spans="1:15">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f t="array" ref="O2321">_xlfn.IFS(orders[[#This Row],[Customer Gender]]="M","Male", orders[[#This Row],[Customer Gender]]="F","Female", orders[[#This Row],[Customer Gender]]="O","Other", TRUE,"Unknown")</f>
        <v>Male</v>
      </c>
    </row>
    <row r="2322" spans="1:15">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f t="array" ref="O2322">_xlfn.IFS(orders[[#This Row],[Customer Gender]]="M","Male", orders[[#This Row],[Customer Gender]]="F","Female", orders[[#This Row],[Customer Gender]]="O","Other", TRUE,"Unknown")</f>
        <v>Female</v>
      </c>
    </row>
    <row r="2323" spans="1:15">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f t="array" ref="O2323">_xlfn.IFS(orders[[#This Row],[Customer Gender]]="M","Male", orders[[#This Row],[Customer Gender]]="F","Female", orders[[#This Row],[Customer Gender]]="O","Other", TRUE,"Unknown")</f>
        <v>Female</v>
      </c>
    </row>
    <row r="2324" spans="1:15">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f t="array" ref="O2324">_xlfn.IFS(orders[[#This Row],[Customer Gender]]="M","Male", orders[[#This Row],[Customer Gender]]="F","Female", orders[[#This Row],[Customer Gender]]="O","Other", TRUE,"Unknown")</f>
        <v>Female</v>
      </c>
    </row>
    <row r="2325" spans="1:15">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f t="array" ref="O2325">_xlfn.IFS(orders[[#This Row],[Customer Gender]]="M","Male", orders[[#This Row],[Customer Gender]]="F","Female", orders[[#This Row],[Customer Gender]]="O","Other", TRUE,"Unknown")</f>
        <v>Male</v>
      </c>
    </row>
    <row r="2326" spans="1:15">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f t="array" ref="O2326">_xlfn.IFS(orders[[#This Row],[Customer Gender]]="M","Male", orders[[#This Row],[Customer Gender]]="F","Female", orders[[#This Row],[Customer Gender]]="O","Other", TRUE,"Unknown")</f>
        <v>Female</v>
      </c>
    </row>
    <row r="2327" spans="1:15">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f t="array" ref="O2327">_xlfn.IFS(orders[[#This Row],[Customer Gender]]="M","Male", orders[[#This Row],[Customer Gender]]="F","Female", orders[[#This Row],[Customer Gender]]="O","Other", TRUE,"Unknown")</f>
        <v>Female</v>
      </c>
    </row>
    <row r="2328" spans="1:15">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f t="array" ref="O2328">_xlfn.IFS(orders[[#This Row],[Customer Gender]]="M","Male", orders[[#This Row],[Customer Gender]]="F","Female", orders[[#This Row],[Customer Gender]]="O","Other", TRUE,"Unknown")</f>
        <v>Female</v>
      </c>
    </row>
    <row r="2329" spans="1:15">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f t="array" ref="O2329">_xlfn.IFS(orders[[#This Row],[Customer Gender]]="M","Male", orders[[#This Row],[Customer Gender]]="F","Female", orders[[#This Row],[Customer Gender]]="O","Other", TRUE,"Unknown")</f>
        <v>Female</v>
      </c>
    </row>
    <row r="2330" spans="1:15">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f t="array" ref="O2330">_xlfn.IFS(orders[[#This Row],[Customer Gender]]="M","Male", orders[[#This Row],[Customer Gender]]="F","Female", orders[[#This Row],[Customer Gender]]="O","Other", TRUE,"Unknown")</f>
        <v>Female</v>
      </c>
    </row>
    <row r="2331" spans="1:15">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f t="array" ref="O2331">_xlfn.IFS(orders[[#This Row],[Customer Gender]]="M","Male", orders[[#This Row],[Customer Gender]]="F","Female", orders[[#This Row],[Customer Gender]]="O","Other", TRUE,"Unknown")</f>
        <v>Male</v>
      </c>
    </row>
    <row r="2332" spans="1:15">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f t="array" ref="O2332">_xlfn.IFS(orders[[#This Row],[Customer Gender]]="M","Male", orders[[#This Row],[Customer Gender]]="F","Female", orders[[#This Row],[Customer Gender]]="O","Other", TRUE,"Unknown")</f>
        <v>Male</v>
      </c>
    </row>
    <row r="2333" spans="1:15">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f t="array" ref="O2333">_xlfn.IFS(orders[[#This Row],[Customer Gender]]="M","Male", orders[[#This Row],[Customer Gender]]="F","Female", orders[[#This Row],[Customer Gender]]="O","Other", TRUE,"Unknown")</f>
        <v>Female</v>
      </c>
    </row>
    <row r="2334" spans="1:15">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f t="array" ref="O2334">_xlfn.IFS(orders[[#This Row],[Customer Gender]]="M","Male", orders[[#This Row],[Customer Gender]]="F","Female", orders[[#This Row],[Customer Gender]]="O","Other", TRUE,"Unknown")</f>
        <v>Male</v>
      </c>
    </row>
    <row r="2335" spans="1:15">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f t="array" ref="O2335">_xlfn.IFS(orders[[#This Row],[Customer Gender]]="M","Male", orders[[#This Row],[Customer Gender]]="F","Female", orders[[#This Row],[Customer Gender]]="O","Other", TRUE,"Unknown")</f>
        <v>Female</v>
      </c>
    </row>
    <row r="2336" spans="1:15">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f t="array" ref="O2336">_xlfn.IFS(orders[[#This Row],[Customer Gender]]="M","Male", orders[[#This Row],[Customer Gender]]="F","Female", orders[[#This Row],[Customer Gender]]="O","Other", TRUE,"Unknown")</f>
        <v>Male</v>
      </c>
    </row>
    <row r="2337" spans="1:15">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f t="array" ref="O2337">_xlfn.IFS(orders[[#This Row],[Customer Gender]]="M","Male", orders[[#This Row],[Customer Gender]]="F","Female", orders[[#This Row],[Customer Gender]]="O","Other", TRUE,"Unknown")</f>
        <v>Male</v>
      </c>
    </row>
    <row r="2338" spans="1:15">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f t="array" ref="O2338">_xlfn.IFS(orders[[#This Row],[Customer Gender]]="M","Male", orders[[#This Row],[Customer Gender]]="F","Female", orders[[#This Row],[Customer Gender]]="O","Other", TRUE,"Unknown")</f>
        <v>Female</v>
      </c>
    </row>
    <row r="2339" spans="1:15">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f t="array" ref="O2339">_xlfn.IFS(orders[[#This Row],[Customer Gender]]="M","Male", orders[[#This Row],[Customer Gender]]="F","Female", orders[[#This Row],[Customer Gender]]="O","Other", TRUE,"Unknown")</f>
        <v>Male</v>
      </c>
    </row>
    <row r="2340" spans="1:15">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f t="array" ref="O2340">_xlfn.IFS(orders[[#This Row],[Customer Gender]]="M","Male", orders[[#This Row],[Customer Gender]]="F","Female", orders[[#This Row],[Customer Gender]]="O","Other", TRUE,"Unknown")</f>
        <v>Male</v>
      </c>
    </row>
    <row r="2341" spans="1:15">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f t="array" ref="O2341">_xlfn.IFS(orders[[#This Row],[Customer Gender]]="M","Male", orders[[#This Row],[Customer Gender]]="F","Female", orders[[#This Row],[Customer Gender]]="O","Other", TRUE,"Unknown")</f>
        <v>Male</v>
      </c>
    </row>
    <row r="2342" spans="1:15">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f t="array" ref="O2342">_xlfn.IFS(orders[[#This Row],[Customer Gender]]="M","Male", orders[[#This Row],[Customer Gender]]="F","Female", orders[[#This Row],[Customer Gender]]="O","Other", TRUE,"Unknown")</f>
        <v>Male</v>
      </c>
    </row>
    <row r="2343" spans="1:15">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f t="array" ref="O2343">_xlfn.IFS(orders[[#This Row],[Customer Gender]]="M","Male", orders[[#This Row],[Customer Gender]]="F","Female", orders[[#This Row],[Customer Gender]]="O","Other", TRUE,"Unknown")</f>
        <v>Female</v>
      </c>
    </row>
    <row r="2344" spans="1:15">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f t="array" ref="O2344">_xlfn.IFS(orders[[#This Row],[Customer Gender]]="M","Male", orders[[#This Row],[Customer Gender]]="F","Female", orders[[#This Row],[Customer Gender]]="O","Other", TRUE,"Unknown")</f>
        <v>Male</v>
      </c>
    </row>
    <row r="2345" spans="1:15">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f t="array" ref="O2345">_xlfn.IFS(orders[[#This Row],[Customer Gender]]="M","Male", orders[[#This Row],[Customer Gender]]="F","Female", orders[[#This Row],[Customer Gender]]="O","Other", TRUE,"Unknown")</f>
        <v>Other</v>
      </c>
    </row>
    <row r="2346" spans="1:15">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f t="array" ref="O2346">_xlfn.IFS(orders[[#This Row],[Customer Gender]]="M","Male", orders[[#This Row],[Customer Gender]]="F","Female", orders[[#This Row],[Customer Gender]]="O","Other", TRUE,"Unknown")</f>
        <v>Female</v>
      </c>
    </row>
    <row r="2347" spans="1:15">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f t="array" ref="O2347">_xlfn.IFS(orders[[#This Row],[Customer Gender]]="M","Male", orders[[#This Row],[Customer Gender]]="F","Female", orders[[#This Row],[Customer Gender]]="O","Other", TRUE,"Unknown")</f>
        <v>Female</v>
      </c>
    </row>
    <row r="2348" spans="1:15">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f t="array" ref="O2348">_xlfn.IFS(orders[[#This Row],[Customer Gender]]="M","Male", orders[[#This Row],[Customer Gender]]="F","Female", orders[[#This Row],[Customer Gender]]="O","Other", TRUE,"Unknown")</f>
        <v>Female</v>
      </c>
    </row>
    <row r="2349" spans="1:15">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f t="array" ref="O2349">_xlfn.IFS(orders[[#This Row],[Customer Gender]]="M","Male", orders[[#This Row],[Customer Gender]]="F","Female", orders[[#This Row],[Customer Gender]]="O","Other", TRUE,"Unknown")</f>
        <v>Female</v>
      </c>
    </row>
    <row r="2350" spans="1:15">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f t="array" ref="O2350">_xlfn.IFS(orders[[#This Row],[Customer Gender]]="M","Male", orders[[#This Row],[Customer Gender]]="F","Female", orders[[#This Row],[Customer Gender]]="O","Other", TRUE,"Unknown")</f>
        <v>Other</v>
      </c>
    </row>
    <row r="2351" spans="1:15">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f t="array" ref="O2351">_xlfn.IFS(orders[[#This Row],[Customer Gender]]="M","Male", orders[[#This Row],[Customer Gender]]="F","Female", orders[[#This Row],[Customer Gender]]="O","Other", TRUE,"Unknown")</f>
        <v>Female</v>
      </c>
    </row>
    <row r="2352" spans="1:15">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f t="array" ref="O2352">_xlfn.IFS(orders[[#This Row],[Customer Gender]]="M","Male", orders[[#This Row],[Customer Gender]]="F","Female", orders[[#This Row],[Customer Gender]]="O","Other", TRUE,"Unknown")</f>
        <v>Female</v>
      </c>
    </row>
    <row r="2353" spans="1:15">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f t="array" ref="O2353">_xlfn.IFS(orders[[#This Row],[Customer Gender]]="M","Male", orders[[#This Row],[Customer Gender]]="F","Female", orders[[#This Row],[Customer Gender]]="O","Other", TRUE,"Unknown")</f>
        <v>Female</v>
      </c>
    </row>
    <row r="2354" spans="1:15">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f t="array" ref="O2354">_xlfn.IFS(orders[[#This Row],[Customer Gender]]="M","Male", orders[[#This Row],[Customer Gender]]="F","Female", orders[[#This Row],[Customer Gender]]="O","Other", TRUE,"Unknown")</f>
        <v>Female</v>
      </c>
    </row>
    <row r="2355" spans="1:15">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f t="array" ref="O2355">_xlfn.IFS(orders[[#This Row],[Customer Gender]]="M","Male", orders[[#This Row],[Customer Gender]]="F","Female", orders[[#This Row],[Customer Gender]]="O","Other", TRUE,"Unknown")</f>
        <v>Unknown</v>
      </c>
    </row>
    <row r="2356" spans="1:15">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f t="array" ref="O2356">_xlfn.IFS(orders[[#This Row],[Customer Gender]]="M","Male", orders[[#This Row],[Customer Gender]]="F","Female", orders[[#This Row],[Customer Gender]]="O","Other", TRUE,"Unknown")</f>
        <v>Female</v>
      </c>
    </row>
    <row r="2357" spans="1:15">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f t="array" ref="O2357">_xlfn.IFS(orders[[#This Row],[Customer Gender]]="M","Male", orders[[#This Row],[Customer Gender]]="F","Female", orders[[#This Row],[Customer Gender]]="O","Other", TRUE,"Unknown")</f>
        <v>Female</v>
      </c>
    </row>
    <row r="2358" spans="1:15">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f t="array" ref="O2358">_xlfn.IFS(orders[[#This Row],[Customer Gender]]="M","Male", orders[[#This Row],[Customer Gender]]="F","Female", orders[[#This Row],[Customer Gender]]="O","Other", TRUE,"Unknown")</f>
        <v>Female</v>
      </c>
    </row>
    <row r="2359" spans="1:15">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f t="array" ref="O2359">_xlfn.IFS(orders[[#This Row],[Customer Gender]]="M","Male", orders[[#This Row],[Customer Gender]]="F","Female", orders[[#This Row],[Customer Gender]]="O","Other", TRUE,"Unknown")</f>
        <v>Male</v>
      </c>
    </row>
    <row r="2360" spans="1:15">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f t="array" ref="O2360">_xlfn.IFS(orders[[#This Row],[Customer Gender]]="M","Male", orders[[#This Row],[Customer Gender]]="F","Female", orders[[#This Row],[Customer Gender]]="O","Other", TRUE,"Unknown")</f>
        <v>Male</v>
      </c>
    </row>
    <row r="2361" spans="1:15">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f t="array" ref="O2361">_xlfn.IFS(orders[[#This Row],[Customer Gender]]="M","Male", orders[[#This Row],[Customer Gender]]="F","Female", orders[[#This Row],[Customer Gender]]="O","Other", TRUE,"Unknown")</f>
        <v>Female</v>
      </c>
    </row>
    <row r="2362" spans="1:15">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f t="array" ref="O2362">_xlfn.IFS(orders[[#This Row],[Customer Gender]]="M","Male", orders[[#This Row],[Customer Gender]]="F","Female", orders[[#This Row],[Customer Gender]]="O","Other", TRUE,"Unknown")</f>
        <v>Male</v>
      </c>
    </row>
    <row r="2363" spans="1:15">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f t="array" ref="O2363">_xlfn.IFS(orders[[#This Row],[Customer Gender]]="M","Male", orders[[#This Row],[Customer Gender]]="F","Female", orders[[#This Row],[Customer Gender]]="O","Other", TRUE,"Unknown")</f>
        <v>Female</v>
      </c>
    </row>
    <row r="2364" spans="1:15">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f t="array" ref="O2364">_xlfn.IFS(orders[[#This Row],[Customer Gender]]="M","Male", orders[[#This Row],[Customer Gender]]="F","Female", orders[[#This Row],[Customer Gender]]="O","Other", TRUE,"Unknown")</f>
        <v>Female</v>
      </c>
    </row>
    <row r="2365" spans="1:15">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f t="array" ref="O2365">_xlfn.IFS(orders[[#This Row],[Customer Gender]]="M","Male", orders[[#This Row],[Customer Gender]]="F","Female", orders[[#This Row],[Customer Gender]]="O","Other", TRUE,"Unknown")</f>
        <v>Male</v>
      </c>
    </row>
    <row r="2366" spans="1:15">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f t="array" ref="O2366">_xlfn.IFS(orders[[#This Row],[Customer Gender]]="M","Male", orders[[#This Row],[Customer Gender]]="F","Female", orders[[#This Row],[Customer Gender]]="O","Other", TRUE,"Unknown")</f>
        <v>Male</v>
      </c>
    </row>
    <row r="2367" spans="1:15">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f t="array" ref="O2367">_xlfn.IFS(orders[[#This Row],[Customer Gender]]="M","Male", orders[[#This Row],[Customer Gender]]="F","Female", orders[[#This Row],[Customer Gender]]="O","Other", TRUE,"Unknown")</f>
        <v>Female</v>
      </c>
    </row>
    <row r="2368" spans="1:15">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f t="array" ref="O2368">_xlfn.IFS(orders[[#This Row],[Customer Gender]]="M","Male", orders[[#This Row],[Customer Gender]]="F","Female", orders[[#This Row],[Customer Gender]]="O","Other", TRUE,"Unknown")</f>
        <v>Male</v>
      </c>
    </row>
    <row r="2369" spans="1:15">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f t="array" ref="O2369">_xlfn.IFS(orders[[#This Row],[Customer Gender]]="M","Male", orders[[#This Row],[Customer Gender]]="F","Female", orders[[#This Row],[Customer Gender]]="O","Other", TRUE,"Unknown")</f>
        <v>Unknown</v>
      </c>
    </row>
    <row r="2370" spans="1:15">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f t="array" ref="O2370">_xlfn.IFS(orders[[#This Row],[Customer Gender]]="M","Male", orders[[#This Row],[Customer Gender]]="F","Female", orders[[#This Row],[Customer Gender]]="O","Other", TRUE,"Unknown")</f>
        <v>Male</v>
      </c>
    </row>
    <row r="2371" spans="1:15">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f t="array" ref="O2371">_xlfn.IFS(orders[[#This Row],[Customer Gender]]="M","Male", orders[[#This Row],[Customer Gender]]="F","Female", orders[[#This Row],[Customer Gender]]="O","Other", TRUE,"Unknown")</f>
        <v>Male</v>
      </c>
    </row>
    <row r="2372" spans="1:15">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f t="array" ref="O2372">_xlfn.IFS(orders[[#This Row],[Customer Gender]]="M","Male", orders[[#This Row],[Customer Gender]]="F","Female", orders[[#This Row],[Customer Gender]]="O","Other", TRUE,"Unknown")</f>
        <v>Female</v>
      </c>
    </row>
    <row r="2373" spans="1:15">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f t="array" ref="O2373">_xlfn.IFS(orders[[#This Row],[Customer Gender]]="M","Male", orders[[#This Row],[Customer Gender]]="F","Female", orders[[#This Row],[Customer Gender]]="O","Other", TRUE,"Unknown")</f>
        <v>Male</v>
      </c>
    </row>
    <row r="2374" spans="1:15">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f t="array" ref="O2374">_xlfn.IFS(orders[[#This Row],[Customer Gender]]="M","Male", orders[[#This Row],[Customer Gender]]="F","Female", orders[[#This Row],[Customer Gender]]="O","Other", TRUE,"Unknown")</f>
        <v>Female</v>
      </c>
    </row>
    <row r="2375" spans="1:15">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f t="array" ref="O2375">_xlfn.IFS(orders[[#This Row],[Customer Gender]]="M","Male", orders[[#This Row],[Customer Gender]]="F","Female", orders[[#This Row],[Customer Gender]]="O","Other", TRUE,"Unknown")</f>
        <v>Female</v>
      </c>
    </row>
    <row r="2376" spans="1:15">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f t="array" ref="O2376">_xlfn.IFS(orders[[#This Row],[Customer Gender]]="M","Male", orders[[#This Row],[Customer Gender]]="F","Female", orders[[#This Row],[Customer Gender]]="O","Other", TRUE,"Unknown")</f>
        <v>Male</v>
      </c>
    </row>
    <row r="2377" spans="1:15">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f t="array" ref="O2377">_xlfn.IFS(orders[[#This Row],[Customer Gender]]="M","Male", orders[[#This Row],[Customer Gender]]="F","Female", orders[[#This Row],[Customer Gender]]="O","Other", TRUE,"Unknown")</f>
        <v>Unknown</v>
      </c>
    </row>
    <row r="2378" spans="1:15">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f t="array" ref="O2378">_xlfn.IFS(orders[[#This Row],[Customer Gender]]="M","Male", orders[[#This Row],[Customer Gender]]="F","Female", orders[[#This Row],[Customer Gender]]="O","Other", TRUE,"Unknown")</f>
        <v>Female</v>
      </c>
    </row>
    <row r="2379" spans="1:15">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f t="array" ref="O2379">_xlfn.IFS(orders[[#This Row],[Customer Gender]]="M","Male", orders[[#This Row],[Customer Gender]]="F","Female", orders[[#This Row],[Customer Gender]]="O","Other", TRUE,"Unknown")</f>
        <v>Female</v>
      </c>
    </row>
    <row r="2380" spans="1:15">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f t="array" ref="O2380">_xlfn.IFS(orders[[#This Row],[Customer Gender]]="M","Male", orders[[#This Row],[Customer Gender]]="F","Female", orders[[#This Row],[Customer Gender]]="O","Other", TRUE,"Unknown")</f>
        <v>Female</v>
      </c>
    </row>
    <row r="2381" spans="1:15">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f t="array" ref="O2381">_xlfn.IFS(orders[[#This Row],[Customer Gender]]="M","Male", orders[[#This Row],[Customer Gender]]="F","Female", orders[[#This Row],[Customer Gender]]="O","Other", TRUE,"Unknown")</f>
        <v>Female</v>
      </c>
    </row>
    <row r="2382" spans="1:15">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f t="array" ref="O2382">_xlfn.IFS(orders[[#This Row],[Customer Gender]]="M","Male", orders[[#This Row],[Customer Gender]]="F","Female", orders[[#This Row],[Customer Gender]]="O","Other", TRUE,"Unknown")</f>
        <v>Female</v>
      </c>
    </row>
    <row r="2383" spans="1:15">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f t="array" ref="O2383">_xlfn.IFS(orders[[#This Row],[Customer Gender]]="M","Male", orders[[#This Row],[Customer Gender]]="F","Female", orders[[#This Row],[Customer Gender]]="O","Other", TRUE,"Unknown")</f>
        <v>Male</v>
      </c>
    </row>
    <row r="2384" spans="1:15">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f t="array" ref="O2384">_xlfn.IFS(orders[[#This Row],[Customer Gender]]="M","Male", orders[[#This Row],[Customer Gender]]="F","Female", orders[[#This Row],[Customer Gender]]="O","Other", TRUE,"Unknown")</f>
        <v>Unknown</v>
      </c>
    </row>
    <row r="2385" spans="1:15">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f t="array" ref="O2385">_xlfn.IFS(orders[[#This Row],[Customer Gender]]="M","Male", orders[[#This Row],[Customer Gender]]="F","Female", orders[[#This Row],[Customer Gender]]="O","Other", TRUE,"Unknown")</f>
        <v>Male</v>
      </c>
    </row>
    <row r="2386" spans="1:15">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f t="array" ref="O2386">_xlfn.IFS(orders[[#This Row],[Customer Gender]]="M","Male", orders[[#This Row],[Customer Gender]]="F","Female", orders[[#This Row],[Customer Gender]]="O","Other", TRUE,"Unknown")</f>
        <v>Male</v>
      </c>
    </row>
    <row r="2387" spans="1:15">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f t="array" ref="O2387">_xlfn.IFS(orders[[#This Row],[Customer Gender]]="M","Male", orders[[#This Row],[Customer Gender]]="F","Female", orders[[#This Row],[Customer Gender]]="O","Other", TRUE,"Unknown")</f>
        <v>Male</v>
      </c>
    </row>
    <row r="2388" spans="1:15">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f t="array" ref="O2388">_xlfn.IFS(orders[[#This Row],[Customer Gender]]="M","Male", orders[[#This Row],[Customer Gender]]="F","Female", orders[[#This Row],[Customer Gender]]="O","Other", TRUE,"Unknown")</f>
        <v>Female</v>
      </c>
    </row>
    <row r="2389" spans="1:15">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f t="array" ref="O2389">_xlfn.IFS(orders[[#This Row],[Customer Gender]]="M","Male", orders[[#This Row],[Customer Gender]]="F","Female", orders[[#This Row],[Customer Gender]]="O","Other", TRUE,"Unknown")</f>
        <v>Male</v>
      </c>
    </row>
    <row r="2390" spans="1:15">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f t="array" ref="O2390">_xlfn.IFS(orders[[#This Row],[Customer Gender]]="M","Male", orders[[#This Row],[Customer Gender]]="F","Female", orders[[#This Row],[Customer Gender]]="O","Other", TRUE,"Unknown")</f>
        <v>Male</v>
      </c>
    </row>
    <row r="2391" spans="1:15">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f t="array" ref="O2391">_xlfn.IFS(orders[[#This Row],[Customer Gender]]="M","Male", orders[[#This Row],[Customer Gender]]="F","Female", orders[[#This Row],[Customer Gender]]="O","Other", TRUE,"Unknown")</f>
        <v>Female</v>
      </c>
    </row>
    <row r="2392" spans="1:15">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f t="array" ref="O2392">_xlfn.IFS(orders[[#This Row],[Customer Gender]]="M","Male", orders[[#This Row],[Customer Gender]]="F","Female", orders[[#This Row],[Customer Gender]]="O","Other", TRUE,"Unknown")</f>
        <v>Female</v>
      </c>
    </row>
    <row r="2393" spans="1:15">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f t="array" ref="O2393">_xlfn.IFS(orders[[#This Row],[Customer Gender]]="M","Male", orders[[#This Row],[Customer Gender]]="F","Female", orders[[#This Row],[Customer Gender]]="O","Other", TRUE,"Unknown")</f>
        <v>Unknown</v>
      </c>
    </row>
    <row r="2394" spans="1:15">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f t="array" ref="O2394">_xlfn.IFS(orders[[#This Row],[Customer Gender]]="M","Male", orders[[#This Row],[Customer Gender]]="F","Female", orders[[#This Row],[Customer Gender]]="O","Other", TRUE,"Unknown")</f>
        <v>Male</v>
      </c>
    </row>
    <row r="2395" spans="1:15">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f t="array" ref="O2395">_xlfn.IFS(orders[[#This Row],[Customer Gender]]="M","Male", orders[[#This Row],[Customer Gender]]="F","Female", orders[[#This Row],[Customer Gender]]="O","Other", TRUE,"Unknown")</f>
        <v>Male</v>
      </c>
    </row>
    <row r="2396" spans="1:15">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f t="array" ref="O2396">_xlfn.IFS(orders[[#This Row],[Customer Gender]]="M","Male", orders[[#This Row],[Customer Gender]]="F","Female", orders[[#This Row],[Customer Gender]]="O","Other", TRUE,"Unknown")</f>
        <v>Male</v>
      </c>
    </row>
    <row r="2397" spans="1:15">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f t="array" ref="O2397">_xlfn.IFS(orders[[#This Row],[Customer Gender]]="M","Male", orders[[#This Row],[Customer Gender]]="F","Female", orders[[#This Row],[Customer Gender]]="O","Other", TRUE,"Unknown")</f>
        <v>Male</v>
      </c>
    </row>
    <row r="2398" spans="1:15">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f t="array" ref="O2398">_xlfn.IFS(orders[[#This Row],[Customer Gender]]="M","Male", orders[[#This Row],[Customer Gender]]="F","Female", orders[[#This Row],[Customer Gender]]="O","Other", TRUE,"Unknown")</f>
        <v>Male</v>
      </c>
    </row>
    <row r="2399" spans="1:15">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f t="array" ref="O2399">_xlfn.IFS(orders[[#This Row],[Customer Gender]]="M","Male", orders[[#This Row],[Customer Gender]]="F","Female", orders[[#This Row],[Customer Gender]]="O","Other", TRUE,"Unknown")</f>
        <v>Female</v>
      </c>
    </row>
    <row r="2400" spans="1:15">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f t="array" ref="O2400">_xlfn.IFS(orders[[#This Row],[Customer Gender]]="M","Male", orders[[#This Row],[Customer Gender]]="F","Female", orders[[#This Row],[Customer Gender]]="O","Other", TRUE,"Unknown")</f>
        <v>Female</v>
      </c>
    </row>
    <row r="2401" spans="1:15">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Sheet2</vt:lpstr>
      <vt:lpstr>pivot</vt:lpstr>
      <vt:lpstr>dashboard1</vt:lpstr>
      <vt:lpstr>Questions &amp; KPIs</vt:lpstr>
      <vt:lpstr>matrix table</vt:lpstr>
      <vt:lpstr>Sheet1</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Precious Ifedolapo</cp:lastModifiedBy>
  <dcterms:created xsi:type="dcterms:W3CDTF">2025-06-13T02:42:26Z</dcterms:created>
  <dcterms:modified xsi:type="dcterms:W3CDTF">2026-02-19T20:11:15Z</dcterms:modified>
</cp:coreProperties>
</file>